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ottostatisztika.hu\"/>
    </mc:Choice>
  </mc:AlternateContent>
  <xr:revisionPtr revIDLastSave="0" documentId="13_ncr:1_{EEB4EDD1-B6ED-475C-8871-E433248A0C82}" xr6:coauthVersionLast="47" xr6:coauthVersionMax="47" xr10:uidLastSave="{00000000-0000-0000-0000-000000000000}"/>
  <bookViews>
    <workbookView xWindow="-25755" yWindow="1035" windowWidth="21600" windowHeight="11385" xr2:uid="{00000000-000D-0000-FFFF-FFFF00000000}"/>
  </bookViews>
  <sheets>
    <sheet name="Sorsolások" sheetId="1" r:id="rId1"/>
    <sheet name="Lehetséges variációk" sheetId="3" r:id="rId2"/>
    <sheet name="alapszám insert" sheetId="2" r:id="rId3"/>
  </sheets>
  <definedNames>
    <definedName name="_xlnm._FilterDatabase" localSheetId="0" hidden="1">Sorsolások!$A$1:$Q$3442</definedName>
  </definedNames>
  <calcPr calcId="191029"/>
</workbook>
</file>

<file path=xl/calcChain.xml><?xml version="1.0" encoding="utf-8"?>
<calcChain xmlns="http://schemas.openxmlformats.org/spreadsheetml/2006/main">
  <c r="V4" i="1" l="1"/>
  <c r="V5" i="1"/>
  <c r="V6" i="1"/>
  <c r="V7" i="1"/>
  <c r="V3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R1" i="1"/>
  <c r="C24" i="3"/>
  <c r="C23" i="3"/>
  <c r="C22" i="3"/>
  <c r="C21" i="3"/>
  <c r="C20" i="3"/>
  <c r="C19" i="3"/>
  <c r="C18" i="3"/>
  <c r="C15" i="3"/>
  <c r="C14" i="3"/>
  <c r="C13" i="3"/>
  <c r="C12" i="3"/>
  <c r="C11" i="3"/>
  <c r="C10" i="3"/>
  <c r="C6" i="3"/>
  <c r="C7" i="3"/>
  <c r="E7" i="3" s="1"/>
  <c r="C5" i="3"/>
  <c r="C4" i="3"/>
  <c r="C3" i="3"/>
  <c r="C29" i="2"/>
  <c r="D29" i="2" s="1"/>
  <c r="C25" i="2"/>
  <c r="D25" i="2" s="1"/>
  <c r="C20" i="2"/>
  <c r="C30" i="2" s="1"/>
  <c r="C19" i="2"/>
  <c r="C18" i="2"/>
  <c r="C28" i="2" s="1"/>
  <c r="C17" i="2"/>
  <c r="D17" i="2" s="1"/>
  <c r="C16" i="2"/>
  <c r="C26" i="2" s="1"/>
  <c r="C15" i="2"/>
  <c r="C14" i="2"/>
  <c r="C24" i="2" s="1"/>
  <c r="C13" i="2"/>
  <c r="D13" i="2" s="1"/>
  <c r="C12" i="2"/>
  <c r="D12" i="2" s="1"/>
  <c r="E1" i="2"/>
  <c r="D91" i="2"/>
  <c r="D81" i="2"/>
  <c r="D71" i="2"/>
  <c r="D61" i="2"/>
  <c r="D51" i="2"/>
  <c r="D41" i="2"/>
  <c r="D31" i="2"/>
  <c r="D21" i="2"/>
  <c r="D19" i="2"/>
  <c r="D18" i="2"/>
  <c r="D15" i="2"/>
  <c r="D14" i="2"/>
  <c r="D3" i="2"/>
  <c r="D4" i="2"/>
  <c r="D5" i="2"/>
  <c r="D6" i="2"/>
  <c r="D7" i="2"/>
  <c r="D8" i="2"/>
  <c r="D9" i="2"/>
  <c r="D10" i="2"/>
  <c r="D11" i="2"/>
  <c r="D2" i="2"/>
  <c r="E2" i="2" s="1"/>
  <c r="F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E91" i="2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Q1" i="1"/>
  <c r="Q2" i="1"/>
  <c r="D30" i="2" l="1"/>
  <c r="C40" i="2"/>
  <c r="C36" i="2"/>
  <c r="D26" i="2"/>
  <c r="D24" i="2"/>
  <c r="C34" i="2"/>
  <c r="C38" i="2"/>
  <c r="D28" i="2"/>
  <c r="C738" i="1"/>
  <c r="Q7" i="1"/>
  <c r="D16" i="2"/>
  <c r="C23" i="2"/>
  <c r="C27" i="2"/>
  <c r="E3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E7" i="2"/>
  <c r="E11" i="2"/>
  <c r="E15" i="2"/>
  <c r="E19" i="2"/>
  <c r="E31" i="2"/>
  <c r="E51" i="2"/>
  <c r="E71" i="2"/>
  <c r="Q3" i="1"/>
  <c r="E4" i="2"/>
  <c r="E8" i="2"/>
  <c r="E12" i="2"/>
  <c r="E16" i="2"/>
  <c r="E24" i="2"/>
  <c r="E28" i="2"/>
  <c r="Q4" i="1"/>
  <c r="E5" i="2"/>
  <c r="E9" i="2"/>
  <c r="E13" i="2"/>
  <c r="E17" i="2"/>
  <c r="E21" i="2"/>
  <c r="E25" i="2"/>
  <c r="E29" i="2"/>
  <c r="E41" i="2"/>
  <c r="E61" i="2"/>
  <c r="E81" i="2"/>
  <c r="D20" i="2"/>
  <c r="E20" i="2" s="1"/>
  <c r="C22" i="2"/>
  <c r="C35" i="2"/>
  <c r="C39" i="2"/>
  <c r="E6" i="2"/>
  <c r="E10" i="2"/>
  <c r="E14" i="2"/>
  <c r="E18" i="2"/>
  <c r="E26" i="2"/>
  <c r="E30" i="2"/>
  <c r="Q8" i="1"/>
  <c r="Q5" i="1"/>
  <c r="Q9" i="1"/>
  <c r="Q6" i="1"/>
  <c r="Q10" i="1"/>
  <c r="Q12" i="1"/>
  <c r="Q11" i="1"/>
  <c r="D35" i="2" l="1"/>
  <c r="E35" i="2" s="1"/>
  <c r="C45" i="2"/>
  <c r="C48" i="2"/>
  <c r="D38" i="2"/>
  <c r="E38" i="2" s="1"/>
  <c r="C46" i="2"/>
  <c r="D36" i="2"/>
  <c r="E36" i="2" s="1"/>
  <c r="D22" i="2"/>
  <c r="E22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C32" i="2"/>
  <c r="C37" i="2"/>
  <c r="D27" i="2"/>
  <c r="E27" i="2" s="1"/>
  <c r="C44" i="2"/>
  <c r="D34" i="2"/>
  <c r="E34" i="2" s="1"/>
  <c r="C33" i="2"/>
  <c r="D23" i="2"/>
  <c r="E23" i="2" s="1"/>
  <c r="C739" i="1"/>
  <c r="D40" i="2"/>
  <c r="E40" i="2" s="1"/>
  <c r="C50" i="2"/>
  <c r="D39" i="2"/>
  <c r="E39" i="2" s="1"/>
  <c r="C49" i="2"/>
  <c r="Q13" i="1"/>
  <c r="D49" i="2" l="1"/>
  <c r="E49" i="2" s="1"/>
  <c r="C59" i="2"/>
  <c r="C740" i="1"/>
  <c r="C54" i="2"/>
  <c r="D44" i="2"/>
  <c r="E44" i="2" s="1"/>
  <c r="D48" i="2"/>
  <c r="E48" i="2" s="1"/>
  <c r="C58" i="2"/>
  <c r="D45" i="2"/>
  <c r="E45" i="2" s="1"/>
  <c r="C55" i="2"/>
  <c r="D50" i="2"/>
  <c r="E50" i="2" s="1"/>
  <c r="C60" i="2"/>
  <c r="D33" i="2"/>
  <c r="E33" i="2" s="1"/>
  <c r="C43" i="2"/>
  <c r="D37" i="2"/>
  <c r="E37" i="2" s="1"/>
  <c r="C47" i="2"/>
  <c r="C56" i="2"/>
  <c r="D46" i="2"/>
  <c r="E46" i="2" s="1"/>
  <c r="C42" i="2"/>
  <c r="D32" i="2"/>
  <c r="E32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Q14" i="1"/>
  <c r="D47" i="2" l="1"/>
  <c r="E47" i="2" s="1"/>
  <c r="C57" i="2"/>
  <c r="C70" i="2"/>
  <c r="D60" i="2"/>
  <c r="E60" i="2" s="1"/>
  <c r="C68" i="2"/>
  <c r="D58" i="2"/>
  <c r="E58" i="2" s="1"/>
  <c r="C52" i="2"/>
  <c r="D42" i="2"/>
  <c r="E42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C741" i="1"/>
  <c r="D43" i="2"/>
  <c r="E43" i="2" s="1"/>
  <c r="C53" i="2"/>
  <c r="D55" i="2"/>
  <c r="E55" i="2" s="1"/>
  <c r="C65" i="2"/>
  <c r="C69" i="2"/>
  <c r="D59" i="2"/>
  <c r="E59" i="2" s="1"/>
  <c r="C66" i="2"/>
  <c r="D56" i="2"/>
  <c r="E56" i="2" s="1"/>
  <c r="C64" i="2"/>
  <c r="D54" i="2"/>
  <c r="E54" i="2" s="1"/>
  <c r="Q15" i="1"/>
  <c r="D53" i="2" l="1"/>
  <c r="E53" i="2" s="1"/>
  <c r="C63" i="2"/>
  <c r="C74" i="2"/>
  <c r="D64" i="2"/>
  <c r="E64" i="2" s="1"/>
  <c r="C79" i="2"/>
  <c r="D69" i="2"/>
  <c r="E69" i="2" s="1"/>
  <c r="C62" i="2"/>
  <c r="D52" i="2"/>
  <c r="E52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D70" i="2"/>
  <c r="E70" i="2" s="1"/>
  <c r="C80" i="2"/>
  <c r="D57" i="2"/>
  <c r="E57" i="2" s="1"/>
  <c r="C67" i="2"/>
  <c r="C75" i="2"/>
  <c r="D65" i="2"/>
  <c r="E65" i="2" s="1"/>
  <c r="C76" i="2"/>
  <c r="D66" i="2"/>
  <c r="E66" i="2" s="1"/>
  <c r="C742" i="1"/>
  <c r="C78" i="2"/>
  <c r="D68" i="2"/>
  <c r="E68" i="2" s="1"/>
  <c r="Q16" i="1"/>
  <c r="D78" i="2" l="1"/>
  <c r="E78" i="2" s="1"/>
  <c r="C88" i="2"/>
  <c r="D88" i="2" s="1"/>
  <c r="E88" i="2" s="1"/>
  <c r="D76" i="2"/>
  <c r="E76" i="2" s="1"/>
  <c r="C86" i="2"/>
  <c r="D86" i="2" s="1"/>
  <c r="E86" i="2" s="1"/>
  <c r="D62" i="2"/>
  <c r="E62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C72" i="2"/>
  <c r="D74" i="2"/>
  <c r="E74" i="2" s="1"/>
  <c r="C84" i="2"/>
  <c r="D84" i="2" s="1"/>
  <c r="E84" i="2" s="1"/>
  <c r="C90" i="2"/>
  <c r="D90" i="2" s="1"/>
  <c r="E90" i="2" s="1"/>
  <c r="D80" i="2"/>
  <c r="E80" i="2" s="1"/>
  <c r="D63" i="2"/>
  <c r="E63" i="2" s="1"/>
  <c r="C73" i="2"/>
  <c r="C743" i="1"/>
  <c r="C85" i="2"/>
  <c r="D85" i="2" s="1"/>
  <c r="E85" i="2" s="1"/>
  <c r="D75" i="2"/>
  <c r="E75" i="2" s="1"/>
  <c r="C89" i="2"/>
  <c r="D89" i="2" s="1"/>
  <c r="E89" i="2" s="1"/>
  <c r="D79" i="2"/>
  <c r="E79" i="2" s="1"/>
  <c r="D67" i="2"/>
  <c r="E67" i="2" s="1"/>
  <c r="C77" i="2"/>
  <c r="Q17" i="1"/>
  <c r="C82" i="2" l="1"/>
  <c r="D82" i="2" s="1"/>
  <c r="E82" i="2" s="1"/>
  <c r="D72" i="2"/>
  <c r="E72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C744" i="1"/>
  <c r="D77" i="2"/>
  <c r="E77" i="2" s="1"/>
  <c r="C87" i="2"/>
  <c r="D87" i="2" s="1"/>
  <c r="E87" i="2" s="1"/>
  <c r="D73" i="2"/>
  <c r="E73" i="2" s="1"/>
  <c r="C83" i="2"/>
  <c r="D83" i="2" s="1"/>
  <c r="E83" i="2" s="1"/>
  <c r="Q18" i="1"/>
  <c r="C745" i="1" l="1"/>
  <c r="Q19" i="1"/>
  <c r="C746" i="1" l="1"/>
  <c r="Q20" i="1"/>
  <c r="C747" i="1" l="1"/>
  <c r="Q21" i="1"/>
  <c r="C748" i="1" l="1"/>
  <c r="Q22" i="1"/>
  <c r="C749" i="1" l="1"/>
  <c r="Q23" i="1"/>
  <c r="C750" i="1" l="1"/>
  <c r="Q24" i="1"/>
  <c r="C751" i="1" l="1"/>
  <c r="Q25" i="1"/>
  <c r="C752" i="1" l="1"/>
  <c r="Q26" i="1"/>
  <c r="C753" i="1" l="1"/>
  <c r="Q27" i="1"/>
  <c r="C754" i="1" l="1"/>
  <c r="Q28" i="1"/>
  <c r="C755" i="1" l="1"/>
  <c r="Q29" i="1"/>
  <c r="C756" i="1" l="1"/>
  <c r="Q30" i="1"/>
  <c r="C757" i="1" l="1"/>
  <c r="Q31" i="1"/>
  <c r="C758" i="1" l="1"/>
  <c r="Q32" i="1"/>
  <c r="C759" i="1" l="1"/>
  <c r="Q33" i="1"/>
  <c r="C760" i="1" l="1"/>
  <c r="Q34" i="1"/>
  <c r="C761" i="1" l="1"/>
  <c r="Q35" i="1"/>
  <c r="C762" i="1" l="1"/>
  <c r="Q36" i="1"/>
  <c r="C763" i="1" l="1"/>
  <c r="Q37" i="1"/>
  <c r="C764" i="1" l="1"/>
  <c r="Q38" i="1"/>
  <c r="C765" i="1" l="1"/>
  <c r="Q39" i="1"/>
  <c r="C766" i="1" l="1"/>
  <c r="Q40" i="1"/>
  <c r="C767" i="1" l="1"/>
  <c r="Q41" i="1"/>
  <c r="C768" i="1" l="1"/>
  <c r="Q42" i="1"/>
  <c r="C769" i="1" l="1"/>
  <c r="Q43" i="1"/>
  <c r="C770" i="1" l="1"/>
  <c r="Q44" i="1"/>
  <c r="C771" i="1" l="1"/>
  <c r="Q45" i="1"/>
  <c r="C772" i="1" l="1"/>
  <c r="Q46" i="1"/>
  <c r="C773" i="1" l="1"/>
  <c r="Q47" i="1"/>
  <c r="C774" i="1" l="1"/>
  <c r="Q48" i="1"/>
  <c r="C775" i="1" l="1"/>
  <c r="Q49" i="1"/>
  <c r="C776" i="1" l="1"/>
  <c r="Q50" i="1"/>
  <c r="C777" i="1" l="1"/>
  <c r="Q51" i="1"/>
  <c r="C778" i="1" l="1"/>
  <c r="Q52" i="1"/>
  <c r="C779" i="1" l="1"/>
  <c r="Q53" i="1"/>
  <c r="C780" i="1" l="1"/>
  <c r="Q54" i="1"/>
  <c r="C781" i="1" l="1"/>
  <c r="Q55" i="1"/>
  <c r="C782" i="1" l="1"/>
  <c r="Q56" i="1"/>
  <c r="C783" i="1" l="1"/>
  <c r="Q57" i="1"/>
  <c r="C784" i="1" l="1"/>
  <c r="Q58" i="1"/>
  <c r="C785" i="1" l="1"/>
  <c r="Q59" i="1"/>
  <c r="C786" i="1" l="1"/>
  <c r="Q60" i="1"/>
  <c r="C787" i="1" l="1"/>
  <c r="Q61" i="1"/>
  <c r="C788" i="1" l="1"/>
  <c r="Q62" i="1"/>
  <c r="C789" i="1" l="1"/>
  <c r="Q63" i="1"/>
  <c r="C790" i="1" l="1"/>
  <c r="Q64" i="1"/>
  <c r="C791" i="1" l="1"/>
  <c r="Q65" i="1"/>
  <c r="C792" i="1" l="1"/>
  <c r="Q66" i="1"/>
  <c r="C793" i="1" l="1"/>
  <c r="Q67" i="1"/>
  <c r="C794" i="1" l="1"/>
  <c r="Q68" i="1"/>
  <c r="C795" i="1" l="1"/>
  <c r="Q69" i="1"/>
  <c r="C796" i="1" l="1"/>
  <c r="Q70" i="1"/>
  <c r="C797" i="1" l="1"/>
  <c r="Q71" i="1"/>
  <c r="C798" i="1" l="1"/>
  <c r="Q72" i="1"/>
  <c r="C799" i="1" l="1"/>
  <c r="Q73" i="1"/>
  <c r="C800" i="1" l="1"/>
  <c r="Q74" i="1"/>
  <c r="C801" i="1" l="1"/>
  <c r="Q75" i="1"/>
  <c r="C802" i="1" l="1"/>
  <c r="Q76" i="1"/>
  <c r="C803" i="1" l="1"/>
  <c r="Q77" i="1"/>
  <c r="C804" i="1" l="1"/>
  <c r="Q78" i="1"/>
  <c r="C805" i="1" l="1"/>
  <c r="Q79" i="1"/>
  <c r="C806" i="1" l="1"/>
  <c r="Q80" i="1"/>
  <c r="C807" i="1" l="1"/>
  <c r="Q81" i="1"/>
  <c r="C808" i="1" l="1"/>
  <c r="Q82" i="1"/>
  <c r="C809" i="1" l="1"/>
  <c r="Q83" i="1"/>
  <c r="C810" i="1" l="1"/>
  <c r="Q84" i="1"/>
  <c r="C811" i="1" l="1"/>
  <c r="Q85" i="1"/>
  <c r="C812" i="1" l="1"/>
  <c r="Q86" i="1"/>
  <c r="C813" i="1" l="1"/>
  <c r="Q87" i="1"/>
  <c r="C814" i="1" l="1"/>
  <c r="Q88" i="1"/>
  <c r="C815" i="1" l="1"/>
  <c r="Q89" i="1"/>
  <c r="C816" i="1" l="1"/>
  <c r="Q90" i="1"/>
  <c r="C817" i="1" l="1"/>
  <c r="Q91" i="1"/>
  <c r="C818" i="1" l="1"/>
  <c r="Q92" i="1"/>
  <c r="C819" i="1" l="1"/>
  <c r="Q93" i="1"/>
  <c r="C820" i="1" l="1"/>
  <c r="Q94" i="1"/>
  <c r="C821" i="1" l="1"/>
  <c r="Q95" i="1"/>
  <c r="C822" i="1" l="1"/>
  <c r="Q96" i="1"/>
  <c r="C823" i="1" l="1"/>
  <c r="Q97" i="1"/>
  <c r="C824" i="1" l="1"/>
  <c r="Q98" i="1"/>
  <c r="C825" i="1" l="1"/>
  <c r="Q99" i="1"/>
  <c r="C826" i="1" l="1"/>
  <c r="Q100" i="1"/>
  <c r="C827" i="1" l="1"/>
  <c r="Q101" i="1"/>
  <c r="C828" i="1" l="1"/>
  <c r="Q102" i="1"/>
  <c r="C829" i="1" l="1"/>
  <c r="Q103" i="1"/>
  <c r="C830" i="1" l="1"/>
  <c r="Q104" i="1"/>
  <c r="C831" i="1" l="1"/>
  <c r="Q105" i="1"/>
  <c r="C832" i="1" l="1"/>
  <c r="Q106" i="1"/>
  <c r="C833" i="1" l="1"/>
  <c r="Q107" i="1"/>
  <c r="C834" i="1" l="1"/>
  <c r="Q108" i="1"/>
  <c r="C835" i="1" l="1"/>
  <c r="Q109" i="1"/>
  <c r="C836" i="1" l="1"/>
  <c r="Q110" i="1"/>
  <c r="C837" i="1" l="1"/>
  <c r="Q111" i="1"/>
  <c r="C838" i="1" l="1"/>
  <c r="Q112" i="1"/>
  <c r="C839" i="1" l="1"/>
  <c r="Q113" i="1"/>
  <c r="C840" i="1" l="1"/>
  <c r="Q114" i="1"/>
  <c r="C841" i="1" l="1"/>
  <c r="Q115" i="1"/>
  <c r="C842" i="1" l="1"/>
  <c r="Q116" i="1"/>
  <c r="C843" i="1" l="1"/>
  <c r="Q117" i="1"/>
  <c r="C844" i="1" l="1"/>
  <c r="Q118" i="1"/>
  <c r="C845" i="1" l="1"/>
  <c r="Q119" i="1"/>
  <c r="C846" i="1" l="1"/>
  <c r="Q120" i="1"/>
  <c r="C847" i="1" l="1"/>
  <c r="Q121" i="1"/>
  <c r="C848" i="1" l="1"/>
  <c r="Q122" i="1"/>
  <c r="C849" i="1" l="1"/>
  <c r="Q123" i="1"/>
  <c r="C850" i="1" l="1"/>
  <c r="Q124" i="1"/>
  <c r="C851" i="1" l="1"/>
  <c r="Q125" i="1"/>
  <c r="C852" i="1" l="1"/>
  <c r="Q126" i="1"/>
  <c r="C853" i="1" l="1"/>
  <c r="Q127" i="1"/>
  <c r="C854" i="1" l="1"/>
  <c r="Q128" i="1"/>
  <c r="C855" i="1" l="1"/>
  <c r="Q129" i="1"/>
  <c r="C856" i="1" l="1"/>
  <c r="Q130" i="1"/>
  <c r="C857" i="1" l="1"/>
  <c r="Q131" i="1"/>
  <c r="C858" i="1" l="1"/>
  <c r="Q132" i="1"/>
  <c r="C859" i="1" l="1"/>
  <c r="Q133" i="1"/>
  <c r="C860" i="1" l="1"/>
  <c r="Q134" i="1"/>
  <c r="C861" i="1" l="1"/>
  <c r="Q135" i="1"/>
  <c r="C862" i="1" l="1"/>
  <c r="Q136" i="1"/>
  <c r="C863" i="1" l="1"/>
  <c r="Q137" i="1"/>
  <c r="C864" i="1" l="1"/>
  <c r="Q138" i="1"/>
  <c r="C865" i="1" l="1"/>
  <c r="Q139" i="1"/>
  <c r="C866" i="1" l="1"/>
  <c r="Q140" i="1"/>
  <c r="C867" i="1" l="1"/>
  <c r="Q141" i="1"/>
  <c r="C868" i="1" l="1"/>
  <c r="Q142" i="1"/>
  <c r="C869" i="1" l="1"/>
  <c r="Q143" i="1"/>
  <c r="C870" i="1" l="1"/>
  <c r="Q144" i="1"/>
  <c r="C871" i="1" l="1"/>
  <c r="Q145" i="1"/>
  <c r="C872" i="1" l="1"/>
  <c r="Q146" i="1"/>
  <c r="C873" i="1" l="1"/>
  <c r="Q147" i="1"/>
  <c r="C874" i="1" l="1"/>
  <c r="Q148" i="1"/>
  <c r="C875" i="1" l="1"/>
  <c r="Q149" i="1"/>
  <c r="C876" i="1" l="1"/>
  <c r="Q150" i="1"/>
  <c r="C877" i="1" l="1"/>
  <c r="Q151" i="1"/>
  <c r="C878" i="1" l="1"/>
  <c r="Q152" i="1"/>
  <c r="C879" i="1" l="1"/>
  <c r="Q153" i="1"/>
  <c r="C880" i="1" l="1"/>
  <c r="Q154" i="1"/>
  <c r="C881" i="1" l="1"/>
  <c r="Q155" i="1"/>
  <c r="C882" i="1" l="1"/>
  <c r="Q156" i="1"/>
  <c r="C883" i="1" l="1"/>
  <c r="Q157" i="1"/>
  <c r="C884" i="1" l="1"/>
  <c r="Q158" i="1"/>
  <c r="C885" i="1" l="1"/>
  <c r="Q159" i="1"/>
  <c r="C886" i="1" l="1"/>
  <c r="Q160" i="1"/>
  <c r="C887" i="1" l="1"/>
  <c r="Q161" i="1"/>
  <c r="C888" i="1" l="1"/>
  <c r="Q162" i="1"/>
  <c r="C889" i="1" l="1"/>
  <c r="Q163" i="1"/>
  <c r="C890" i="1" l="1"/>
  <c r="Q164" i="1"/>
  <c r="C891" i="1" l="1"/>
  <c r="Q165" i="1"/>
  <c r="C892" i="1" l="1"/>
  <c r="Q166" i="1"/>
  <c r="C893" i="1" l="1"/>
  <c r="Q167" i="1"/>
  <c r="C894" i="1" l="1"/>
  <c r="Q168" i="1"/>
  <c r="C895" i="1" l="1"/>
  <c r="Q169" i="1"/>
  <c r="C896" i="1" l="1"/>
  <c r="Q170" i="1"/>
  <c r="C897" i="1" l="1"/>
  <c r="Q171" i="1"/>
  <c r="C898" i="1" l="1"/>
  <c r="Q172" i="1"/>
  <c r="C899" i="1" l="1"/>
  <c r="Q173" i="1"/>
  <c r="C900" i="1" l="1"/>
  <c r="Q174" i="1"/>
  <c r="C901" i="1" l="1"/>
  <c r="Q175" i="1"/>
  <c r="C902" i="1" l="1"/>
  <c r="Q176" i="1"/>
  <c r="C903" i="1" l="1"/>
  <c r="Q177" i="1"/>
  <c r="C904" i="1" l="1"/>
  <c r="Q178" i="1"/>
  <c r="C905" i="1" l="1"/>
  <c r="Q179" i="1"/>
  <c r="C906" i="1" l="1"/>
  <c r="Q180" i="1"/>
  <c r="C907" i="1" l="1"/>
  <c r="Q181" i="1"/>
  <c r="C908" i="1" l="1"/>
  <c r="Q182" i="1"/>
  <c r="C909" i="1" l="1"/>
  <c r="Q183" i="1"/>
  <c r="C910" i="1" l="1"/>
  <c r="Q184" i="1"/>
  <c r="C911" i="1" l="1"/>
  <c r="Q185" i="1"/>
  <c r="C912" i="1" l="1"/>
  <c r="Q186" i="1"/>
  <c r="C913" i="1" l="1"/>
  <c r="Q187" i="1"/>
  <c r="C914" i="1" l="1"/>
  <c r="Q188" i="1"/>
  <c r="C915" i="1" l="1"/>
  <c r="Q189" i="1"/>
  <c r="C916" i="1" l="1"/>
  <c r="Q190" i="1"/>
  <c r="C917" i="1" l="1"/>
  <c r="Q191" i="1"/>
  <c r="C918" i="1" l="1"/>
  <c r="Q192" i="1"/>
  <c r="C919" i="1" l="1"/>
  <c r="Q193" i="1"/>
  <c r="C920" i="1" l="1"/>
  <c r="Q194" i="1"/>
  <c r="C921" i="1" l="1"/>
  <c r="Q195" i="1"/>
  <c r="C922" i="1" l="1"/>
  <c r="Q196" i="1"/>
  <c r="C923" i="1" l="1"/>
  <c r="Q197" i="1"/>
  <c r="C924" i="1" l="1"/>
  <c r="Q198" i="1"/>
  <c r="C925" i="1" l="1"/>
  <c r="Q199" i="1"/>
  <c r="C926" i="1" l="1"/>
  <c r="Q200" i="1"/>
  <c r="C927" i="1" l="1"/>
  <c r="Q201" i="1"/>
  <c r="C928" i="1" l="1"/>
  <c r="Q202" i="1"/>
  <c r="C929" i="1" l="1"/>
  <c r="Q203" i="1"/>
  <c r="C930" i="1" l="1"/>
  <c r="Q204" i="1"/>
  <c r="C931" i="1" l="1"/>
  <c r="Q205" i="1"/>
  <c r="C932" i="1" l="1"/>
  <c r="Q206" i="1"/>
  <c r="C933" i="1" l="1"/>
  <c r="Q207" i="1"/>
  <c r="C934" i="1" l="1"/>
  <c r="Q208" i="1"/>
  <c r="C935" i="1" l="1"/>
  <c r="Q209" i="1"/>
  <c r="C936" i="1" l="1"/>
  <c r="Q210" i="1"/>
  <c r="C937" i="1" l="1"/>
  <c r="Q211" i="1"/>
  <c r="C938" i="1" l="1"/>
  <c r="Q212" i="1"/>
  <c r="C939" i="1" l="1"/>
  <c r="Q213" i="1"/>
  <c r="C940" i="1" l="1"/>
  <c r="Q214" i="1"/>
  <c r="C941" i="1" l="1"/>
  <c r="Q215" i="1"/>
  <c r="C942" i="1" l="1"/>
  <c r="Q216" i="1"/>
  <c r="C943" i="1" l="1"/>
  <c r="Q217" i="1"/>
  <c r="C944" i="1" l="1"/>
  <c r="Q218" i="1"/>
  <c r="C945" i="1" l="1"/>
  <c r="Q219" i="1"/>
  <c r="C946" i="1" l="1"/>
  <c r="Q220" i="1"/>
  <c r="C947" i="1" l="1"/>
  <c r="Q221" i="1"/>
  <c r="C948" i="1" l="1"/>
  <c r="Q222" i="1"/>
  <c r="C949" i="1" l="1"/>
  <c r="Q223" i="1"/>
  <c r="C950" i="1" l="1"/>
  <c r="Q224" i="1"/>
  <c r="C951" i="1" l="1"/>
  <c r="Q225" i="1"/>
  <c r="C952" i="1" l="1"/>
  <c r="Q226" i="1"/>
  <c r="C953" i="1" l="1"/>
  <c r="Q227" i="1"/>
  <c r="C954" i="1" l="1"/>
  <c r="Q228" i="1"/>
  <c r="C955" i="1" l="1"/>
  <c r="Q229" i="1"/>
  <c r="C956" i="1" l="1"/>
  <c r="Q230" i="1"/>
  <c r="C957" i="1" l="1"/>
  <c r="Q231" i="1"/>
  <c r="C958" i="1" l="1"/>
  <c r="Q232" i="1"/>
  <c r="C959" i="1" l="1"/>
  <c r="Q233" i="1"/>
  <c r="C960" i="1" l="1"/>
  <c r="Q234" i="1"/>
  <c r="C961" i="1" l="1"/>
  <c r="Q235" i="1"/>
  <c r="C962" i="1" l="1"/>
  <c r="Q236" i="1"/>
  <c r="C963" i="1" l="1"/>
  <c r="Q237" i="1"/>
  <c r="C964" i="1" l="1"/>
  <c r="Q238" i="1"/>
  <c r="C965" i="1" l="1"/>
  <c r="Q239" i="1"/>
  <c r="C966" i="1" l="1"/>
  <c r="Q240" i="1"/>
  <c r="C967" i="1" l="1"/>
  <c r="Q241" i="1"/>
  <c r="C968" i="1" l="1"/>
  <c r="Q242" i="1"/>
  <c r="C969" i="1" l="1"/>
  <c r="Q243" i="1"/>
  <c r="C970" i="1" l="1"/>
  <c r="Q244" i="1"/>
  <c r="C971" i="1" l="1"/>
  <c r="Q245" i="1"/>
  <c r="C972" i="1" l="1"/>
  <c r="Q246" i="1"/>
  <c r="C973" i="1" l="1"/>
  <c r="Q247" i="1"/>
  <c r="C974" i="1" l="1"/>
  <c r="Q248" i="1"/>
  <c r="C975" i="1" l="1"/>
  <c r="Q249" i="1"/>
  <c r="C976" i="1" l="1"/>
  <c r="Q250" i="1"/>
  <c r="C977" i="1" l="1"/>
  <c r="Q251" i="1"/>
  <c r="C978" i="1" l="1"/>
  <c r="Q252" i="1"/>
  <c r="C979" i="1" l="1"/>
  <c r="Q253" i="1"/>
  <c r="C980" i="1" l="1"/>
  <c r="Q254" i="1"/>
  <c r="C981" i="1" l="1"/>
  <c r="Q255" i="1"/>
  <c r="C982" i="1" l="1"/>
  <c r="Q256" i="1"/>
  <c r="C983" i="1" l="1"/>
  <c r="Q257" i="1"/>
  <c r="C984" i="1" l="1"/>
  <c r="Q258" i="1"/>
  <c r="C985" i="1" l="1"/>
  <c r="Q259" i="1"/>
  <c r="C986" i="1" l="1"/>
  <c r="Q260" i="1"/>
  <c r="C987" i="1" l="1"/>
  <c r="Q261" i="1"/>
  <c r="C988" i="1" l="1"/>
  <c r="Q262" i="1"/>
  <c r="C989" i="1" l="1"/>
  <c r="Q263" i="1"/>
  <c r="C990" i="1" l="1"/>
  <c r="Q264" i="1"/>
  <c r="C991" i="1" l="1"/>
  <c r="Q265" i="1"/>
  <c r="C992" i="1" l="1"/>
  <c r="Q266" i="1"/>
  <c r="C993" i="1" l="1"/>
  <c r="Q267" i="1"/>
  <c r="C994" i="1" l="1"/>
  <c r="Q268" i="1"/>
  <c r="C995" i="1" l="1"/>
  <c r="Q269" i="1"/>
  <c r="C996" i="1" l="1"/>
  <c r="Q270" i="1"/>
  <c r="C997" i="1" l="1"/>
  <c r="Q271" i="1"/>
  <c r="C998" i="1" l="1"/>
  <c r="Q272" i="1"/>
  <c r="C999" i="1" l="1"/>
  <c r="Q273" i="1"/>
  <c r="C1000" i="1" l="1"/>
  <c r="Q274" i="1"/>
  <c r="C1001" i="1" l="1"/>
  <c r="Q275" i="1"/>
  <c r="C1002" i="1" l="1"/>
  <c r="Q276" i="1"/>
  <c r="C1003" i="1" l="1"/>
  <c r="Q277" i="1"/>
  <c r="C1004" i="1" l="1"/>
  <c r="Q278" i="1"/>
  <c r="C1005" i="1" l="1"/>
  <c r="Q279" i="1"/>
  <c r="C1006" i="1" l="1"/>
  <c r="Q280" i="1"/>
  <c r="C1007" i="1" l="1"/>
  <c r="Q281" i="1"/>
  <c r="C1008" i="1" l="1"/>
  <c r="Q282" i="1"/>
  <c r="C1009" i="1" l="1"/>
  <c r="Q283" i="1"/>
  <c r="C1010" i="1" l="1"/>
  <c r="Q284" i="1"/>
  <c r="C1011" i="1" l="1"/>
  <c r="Q285" i="1"/>
  <c r="C1012" i="1" l="1"/>
  <c r="Q286" i="1"/>
  <c r="C1013" i="1" l="1"/>
  <c r="Q287" i="1"/>
  <c r="C1014" i="1" l="1"/>
  <c r="Q288" i="1"/>
  <c r="C1015" i="1" l="1"/>
  <c r="Q289" i="1"/>
  <c r="C1016" i="1" l="1"/>
  <c r="Q290" i="1"/>
  <c r="C1017" i="1" l="1"/>
  <c r="Q291" i="1"/>
  <c r="C1018" i="1" l="1"/>
  <c r="Q292" i="1"/>
  <c r="C1019" i="1" l="1"/>
  <c r="Q293" i="1"/>
  <c r="C1020" i="1" l="1"/>
  <c r="Q294" i="1"/>
  <c r="C1021" i="1" l="1"/>
  <c r="Q295" i="1"/>
  <c r="C1022" i="1" l="1"/>
  <c r="Q296" i="1"/>
  <c r="C1023" i="1" l="1"/>
  <c r="Q297" i="1"/>
  <c r="C1024" i="1" l="1"/>
  <c r="Q298" i="1"/>
  <c r="C1025" i="1" l="1"/>
  <c r="Q299" i="1"/>
  <c r="C1026" i="1" l="1"/>
  <c r="Q300" i="1"/>
  <c r="C1027" i="1" l="1"/>
  <c r="Q301" i="1"/>
  <c r="C1028" i="1" l="1"/>
  <c r="Q302" i="1"/>
  <c r="C1029" i="1" l="1"/>
  <c r="Q303" i="1"/>
  <c r="C1030" i="1" l="1"/>
  <c r="Q304" i="1"/>
  <c r="C1031" i="1" l="1"/>
  <c r="Q305" i="1"/>
  <c r="C1032" i="1" l="1"/>
  <c r="Q306" i="1"/>
  <c r="C1033" i="1" l="1"/>
  <c r="Q307" i="1"/>
  <c r="C1034" i="1" l="1"/>
  <c r="Q308" i="1"/>
  <c r="C1035" i="1" l="1"/>
  <c r="Q309" i="1"/>
  <c r="C1036" i="1" l="1"/>
  <c r="Q310" i="1"/>
  <c r="C1037" i="1" l="1"/>
  <c r="Q311" i="1"/>
  <c r="C1038" i="1" l="1"/>
  <c r="Q312" i="1"/>
  <c r="C1039" i="1" l="1"/>
  <c r="Q313" i="1"/>
  <c r="C1040" i="1" l="1"/>
  <c r="Q314" i="1"/>
  <c r="C1041" i="1" l="1"/>
  <c r="Q315" i="1"/>
  <c r="C1042" i="1" l="1"/>
  <c r="Q316" i="1"/>
  <c r="C1043" i="1" l="1"/>
  <c r="Q317" i="1"/>
  <c r="C1044" i="1" l="1"/>
  <c r="Q318" i="1"/>
  <c r="C1045" i="1" l="1"/>
  <c r="Q319" i="1"/>
  <c r="C1046" i="1" l="1"/>
  <c r="Q320" i="1"/>
  <c r="C1047" i="1" l="1"/>
  <c r="Q321" i="1"/>
  <c r="C1048" i="1" l="1"/>
  <c r="Q322" i="1"/>
  <c r="C1049" i="1" l="1"/>
  <c r="Q323" i="1"/>
  <c r="C1050" i="1" l="1"/>
  <c r="Q324" i="1"/>
  <c r="C1051" i="1" l="1"/>
  <c r="Q325" i="1"/>
  <c r="C1052" i="1" l="1"/>
  <c r="Q326" i="1"/>
  <c r="C1053" i="1" l="1"/>
  <c r="Q327" i="1"/>
  <c r="C1054" i="1" l="1"/>
  <c r="Q328" i="1"/>
  <c r="C1055" i="1" l="1"/>
  <c r="Q329" i="1"/>
  <c r="C1056" i="1" l="1"/>
  <c r="Q330" i="1"/>
  <c r="C1057" i="1" l="1"/>
  <c r="Q331" i="1"/>
  <c r="C1058" i="1" l="1"/>
  <c r="Q332" i="1"/>
  <c r="C1059" i="1" l="1"/>
  <c r="Q333" i="1"/>
  <c r="C1060" i="1" l="1"/>
  <c r="Q334" i="1"/>
  <c r="C1061" i="1" l="1"/>
  <c r="Q335" i="1"/>
  <c r="C1062" i="1" l="1"/>
  <c r="Q336" i="1"/>
  <c r="C1063" i="1" l="1"/>
  <c r="Q337" i="1"/>
  <c r="C1064" i="1" l="1"/>
  <c r="Q338" i="1"/>
  <c r="C1065" i="1" l="1"/>
  <c r="Q339" i="1"/>
  <c r="C1066" i="1" l="1"/>
  <c r="Q340" i="1"/>
  <c r="C1067" i="1" l="1"/>
  <c r="Q341" i="1"/>
  <c r="C1068" i="1" l="1"/>
  <c r="Q342" i="1"/>
  <c r="C1069" i="1" l="1"/>
  <c r="Q343" i="1"/>
  <c r="C1070" i="1" l="1"/>
  <c r="Q344" i="1"/>
  <c r="C1071" i="1" l="1"/>
  <c r="Q345" i="1"/>
  <c r="C1072" i="1" l="1"/>
  <c r="Q346" i="1"/>
  <c r="C1073" i="1" l="1"/>
  <c r="Q347" i="1"/>
  <c r="C1074" i="1" l="1"/>
  <c r="Q348" i="1"/>
  <c r="C1075" i="1" l="1"/>
  <c r="Q349" i="1"/>
  <c r="C1076" i="1" l="1"/>
  <c r="Q350" i="1"/>
  <c r="C1077" i="1" l="1"/>
  <c r="Q351" i="1"/>
  <c r="C1078" i="1" l="1"/>
  <c r="Q352" i="1"/>
  <c r="C1079" i="1" l="1"/>
  <c r="Q353" i="1"/>
  <c r="C1080" i="1" l="1"/>
  <c r="Q354" i="1"/>
  <c r="C1081" i="1" l="1"/>
  <c r="Q355" i="1"/>
  <c r="C1082" i="1" l="1"/>
  <c r="Q356" i="1"/>
  <c r="C1083" i="1" l="1"/>
  <c r="Q357" i="1"/>
  <c r="C1084" i="1" l="1"/>
  <c r="Q358" i="1"/>
  <c r="C1085" i="1" l="1"/>
  <c r="Q359" i="1"/>
  <c r="C1086" i="1" l="1"/>
  <c r="Q360" i="1"/>
  <c r="C1087" i="1" l="1"/>
  <c r="Q361" i="1"/>
  <c r="C1088" i="1" l="1"/>
  <c r="Q362" i="1"/>
  <c r="C1089" i="1" l="1"/>
  <c r="Q363" i="1"/>
  <c r="C1090" i="1" l="1"/>
  <c r="Q364" i="1"/>
  <c r="C1091" i="1" l="1"/>
  <c r="Q365" i="1"/>
  <c r="C1092" i="1" l="1"/>
  <c r="Q366" i="1"/>
  <c r="C1093" i="1" l="1"/>
  <c r="Q367" i="1"/>
  <c r="C1094" i="1" l="1"/>
  <c r="Q368" i="1"/>
  <c r="C1095" i="1" l="1"/>
  <c r="Q369" i="1"/>
  <c r="C1096" i="1" l="1"/>
  <c r="Q370" i="1"/>
  <c r="C1097" i="1" l="1"/>
  <c r="Q371" i="1"/>
  <c r="C1098" i="1" l="1"/>
  <c r="Q372" i="1"/>
  <c r="C1099" i="1" l="1"/>
  <c r="Q373" i="1"/>
  <c r="C1100" i="1" l="1"/>
  <c r="Q374" i="1"/>
  <c r="C1101" i="1" l="1"/>
  <c r="Q375" i="1"/>
  <c r="C1102" i="1" l="1"/>
  <c r="Q376" i="1"/>
  <c r="C1103" i="1" l="1"/>
  <c r="Q377" i="1"/>
  <c r="C1104" i="1" l="1"/>
  <c r="Q378" i="1"/>
  <c r="C1105" i="1" l="1"/>
  <c r="Q379" i="1"/>
  <c r="C1106" i="1" l="1"/>
  <c r="Q380" i="1"/>
  <c r="C1107" i="1" l="1"/>
  <c r="Q381" i="1"/>
  <c r="C1108" i="1" l="1"/>
  <c r="Q382" i="1"/>
  <c r="C1109" i="1" l="1"/>
  <c r="Q383" i="1"/>
  <c r="C1110" i="1" l="1"/>
  <c r="Q384" i="1"/>
  <c r="C1111" i="1" l="1"/>
  <c r="Q385" i="1"/>
  <c r="C1112" i="1" l="1"/>
  <c r="Q386" i="1"/>
  <c r="C1113" i="1" l="1"/>
  <c r="Q387" i="1"/>
  <c r="C1114" i="1" l="1"/>
  <c r="Q388" i="1"/>
  <c r="C1115" i="1" l="1"/>
  <c r="Q389" i="1"/>
  <c r="C1116" i="1" l="1"/>
  <c r="Q390" i="1"/>
  <c r="C1117" i="1" l="1"/>
  <c r="Q391" i="1"/>
  <c r="C1118" i="1" l="1"/>
  <c r="Q392" i="1"/>
  <c r="C1119" i="1" l="1"/>
  <c r="Q393" i="1"/>
  <c r="C1120" i="1" l="1"/>
  <c r="Q394" i="1"/>
  <c r="C1121" i="1" l="1"/>
  <c r="Q395" i="1"/>
  <c r="C1122" i="1" l="1"/>
  <c r="Q396" i="1"/>
  <c r="C1123" i="1" l="1"/>
  <c r="Q397" i="1"/>
  <c r="C1124" i="1" l="1"/>
  <c r="Q398" i="1"/>
  <c r="C1125" i="1" l="1"/>
  <c r="Q399" i="1"/>
  <c r="C1126" i="1" l="1"/>
  <c r="Q400" i="1"/>
  <c r="C1127" i="1" l="1"/>
  <c r="Q401" i="1"/>
  <c r="C1128" i="1" l="1"/>
  <c r="Q402" i="1"/>
  <c r="C1129" i="1" l="1"/>
  <c r="Q403" i="1"/>
  <c r="C1130" i="1" l="1"/>
  <c r="Q404" i="1"/>
  <c r="C1131" i="1" l="1"/>
  <c r="Q405" i="1"/>
  <c r="C1132" i="1" l="1"/>
  <c r="Q406" i="1"/>
  <c r="C1133" i="1" l="1"/>
  <c r="Q407" i="1"/>
  <c r="C1134" i="1" l="1"/>
  <c r="Q408" i="1"/>
  <c r="C1135" i="1" l="1"/>
  <c r="Q409" i="1"/>
  <c r="C1136" i="1" l="1"/>
  <c r="Q410" i="1"/>
  <c r="C1137" i="1" l="1"/>
  <c r="Q411" i="1"/>
  <c r="C1138" i="1" l="1"/>
  <c r="Q412" i="1"/>
  <c r="C1139" i="1" l="1"/>
  <c r="Q413" i="1"/>
  <c r="C1140" i="1" l="1"/>
  <c r="Q414" i="1"/>
  <c r="C1141" i="1" l="1"/>
  <c r="Q415" i="1"/>
  <c r="C1142" i="1" l="1"/>
  <c r="Q416" i="1"/>
  <c r="C1143" i="1" l="1"/>
  <c r="Q417" i="1"/>
  <c r="C1144" i="1" l="1"/>
  <c r="Q418" i="1"/>
  <c r="C1145" i="1" l="1"/>
  <c r="Q419" i="1"/>
  <c r="C1146" i="1" l="1"/>
  <c r="Q420" i="1"/>
  <c r="C1147" i="1" l="1"/>
  <c r="Q421" i="1"/>
  <c r="C1148" i="1" l="1"/>
  <c r="Q422" i="1"/>
  <c r="C1149" i="1" l="1"/>
  <c r="Q423" i="1"/>
  <c r="C1150" i="1" l="1"/>
  <c r="Q424" i="1"/>
  <c r="C1151" i="1" l="1"/>
  <c r="Q425" i="1"/>
  <c r="C1152" i="1" l="1"/>
  <c r="Q426" i="1"/>
  <c r="C1153" i="1" l="1"/>
  <c r="Q427" i="1"/>
  <c r="C1154" i="1" l="1"/>
  <c r="Q428" i="1"/>
  <c r="C1155" i="1" l="1"/>
  <c r="Q429" i="1"/>
  <c r="C1156" i="1" l="1"/>
  <c r="Q430" i="1"/>
  <c r="C1157" i="1" l="1"/>
  <c r="Q431" i="1"/>
  <c r="C1158" i="1" l="1"/>
  <c r="Q432" i="1"/>
  <c r="C1159" i="1" l="1"/>
  <c r="Q433" i="1"/>
  <c r="C1160" i="1" l="1"/>
  <c r="Q434" i="1"/>
  <c r="C1161" i="1" l="1"/>
  <c r="Q435" i="1"/>
  <c r="C1162" i="1" l="1"/>
  <c r="Q436" i="1"/>
  <c r="C1163" i="1" l="1"/>
  <c r="Q437" i="1"/>
  <c r="C1164" i="1" l="1"/>
  <c r="Q438" i="1"/>
  <c r="C1165" i="1" l="1"/>
  <c r="Q439" i="1"/>
  <c r="C1166" i="1" l="1"/>
  <c r="Q440" i="1"/>
  <c r="C1167" i="1" l="1"/>
  <c r="Q441" i="1"/>
  <c r="C1168" i="1" l="1"/>
  <c r="Q442" i="1"/>
  <c r="C1169" i="1" l="1"/>
  <c r="Q443" i="1"/>
  <c r="C1170" i="1" l="1"/>
  <c r="Q444" i="1"/>
  <c r="C1171" i="1" l="1"/>
  <c r="Q445" i="1"/>
  <c r="C1172" i="1" l="1"/>
  <c r="Q446" i="1"/>
  <c r="C1173" i="1" l="1"/>
  <c r="Q447" i="1"/>
  <c r="C1174" i="1" l="1"/>
  <c r="Q448" i="1"/>
  <c r="C1175" i="1" l="1"/>
  <c r="Q449" i="1"/>
  <c r="C1176" i="1" l="1"/>
  <c r="Q450" i="1"/>
  <c r="C1177" i="1" l="1"/>
  <c r="Q451" i="1"/>
  <c r="C1178" i="1" l="1"/>
  <c r="Q452" i="1"/>
  <c r="C1179" i="1" l="1"/>
  <c r="Q453" i="1"/>
  <c r="C1180" i="1" l="1"/>
  <c r="Q454" i="1"/>
  <c r="C1181" i="1" l="1"/>
  <c r="Q455" i="1"/>
  <c r="C1182" i="1" l="1"/>
  <c r="Q456" i="1"/>
  <c r="C1183" i="1" l="1"/>
  <c r="Q457" i="1"/>
  <c r="C1184" i="1" l="1"/>
  <c r="Q458" i="1"/>
  <c r="C1185" i="1" l="1"/>
  <c r="Q459" i="1"/>
  <c r="C1186" i="1" l="1"/>
  <c r="Q460" i="1"/>
  <c r="C1187" i="1" l="1"/>
  <c r="Q461" i="1"/>
  <c r="C1188" i="1" l="1"/>
  <c r="Q462" i="1"/>
  <c r="C1189" i="1" l="1"/>
  <c r="Q463" i="1"/>
  <c r="C1190" i="1" l="1"/>
  <c r="Q464" i="1"/>
  <c r="C1191" i="1" l="1"/>
  <c r="Q465" i="1"/>
  <c r="C1192" i="1" l="1"/>
  <c r="Q466" i="1"/>
  <c r="C1193" i="1" l="1"/>
  <c r="Q467" i="1"/>
  <c r="C1194" i="1" l="1"/>
  <c r="Q468" i="1"/>
  <c r="C1195" i="1" l="1"/>
  <c r="Q469" i="1"/>
  <c r="C1196" i="1" l="1"/>
  <c r="Q470" i="1"/>
  <c r="C1197" i="1" l="1"/>
  <c r="Q471" i="1"/>
  <c r="C1198" i="1" l="1"/>
  <c r="Q472" i="1"/>
  <c r="C1199" i="1" l="1"/>
  <c r="Q473" i="1"/>
  <c r="C1200" i="1" l="1"/>
  <c r="Q474" i="1"/>
  <c r="C1201" i="1" l="1"/>
  <c r="Q475" i="1"/>
  <c r="C1202" i="1" l="1"/>
  <c r="Q476" i="1"/>
  <c r="C1203" i="1" l="1"/>
  <c r="Q477" i="1"/>
  <c r="C1204" i="1" l="1"/>
  <c r="Q478" i="1"/>
  <c r="C1205" i="1" l="1"/>
  <c r="Q479" i="1"/>
  <c r="C1206" i="1" l="1"/>
  <c r="Q480" i="1"/>
  <c r="C1207" i="1" l="1"/>
  <c r="Q481" i="1"/>
  <c r="C1208" i="1" l="1"/>
  <c r="Q482" i="1"/>
  <c r="C1209" i="1" l="1"/>
  <c r="Q483" i="1"/>
  <c r="C1210" i="1" l="1"/>
  <c r="Q484" i="1"/>
  <c r="C1211" i="1" l="1"/>
  <c r="Q485" i="1"/>
  <c r="C1212" i="1" l="1"/>
  <c r="Q486" i="1"/>
  <c r="C1213" i="1" l="1"/>
  <c r="Q487" i="1"/>
  <c r="C1214" i="1" l="1"/>
  <c r="Q488" i="1"/>
  <c r="C1215" i="1" l="1"/>
  <c r="Q489" i="1"/>
  <c r="C1216" i="1" l="1"/>
  <c r="Q490" i="1"/>
  <c r="C1217" i="1" l="1"/>
  <c r="Q491" i="1"/>
  <c r="C1218" i="1" l="1"/>
  <c r="Q492" i="1"/>
  <c r="C1219" i="1" l="1"/>
  <c r="Q493" i="1"/>
  <c r="C1220" i="1" l="1"/>
  <c r="Q494" i="1"/>
  <c r="C1221" i="1" l="1"/>
  <c r="Q495" i="1"/>
  <c r="C1222" i="1" l="1"/>
  <c r="Q496" i="1"/>
  <c r="C1223" i="1" l="1"/>
  <c r="Q497" i="1"/>
  <c r="C1224" i="1" l="1"/>
  <c r="Q498" i="1"/>
  <c r="C1225" i="1" l="1"/>
  <c r="Q499" i="1"/>
  <c r="C1226" i="1" l="1"/>
  <c r="Q500" i="1"/>
  <c r="C1227" i="1" l="1"/>
  <c r="Q501" i="1"/>
  <c r="C1228" i="1" l="1"/>
  <c r="Q502" i="1"/>
  <c r="C1229" i="1" l="1"/>
  <c r="Q503" i="1"/>
  <c r="C1230" i="1" l="1"/>
  <c r="Q504" i="1"/>
  <c r="C1231" i="1" l="1"/>
  <c r="Q505" i="1"/>
  <c r="C1232" i="1" l="1"/>
  <c r="Q506" i="1"/>
  <c r="C1233" i="1" l="1"/>
  <c r="Q507" i="1"/>
  <c r="C1234" i="1" l="1"/>
  <c r="Q508" i="1"/>
  <c r="C1235" i="1" l="1"/>
  <c r="Q509" i="1"/>
  <c r="C1236" i="1" l="1"/>
  <c r="Q510" i="1"/>
  <c r="C1237" i="1" l="1"/>
  <c r="Q511" i="1"/>
  <c r="C1238" i="1" l="1"/>
  <c r="Q512" i="1"/>
  <c r="C1239" i="1" l="1"/>
  <c r="Q513" i="1"/>
  <c r="C1240" i="1" l="1"/>
  <c r="Q514" i="1"/>
  <c r="C1241" i="1" l="1"/>
  <c r="Q515" i="1"/>
  <c r="C1242" i="1" l="1"/>
  <c r="Q516" i="1"/>
  <c r="C1243" i="1" l="1"/>
  <c r="Q517" i="1"/>
  <c r="C1244" i="1" l="1"/>
  <c r="Q518" i="1"/>
  <c r="C1245" i="1" l="1"/>
  <c r="Q519" i="1"/>
  <c r="C1246" i="1" l="1"/>
  <c r="Q520" i="1"/>
  <c r="C1247" i="1" l="1"/>
  <c r="Q521" i="1"/>
  <c r="C1248" i="1" l="1"/>
  <c r="Q522" i="1"/>
  <c r="C1249" i="1" l="1"/>
  <c r="Q523" i="1"/>
  <c r="C1250" i="1" l="1"/>
  <c r="Q524" i="1"/>
  <c r="C1251" i="1" l="1"/>
  <c r="Q525" i="1"/>
  <c r="C1252" i="1" l="1"/>
  <c r="Q526" i="1"/>
  <c r="C1253" i="1" l="1"/>
  <c r="Q527" i="1"/>
  <c r="C1254" i="1" l="1"/>
  <c r="Q528" i="1"/>
  <c r="C1255" i="1" l="1"/>
  <c r="Q529" i="1"/>
  <c r="C1256" i="1" l="1"/>
  <c r="Q530" i="1"/>
  <c r="C1257" i="1" l="1"/>
  <c r="Q531" i="1"/>
  <c r="C1258" i="1" l="1"/>
  <c r="Q532" i="1"/>
  <c r="C1259" i="1" l="1"/>
  <c r="Q533" i="1"/>
  <c r="C1260" i="1" l="1"/>
  <c r="Q534" i="1"/>
  <c r="C1261" i="1" l="1"/>
  <c r="Q535" i="1"/>
  <c r="C1262" i="1" l="1"/>
  <c r="Q536" i="1"/>
  <c r="C1263" i="1" l="1"/>
  <c r="Q537" i="1"/>
  <c r="C1264" i="1" l="1"/>
  <c r="Q538" i="1"/>
  <c r="C1265" i="1" l="1"/>
  <c r="Q539" i="1"/>
  <c r="C1266" i="1" l="1"/>
  <c r="Q540" i="1"/>
  <c r="C1267" i="1" l="1"/>
  <c r="Q541" i="1"/>
  <c r="C1268" i="1" l="1"/>
  <c r="Q542" i="1"/>
  <c r="C1269" i="1" l="1"/>
  <c r="Q543" i="1"/>
  <c r="C1270" i="1" l="1"/>
  <c r="Q544" i="1"/>
  <c r="C1271" i="1" l="1"/>
  <c r="Q545" i="1"/>
  <c r="C1272" i="1" l="1"/>
  <c r="Q546" i="1"/>
  <c r="C1273" i="1" l="1"/>
  <c r="Q547" i="1"/>
  <c r="C1274" i="1" l="1"/>
  <c r="Q548" i="1"/>
  <c r="C1275" i="1" l="1"/>
  <c r="Q549" i="1"/>
  <c r="C1276" i="1" l="1"/>
  <c r="Q550" i="1"/>
  <c r="C1277" i="1" l="1"/>
  <c r="Q551" i="1"/>
  <c r="C1278" i="1" l="1"/>
  <c r="Q552" i="1"/>
  <c r="C1279" i="1" l="1"/>
  <c r="Q553" i="1"/>
  <c r="C1280" i="1" l="1"/>
  <c r="Q554" i="1"/>
  <c r="C1281" i="1" l="1"/>
  <c r="Q555" i="1"/>
  <c r="C1282" i="1" l="1"/>
  <c r="Q556" i="1"/>
  <c r="C1283" i="1" l="1"/>
  <c r="Q557" i="1"/>
  <c r="C1284" i="1" l="1"/>
  <c r="Q558" i="1"/>
  <c r="C1285" i="1" l="1"/>
  <c r="Q559" i="1"/>
  <c r="C1286" i="1" l="1"/>
  <c r="Q560" i="1"/>
  <c r="C1287" i="1" l="1"/>
  <c r="Q561" i="1"/>
  <c r="C1288" i="1" l="1"/>
  <c r="Q562" i="1"/>
  <c r="C1289" i="1" l="1"/>
  <c r="Q563" i="1"/>
  <c r="C1290" i="1" l="1"/>
  <c r="Q564" i="1"/>
  <c r="C1291" i="1" l="1"/>
  <c r="Q565" i="1"/>
  <c r="C1292" i="1" l="1"/>
  <c r="Q566" i="1"/>
  <c r="C1293" i="1" l="1"/>
  <c r="Q567" i="1"/>
  <c r="C1294" i="1" l="1"/>
  <c r="Q568" i="1"/>
  <c r="C1295" i="1" l="1"/>
  <c r="Q569" i="1"/>
  <c r="C1296" i="1" l="1"/>
  <c r="Q570" i="1"/>
  <c r="C1297" i="1" l="1"/>
  <c r="Q571" i="1"/>
  <c r="C1298" i="1" l="1"/>
  <c r="Q572" i="1"/>
  <c r="C1299" i="1" l="1"/>
  <c r="Q573" i="1"/>
  <c r="C1300" i="1" l="1"/>
  <c r="Q574" i="1"/>
  <c r="C1301" i="1" l="1"/>
  <c r="Q575" i="1"/>
  <c r="C1302" i="1" l="1"/>
  <c r="Q576" i="1"/>
  <c r="C1303" i="1" l="1"/>
  <c r="Q577" i="1"/>
  <c r="C1304" i="1" l="1"/>
  <c r="Q578" i="1"/>
  <c r="C1305" i="1" l="1"/>
  <c r="Q579" i="1"/>
  <c r="C1306" i="1" l="1"/>
  <c r="Q580" i="1"/>
  <c r="C1307" i="1" l="1"/>
  <c r="Q581" i="1"/>
  <c r="C1308" i="1" l="1"/>
  <c r="Q582" i="1"/>
  <c r="C1309" i="1" l="1"/>
  <c r="Q583" i="1"/>
  <c r="C1310" i="1" l="1"/>
  <c r="Q584" i="1"/>
  <c r="C1311" i="1" l="1"/>
  <c r="Q585" i="1"/>
  <c r="C1312" i="1" l="1"/>
  <c r="Q586" i="1"/>
  <c r="C1313" i="1" l="1"/>
  <c r="Q587" i="1"/>
  <c r="C1314" i="1" l="1"/>
  <c r="Q588" i="1"/>
  <c r="C1315" i="1" l="1"/>
  <c r="Q589" i="1"/>
  <c r="C1316" i="1" l="1"/>
  <c r="Q590" i="1"/>
  <c r="C1317" i="1" l="1"/>
  <c r="Q591" i="1"/>
  <c r="C1318" i="1" l="1"/>
  <c r="Q592" i="1"/>
  <c r="C1319" i="1" l="1"/>
  <c r="Q593" i="1"/>
  <c r="C1320" i="1" l="1"/>
  <c r="Q594" i="1"/>
  <c r="C1321" i="1" l="1"/>
  <c r="Q595" i="1"/>
  <c r="C1322" i="1" l="1"/>
  <c r="Q596" i="1"/>
  <c r="C1323" i="1" l="1"/>
  <c r="Q597" i="1"/>
  <c r="C1324" i="1" l="1"/>
  <c r="Q598" i="1"/>
  <c r="C1325" i="1" l="1"/>
  <c r="Q599" i="1"/>
  <c r="C1326" i="1" l="1"/>
  <c r="Q600" i="1"/>
  <c r="C1327" i="1" l="1"/>
  <c r="Q601" i="1"/>
  <c r="C1328" i="1" l="1"/>
  <c r="Q602" i="1"/>
  <c r="C1329" i="1" l="1"/>
  <c r="Q603" i="1"/>
  <c r="C1330" i="1" l="1"/>
  <c r="Q604" i="1"/>
  <c r="C1331" i="1" l="1"/>
  <c r="Q605" i="1"/>
  <c r="C1332" i="1" l="1"/>
  <c r="Q606" i="1"/>
  <c r="C1333" i="1" l="1"/>
  <c r="Q607" i="1"/>
  <c r="C1334" i="1" l="1"/>
  <c r="Q608" i="1"/>
  <c r="C1335" i="1" l="1"/>
  <c r="Q609" i="1"/>
  <c r="C1336" i="1" l="1"/>
  <c r="Q610" i="1"/>
  <c r="C1337" i="1" l="1"/>
  <c r="Q611" i="1"/>
  <c r="C1338" i="1" l="1"/>
  <c r="Q612" i="1"/>
  <c r="C1339" i="1" l="1"/>
  <c r="Q613" i="1"/>
  <c r="C1340" i="1" l="1"/>
  <c r="Q614" i="1"/>
  <c r="C1341" i="1" l="1"/>
  <c r="Q615" i="1"/>
  <c r="C1342" i="1" l="1"/>
  <c r="Q616" i="1"/>
  <c r="C1343" i="1" l="1"/>
  <c r="Q617" i="1"/>
  <c r="C1344" i="1" l="1"/>
  <c r="Q618" i="1"/>
  <c r="C1345" i="1" l="1"/>
  <c r="Q619" i="1"/>
  <c r="C1346" i="1" l="1"/>
  <c r="Q620" i="1"/>
  <c r="C1347" i="1" l="1"/>
  <c r="Q621" i="1"/>
  <c r="C1348" i="1" l="1"/>
  <c r="Q622" i="1"/>
  <c r="C1349" i="1" l="1"/>
  <c r="Q623" i="1"/>
  <c r="C1350" i="1" l="1"/>
  <c r="Q624" i="1"/>
  <c r="C1351" i="1" l="1"/>
  <c r="Q625" i="1"/>
  <c r="C1352" i="1" l="1"/>
  <c r="Q626" i="1"/>
  <c r="C1353" i="1" l="1"/>
  <c r="Q627" i="1"/>
  <c r="C1354" i="1" l="1"/>
  <c r="Q628" i="1"/>
  <c r="C1355" i="1" l="1"/>
  <c r="Q629" i="1"/>
  <c r="C1356" i="1" l="1"/>
  <c r="Q630" i="1"/>
  <c r="C1357" i="1" l="1"/>
  <c r="Q631" i="1"/>
  <c r="C1358" i="1" l="1"/>
  <c r="Q632" i="1"/>
  <c r="C1359" i="1" l="1"/>
  <c r="Q633" i="1"/>
  <c r="C1360" i="1" l="1"/>
  <c r="Q634" i="1"/>
  <c r="C1361" i="1" l="1"/>
  <c r="Q635" i="1"/>
  <c r="C1362" i="1" l="1"/>
  <c r="Q636" i="1"/>
  <c r="C1363" i="1" l="1"/>
  <c r="Q637" i="1"/>
  <c r="C1364" i="1" l="1"/>
  <c r="Q638" i="1"/>
  <c r="C1365" i="1" l="1"/>
  <c r="Q639" i="1"/>
  <c r="C1366" i="1" l="1"/>
  <c r="Q640" i="1"/>
  <c r="C1367" i="1" l="1"/>
  <c r="Q641" i="1"/>
  <c r="C1368" i="1" l="1"/>
  <c r="Q642" i="1"/>
  <c r="C1369" i="1" l="1"/>
  <c r="Q643" i="1"/>
  <c r="C1370" i="1" l="1"/>
  <c r="Q644" i="1"/>
  <c r="C1371" i="1" l="1"/>
  <c r="Q645" i="1"/>
  <c r="C1372" i="1" l="1"/>
  <c r="Q646" i="1"/>
  <c r="C1373" i="1" l="1"/>
  <c r="Q647" i="1"/>
  <c r="C1374" i="1" l="1"/>
  <c r="Q648" i="1"/>
  <c r="C1375" i="1" l="1"/>
  <c r="Q649" i="1"/>
  <c r="C1376" i="1" l="1"/>
  <c r="Q650" i="1"/>
  <c r="C1377" i="1" l="1"/>
  <c r="Q651" i="1"/>
  <c r="C1378" i="1" l="1"/>
  <c r="Q652" i="1"/>
  <c r="C1379" i="1" l="1"/>
  <c r="Q653" i="1"/>
  <c r="C1380" i="1" l="1"/>
  <c r="Q654" i="1"/>
  <c r="C1381" i="1" l="1"/>
  <c r="Q655" i="1"/>
  <c r="C1382" i="1" l="1"/>
  <c r="Q656" i="1"/>
  <c r="C1383" i="1" l="1"/>
  <c r="Q657" i="1"/>
  <c r="C1384" i="1" l="1"/>
  <c r="Q658" i="1"/>
  <c r="C1385" i="1" l="1"/>
  <c r="Q659" i="1"/>
  <c r="C1386" i="1" l="1"/>
  <c r="Q660" i="1"/>
  <c r="C1387" i="1" l="1"/>
  <c r="Q661" i="1"/>
  <c r="C1388" i="1" l="1"/>
  <c r="Q662" i="1"/>
  <c r="C1389" i="1" l="1"/>
  <c r="Q663" i="1"/>
  <c r="C1390" i="1" l="1"/>
  <c r="Q664" i="1"/>
  <c r="C1391" i="1" l="1"/>
  <c r="Q665" i="1"/>
  <c r="C1392" i="1" l="1"/>
  <c r="Q666" i="1"/>
  <c r="C1393" i="1" l="1"/>
  <c r="Q667" i="1"/>
  <c r="C1394" i="1" l="1"/>
  <c r="Q668" i="1"/>
  <c r="C1395" i="1" l="1"/>
  <c r="Q669" i="1"/>
  <c r="C1396" i="1" l="1"/>
  <c r="Q670" i="1"/>
  <c r="C1397" i="1" l="1"/>
  <c r="Q671" i="1"/>
  <c r="C1398" i="1" l="1"/>
  <c r="Q672" i="1"/>
  <c r="C1399" i="1" l="1"/>
  <c r="Q673" i="1"/>
  <c r="C1400" i="1" l="1"/>
  <c r="Q674" i="1"/>
  <c r="C1401" i="1" l="1"/>
  <c r="Q675" i="1"/>
  <c r="C1402" i="1" l="1"/>
  <c r="Q676" i="1"/>
  <c r="C1403" i="1" l="1"/>
  <c r="Q677" i="1"/>
  <c r="C1404" i="1" l="1"/>
  <c r="Q678" i="1"/>
  <c r="C1405" i="1" l="1"/>
  <c r="Q679" i="1"/>
  <c r="C1406" i="1" l="1"/>
  <c r="Q680" i="1"/>
  <c r="C1407" i="1" l="1"/>
  <c r="Q681" i="1"/>
  <c r="C1408" i="1" l="1"/>
  <c r="Q682" i="1"/>
  <c r="C1409" i="1" l="1"/>
  <c r="Q683" i="1"/>
  <c r="C1410" i="1" l="1"/>
  <c r="Q684" i="1"/>
  <c r="C1411" i="1" l="1"/>
  <c r="Q685" i="1"/>
  <c r="C1412" i="1" l="1"/>
  <c r="Q686" i="1"/>
  <c r="C1413" i="1" l="1"/>
  <c r="Q687" i="1"/>
  <c r="C1414" i="1" l="1"/>
  <c r="Q688" i="1"/>
  <c r="C1415" i="1" l="1"/>
  <c r="Q689" i="1"/>
  <c r="C1416" i="1" l="1"/>
  <c r="Q690" i="1"/>
  <c r="C1417" i="1" l="1"/>
  <c r="Q691" i="1"/>
  <c r="C1418" i="1" l="1"/>
  <c r="Q692" i="1"/>
  <c r="C1419" i="1" l="1"/>
  <c r="Q693" i="1"/>
  <c r="C1420" i="1" l="1"/>
  <c r="Q694" i="1"/>
  <c r="C1421" i="1" l="1"/>
  <c r="Q695" i="1"/>
  <c r="C1422" i="1" l="1"/>
  <c r="Q696" i="1"/>
  <c r="C1423" i="1" l="1"/>
  <c r="Q697" i="1"/>
  <c r="C1424" i="1" l="1"/>
  <c r="Q698" i="1"/>
  <c r="C1425" i="1" l="1"/>
  <c r="Q699" i="1"/>
  <c r="C1426" i="1" l="1"/>
  <c r="Q700" i="1"/>
  <c r="C1427" i="1" l="1"/>
  <c r="Q701" i="1"/>
  <c r="C1428" i="1" l="1"/>
  <c r="Q702" i="1"/>
  <c r="C1429" i="1" l="1"/>
  <c r="Q703" i="1"/>
  <c r="C1430" i="1" l="1"/>
  <c r="Q704" i="1"/>
  <c r="C1431" i="1" l="1"/>
  <c r="Q705" i="1"/>
  <c r="C1432" i="1" l="1"/>
  <c r="Q706" i="1"/>
  <c r="C1433" i="1" l="1"/>
  <c r="Q707" i="1"/>
  <c r="C1434" i="1" l="1"/>
  <c r="Q708" i="1"/>
  <c r="C1435" i="1" l="1"/>
  <c r="Q709" i="1"/>
  <c r="C1436" i="1" l="1"/>
  <c r="Q710" i="1"/>
  <c r="C1437" i="1" l="1"/>
  <c r="Q711" i="1"/>
  <c r="C1438" i="1" l="1"/>
  <c r="Q712" i="1"/>
  <c r="C1439" i="1" l="1"/>
  <c r="Q713" i="1"/>
  <c r="C1440" i="1" l="1"/>
  <c r="Q714" i="1"/>
  <c r="C1441" i="1" l="1"/>
  <c r="Q715" i="1"/>
  <c r="C1442" i="1" l="1"/>
  <c r="Q716" i="1"/>
  <c r="C1443" i="1" l="1"/>
  <c r="Q717" i="1"/>
  <c r="C1444" i="1" l="1"/>
  <c r="Q718" i="1"/>
  <c r="C1445" i="1" l="1"/>
  <c r="Q719" i="1"/>
  <c r="C1446" i="1" l="1"/>
  <c r="Q720" i="1"/>
  <c r="C1447" i="1" l="1"/>
  <c r="Q721" i="1"/>
  <c r="C1448" i="1" l="1"/>
  <c r="Q722" i="1"/>
  <c r="C1449" i="1" l="1"/>
  <c r="Q723" i="1"/>
  <c r="C1450" i="1" l="1"/>
  <c r="Q724" i="1"/>
  <c r="C1451" i="1" l="1"/>
  <c r="Q725" i="1"/>
  <c r="C1452" i="1" l="1"/>
  <c r="Q726" i="1"/>
  <c r="C1453" i="1" l="1"/>
  <c r="Q727" i="1"/>
  <c r="C1454" i="1" l="1"/>
  <c r="Q728" i="1"/>
  <c r="C1455" i="1" l="1"/>
  <c r="Q729" i="1"/>
  <c r="C1456" i="1" l="1"/>
  <c r="Q730" i="1"/>
  <c r="C1457" i="1" l="1"/>
  <c r="Q731" i="1"/>
  <c r="C1458" i="1" l="1"/>
  <c r="Q732" i="1"/>
  <c r="C1459" i="1" l="1"/>
  <c r="Q733" i="1"/>
  <c r="C1460" i="1" l="1"/>
  <c r="Q734" i="1"/>
  <c r="C1461" i="1" l="1"/>
  <c r="Q735" i="1"/>
  <c r="C1462" i="1" l="1"/>
  <c r="Q736" i="1"/>
  <c r="C1463" i="1" l="1"/>
  <c r="Q737" i="1"/>
  <c r="C1464" i="1" l="1"/>
  <c r="Q738" i="1"/>
  <c r="C1465" i="1" l="1"/>
  <c r="Q739" i="1"/>
  <c r="C1466" i="1" l="1"/>
  <c r="Q740" i="1"/>
  <c r="C1467" i="1" l="1"/>
  <c r="Q741" i="1"/>
  <c r="C1468" i="1" l="1"/>
  <c r="Q742" i="1"/>
  <c r="C1469" i="1" l="1"/>
  <c r="Q743" i="1"/>
  <c r="C1470" i="1" l="1"/>
  <c r="Q744" i="1"/>
  <c r="C1471" i="1" l="1"/>
  <c r="Q745" i="1"/>
  <c r="C1472" i="1" l="1"/>
  <c r="Q746" i="1"/>
  <c r="C1473" i="1" l="1"/>
  <c r="Q747" i="1"/>
  <c r="C1474" i="1" l="1"/>
  <c r="Q748" i="1"/>
  <c r="C1475" i="1" l="1"/>
  <c r="Q749" i="1"/>
  <c r="C1476" i="1" l="1"/>
  <c r="Q750" i="1"/>
  <c r="C1477" i="1" l="1"/>
  <c r="Q751" i="1"/>
  <c r="C1478" i="1" l="1"/>
  <c r="Q752" i="1"/>
  <c r="C1479" i="1" l="1"/>
  <c r="Q753" i="1"/>
  <c r="C1480" i="1" l="1"/>
  <c r="Q754" i="1"/>
  <c r="C1481" i="1" l="1"/>
  <c r="Q755" i="1"/>
  <c r="C1482" i="1" l="1"/>
  <c r="Q756" i="1"/>
  <c r="C1483" i="1" l="1"/>
  <c r="Q757" i="1"/>
  <c r="C1484" i="1" l="1"/>
  <c r="Q758" i="1"/>
  <c r="C1485" i="1" l="1"/>
  <c r="Q759" i="1"/>
  <c r="C1486" i="1" l="1"/>
  <c r="Q760" i="1"/>
  <c r="C1487" i="1" l="1"/>
  <c r="Q761" i="1"/>
  <c r="C1488" i="1" l="1"/>
  <c r="Q762" i="1"/>
  <c r="C1489" i="1" l="1"/>
  <c r="Q763" i="1"/>
  <c r="C1490" i="1" l="1"/>
  <c r="Q764" i="1"/>
  <c r="C1491" i="1" l="1"/>
  <c r="Q765" i="1"/>
  <c r="C1492" i="1" l="1"/>
  <c r="Q766" i="1"/>
  <c r="C1493" i="1" l="1"/>
  <c r="Q767" i="1"/>
  <c r="C1494" i="1" l="1"/>
  <c r="Q768" i="1"/>
  <c r="C1495" i="1" l="1"/>
  <c r="Q769" i="1"/>
  <c r="C1496" i="1" l="1"/>
  <c r="Q770" i="1"/>
  <c r="C1497" i="1" l="1"/>
  <c r="Q771" i="1"/>
  <c r="C1498" i="1" l="1"/>
  <c r="Q772" i="1"/>
  <c r="C1499" i="1" l="1"/>
  <c r="Q773" i="1"/>
  <c r="C1500" i="1" l="1"/>
  <c r="Q774" i="1"/>
  <c r="C1501" i="1" l="1"/>
  <c r="Q775" i="1"/>
  <c r="C1502" i="1" l="1"/>
  <c r="Q776" i="1"/>
  <c r="C1503" i="1" l="1"/>
  <c r="Q777" i="1"/>
  <c r="C1504" i="1" l="1"/>
  <c r="Q778" i="1"/>
  <c r="C1505" i="1" l="1"/>
  <c r="Q779" i="1"/>
  <c r="C1506" i="1" l="1"/>
  <c r="Q780" i="1"/>
  <c r="C1507" i="1" l="1"/>
  <c r="Q781" i="1"/>
  <c r="C1508" i="1" l="1"/>
  <c r="Q782" i="1"/>
  <c r="C1509" i="1" l="1"/>
  <c r="Q783" i="1"/>
  <c r="C1510" i="1" l="1"/>
  <c r="Q784" i="1"/>
  <c r="C1511" i="1" l="1"/>
  <c r="Q785" i="1"/>
  <c r="C1512" i="1" l="1"/>
  <c r="Q786" i="1"/>
  <c r="C1513" i="1" l="1"/>
  <c r="Q787" i="1"/>
  <c r="C1514" i="1" l="1"/>
  <c r="Q788" i="1"/>
  <c r="C1515" i="1" l="1"/>
  <c r="Q789" i="1"/>
  <c r="C1516" i="1" l="1"/>
  <c r="Q790" i="1"/>
  <c r="C1517" i="1" l="1"/>
  <c r="Q791" i="1"/>
  <c r="C1518" i="1" l="1"/>
  <c r="Q792" i="1"/>
  <c r="C1519" i="1" l="1"/>
  <c r="Q793" i="1"/>
  <c r="C1520" i="1" l="1"/>
  <c r="Q794" i="1"/>
  <c r="C1521" i="1" l="1"/>
  <c r="Q795" i="1"/>
  <c r="C1522" i="1" l="1"/>
  <c r="Q796" i="1"/>
  <c r="C1523" i="1" l="1"/>
  <c r="Q797" i="1"/>
  <c r="C1524" i="1" l="1"/>
  <c r="Q798" i="1"/>
  <c r="C1525" i="1" l="1"/>
  <c r="Q799" i="1"/>
  <c r="C1526" i="1" l="1"/>
  <c r="Q800" i="1"/>
  <c r="C1527" i="1" l="1"/>
  <c r="Q801" i="1"/>
  <c r="C1528" i="1" l="1"/>
  <c r="Q802" i="1"/>
  <c r="C1529" i="1" l="1"/>
  <c r="Q803" i="1"/>
  <c r="C1530" i="1" l="1"/>
  <c r="Q804" i="1"/>
  <c r="C1531" i="1" l="1"/>
  <c r="Q805" i="1"/>
  <c r="C1532" i="1" l="1"/>
  <c r="Q806" i="1"/>
  <c r="C1533" i="1" l="1"/>
  <c r="Q807" i="1"/>
  <c r="C1534" i="1" l="1"/>
  <c r="Q808" i="1"/>
  <c r="C1535" i="1" l="1"/>
  <c r="Q809" i="1"/>
  <c r="C1536" i="1" l="1"/>
  <c r="Q810" i="1"/>
  <c r="C1537" i="1" l="1"/>
  <c r="Q811" i="1"/>
  <c r="C1538" i="1" l="1"/>
  <c r="Q812" i="1"/>
  <c r="C1539" i="1" l="1"/>
  <c r="Q813" i="1"/>
  <c r="C1540" i="1" l="1"/>
  <c r="Q814" i="1"/>
  <c r="C1541" i="1" l="1"/>
  <c r="Q815" i="1"/>
  <c r="C1542" i="1" l="1"/>
  <c r="Q816" i="1"/>
  <c r="C1543" i="1" l="1"/>
  <c r="Q817" i="1"/>
  <c r="C1544" i="1" l="1"/>
  <c r="Q818" i="1"/>
  <c r="C1545" i="1" l="1"/>
  <c r="Q819" i="1"/>
  <c r="C1546" i="1" l="1"/>
  <c r="Q820" i="1"/>
  <c r="C1547" i="1" l="1"/>
  <c r="Q821" i="1"/>
  <c r="C1548" i="1" l="1"/>
  <c r="Q822" i="1"/>
  <c r="C1549" i="1" l="1"/>
  <c r="Q823" i="1"/>
  <c r="C1550" i="1" l="1"/>
  <c r="Q824" i="1"/>
  <c r="C1551" i="1" l="1"/>
  <c r="Q825" i="1"/>
  <c r="C1552" i="1" l="1"/>
  <c r="Q826" i="1"/>
  <c r="C1553" i="1" l="1"/>
  <c r="Q827" i="1"/>
  <c r="C1554" i="1" l="1"/>
  <c r="Q828" i="1"/>
  <c r="C1555" i="1" l="1"/>
  <c r="Q829" i="1"/>
  <c r="C1556" i="1" l="1"/>
  <c r="Q830" i="1"/>
  <c r="C1557" i="1" l="1"/>
  <c r="Q831" i="1"/>
  <c r="C1558" i="1" l="1"/>
  <c r="Q832" i="1"/>
  <c r="C1559" i="1" l="1"/>
  <c r="Q833" i="1"/>
  <c r="C1560" i="1" l="1"/>
  <c r="Q834" i="1"/>
  <c r="C1561" i="1" l="1"/>
  <c r="Q835" i="1"/>
  <c r="C1562" i="1" l="1"/>
  <c r="Q836" i="1"/>
  <c r="C1563" i="1" l="1"/>
  <c r="Q837" i="1"/>
  <c r="C1564" i="1" l="1"/>
  <c r="Q838" i="1"/>
  <c r="C1565" i="1" l="1"/>
  <c r="Q839" i="1"/>
  <c r="C1566" i="1" l="1"/>
  <c r="Q840" i="1"/>
  <c r="C1567" i="1" l="1"/>
  <c r="Q841" i="1"/>
  <c r="C1568" i="1" l="1"/>
  <c r="Q842" i="1"/>
  <c r="C1569" i="1" l="1"/>
  <c r="Q843" i="1"/>
  <c r="C1570" i="1" l="1"/>
  <c r="Q844" i="1"/>
  <c r="C1571" i="1" l="1"/>
  <c r="Q845" i="1"/>
  <c r="C1572" i="1" l="1"/>
  <c r="Q846" i="1"/>
  <c r="C1573" i="1" l="1"/>
  <c r="Q847" i="1"/>
  <c r="C1574" i="1" l="1"/>
  <c r="Q848" i="1"/>
  <c r="C1575" i="1" l="1"/>
  <c r="Q849" i="1"/>
  <c r="C1576" i="1" l="1"/>
  <c r="Q850" i="1"/>
  <c r="C1577" i="1" l="1"/>
  <c r="Q851" i="1"/>
  <c r="C1578" i="1" l="1"/>
  <c r="Q852" i="1"/>
  <c r="C1579" i="1" l="1"/>
  <c r="Q853" i="1"/>
  <c r="C1580" i="1" l="1"/>
  <c r="Q854" i="1"/>
  <c r="C1581" i="1" l="1"/>
  <c r="Q855" i="1"/>
  <c r="C1582" i="1" l="1"/>
  <c r="Q856" i="1"/>
  <c r="C1583" i="1" l="1"/>
  <c r="Q857" i="1"/>
  <c r="C1584" i="1" l="1"/>
  <c r="Q858" i="1"/>
  <c r="C1585" i="1" l="1"/>
  <c r="Q859" i="1"/>
  <c r="C1586" i="1" l="1"/>
  <c r="Q860" i="1"/>
  <c r="C1587" i="1" l="1"/>
  <c r="Q861" i="1"/>
  <c r="C1588" i="1" l="1"/>
  <c r="Q862" i="1"/>
  <c r="C1589" i="1" l="1"/>
  <c r="Q863" i="1"/>
  <c r="C1590" i="1" l="1"/>
  <c r="Q864" i="1"/>
  <c r="C1591" i="1" l="1"/>
  <c r="Q865" i="1"/>
  <c r="C1592" i="1" l="1"/>
  <c r="Q866" i="1"/>
  <c r="C1593" i="1" l="1"/>
  <c r="Q867" i="1"/>
  <c r="C1594" i="1" l="1"/>
  <c r="Q868" i="1"/>
  <c r="C1595" i="1" l="1"/>
  <c r="Q869" i="1"/>
  <c r="C1596" i="1" l="1"/>
  <c r="Q870" i="1"/>
  <c r="C1597" i="1" l="1"/>
  <c r="Q871" i="1"/>
  <c r="C1598" i="1" l="1"/>
  <c r="Q872" i="1"/>
  <c r="C1599" i="1" l="1"/>
  <c r="Q873" i="1"/>
  <c r="C1600" i="1" l="1"/>
  <c r="Q874" i="1"/>
  <c r="C1601" i="1" l="1"/>
  <c r="Q875" i="1"/>
  <c r="C1602" i="1" l="1"/>
  <c r="Q876" i="1"/>
  <c r="C1603" i="1" l="1"/>
  <c r="Q877" i="1"/>
  <c r="C1604" i="1" l="1"/>
  <c r="Q878" i="1"/>
  <c r="C1605" i="1" l="1"/>
  <c r="Q879" i="1"/>
  <c r="C1606" i="1" l="1"/>
  <c r="Q880" i="1"/>
  <c r="C1607" i="1" l="1"/>
  <c r="Q881" i="1"/>
  <c r="C1608" i="1" l="1"/>
  <c r="Q882" i="1"/>
  <c r="C1609" i="1" l="1"/>
  <c r="Q883" i="1"/>
  <c r="C1610" i="1" l="1"/>
  <c r="Q884" i="1"/>
  <c r="C1611" i="1" l="1"/>
  <c r="Q885" i="1"/>
  <c r="C1612" i="1" l="1"/>
  <c r="Q886" i="1"/>
  <c r="C1613" i="1" l="1"/>
  <c r="Q887" i="1"/>
  <c r="C1614" i="1" l="1"/>
  <c r="Q888" i="1"/>
  <c r="C1615" i="1" l="1"/>
  <c r="Q889" i="1"/>
  <c r="C1616" i="1" l="1"/>
  <c r="Q890" i="1"/>
  <c r="C1617" i="1" l="1"/>
  <c r="Q891" i="1"/>
  <c r="C1618" i="1" l="1"/>
  <c r="Q892" i="1"/>
  <c r="C1619" i="1" l="1"/>
  <c r="Q893" i="1"/>
  <c r="C1620" i="1" l="1"/>
  <c r="Q894" i="1"/>
  <c r="C1621" i="1" l="1"/>
  <c r="Q895" i="1"/>
  <c r="C1622" i="1" l="1"/>
  <c r="Q896" i="1"/>
  <c r="C1623" i="1" l="1"/>
  <c r="Q897" i="1"/>
  <c r="C1624" i="1" l="1"/>
  <c r="Q898" i="1"/>
  <c r="C1625" i="1" l="1"/>
  <c r="Q899" i="1"/>
  <c r="C1626" i="1" l="1"/>
  <c r="Q900" i="1"/>
  <c r="C1627" i="1" l="1"/>
  <c r="Q901" i="1"/>
  <c r="C1628" i="1" l="1"/>
  <c r="Q902" i="1"/>
  <c r="C1629" i="1" l="1"/>
  <c r="Q903" i="1"/>
  <c r="C1630" i="1" l="1"/>
  <c r="Q904" i="1"/>
  <c r="C1631" i="1" l="1"/>
  <c r="Q905" i="1"/>
  <c r="C1632" i="1" l="1"/>
  <c r="Q906" i="1"/>
  <c r="C1633" i="1" l="1"/>
  <c r="Q907" i="1"/>
  <c r="C1634" i="1" l="1"/>
  <c r="Q908" i="1"/>
  <c r="C1635" i="1" l="1"/>
  <c r="Q909" i="1"/>
  <c r="C1636" i="1" l="1"/>
  <c r="Q910" i="1"/>
  <c r="C1637" i="1" l="1"/>
  <c r="Q911" i="1"/>
  <c r="C1638" i="1" l="1"/>
  <c r="Q912" i="1"/>
  <c r="C1639" i="1" l="1"/>
  <c r="Q913" i="1"/>
  <c r="C1640" i="1" l="1"/>
  <c r="Q914" i="1"/>
  <c r="C1641" i="1" l="1"/>
  <c r="Q915" i="1"/>
  <c r="C1642" i="1" l="1"/>
  <c r="Q916" i="1"/>
  <c r="C1643" i="1" l="1"/>
  <c r="Q917" i="1"/>
  <c r="C1644" i="1" l="1"/>
  <c r="Q918" i="1"/>
  <c r="C1645" i="1" l="1"/>
  <c r="Q919" i="1"/>
  <c r="C1646" i="1" l="1"/>
  <c r="Q920" i="1"/>
  <c r="C1647" i="1" l="1"/>
  <c r="Q921" i="1"/>
  <c r="C1648" i="1" l="1"/>
  <c r="Q922" i="1"/>
  <c r="C1649" i="1" l="1"/>
  <c r="Q923" i="1"/>
  <c r="C1650" i="1" l="1"/>
  <c r="Q924" i="1"/>
  <c r="C1651" i="1" l="1"/>
  <c r="Q925" i="1"/>
  <c r="C1652" i="1" l="1"/>
  <c r="Q926" i="1"/>
  <c r="C1653" i="1" l="1"/>
  <c r="Q927" i="1"/>
  <c r="C1654" i="1" l="1"/>
  <c r="Q928" i="1"/>
  <c r="C1655" i="1" l="1"/>
  <c r="Q929" i="1"/>
  <c r="C1656" i="1" l="1"/>
  <c r="Q930" i="1"/>
  <c r="C1657" i="1" l="1"/>
  <c r="Q931" i="1"/>
  <c r="C1658" i="1" l="1"/>
  <c r="Q932" i="1"/>
  <c r="C1659" i="1" l="1"/>
  <c r="Q933" i="1"/>
  <c r="C1660" i="1" l="1"/>
  <c r="Q934" i="1"/>
  <c r="C1661" i="1" l="1"/>
  <c r="Q935" i="1"/>
  <c r="C1662" i="1" l="1"/>
  <c r="Q936" i="1"/>
  <c r="C1663" i="1" l="1"/>
  <c r="Q937" i="1"/>
  <c r="C1664" i="1" l="1"/>
  <c r="Q938" i="1"/>
  <c r="C1665" i="1" l="1"/>
  <c r="Q939" i="1"/>
  <c r="C1666" i="1" l="1"/>
  <c r="Q940" i="1"/>
  <c r="C1667" i="1" l="1"/>
  <c r="Q941" i="1"/>
  <c r="C1668" i="1" l="1"/>
  <c r="Q942" i="1"/>
  <c r="C1669" i="1" l="1"/>
  <c r="Q943" i="1"/>
  <c r="C1670" i="1" l="1"/>
  <c r="Q944" i="1"/>
  <c r="C1671" i="1" l="1"/>
  <c r="Q945" i="1"/>
  <c r="C1672" i="1" l="1"/>
  <c r="Q946" i="1"/>
  <c r="C1673" i="1" l="1"/>
  <c r="Q947" i="1"/>
  <c r="C1674" i="1" l="1"/>
  <c r="Q948" i="1"/>
  <c r="C1675" i="1" l="1"/>
  <c r="Q949" i="1"/>
  <c r="C1676" i="1" l="1"/>
  <c r="Q950" i="1"/>
  <c r="C1677" i="1" l="1"/>
  <c r="Q951" i="1"/>
  <c r="C1678" i="1" l="1"/>
  <c r="Q952" i="1"/>
  <c r="C1679" i="1" l="1"/>
  <c r="Q953" i="1"/>
  <c r="C1680" i="1" l="1"/>
  <c r="Q954" i="1"/>
  <c r="C1681" i="1" l="1"/>
  <c r="Q955" i="1"/>
  <c r="C1682" i="1" l="1"/>
  <c r="Q956" i="1"/>
  <c r="C1683" i="1" l="1"/>
  <c r="Q957" i="1"/>
  <c r="C1684" i="1" l="1"/>
  <c r="Q958" i="1"/>
  <c r="C1685" i="1" l="1"/>
  <c r="Q959" i="1"/>
  <c r="C1686" i="1" l="1"/>
  <c r="Q960" i="1"/>
  <c r="C1687" i="1" l="1"/>
  <c r="Q961" i="1"/>
  <c r="C1688" i="1" l="1"/>
  <c r="Q962" i="1"/>
  <c r="C1689" i="1" l="1"/>
  <c r="Q963" i="1"/>
  <c r="C1690" i="1" l="1"/>
  <c r="Q964" i="1"/>
  <c r="C1691" i="1" l="1"/>
  <c r="Q965" i="1"/>
  <c r="C1692" i="1" l="1"/>
  <c r="Q966" i="1"/>
  <c r="C1693" i="1" l="1"/>
  <c r="Q967" i="1"/>
  <c r="C1694" i="1" l="1"/>
  <c r="Q968" i="1"/>
  <c r="C1695" i="1" l="1"/>
  <c r="Q969" i="1"/>
  <c r="C1696" i="1" l="1"/>
  <c r="Q970" i="1"/>
  <c r="C1697" i="1" l="1"/>
  <c r="Q971" i="1"/>
  <c r="C1698" i="1" l="1"/>
  <c r="Q972" i="1"/>
  <c r="C1699" i="1" l="1"/>
  <c r="Q973" i="1"/>
  <c r="C1700" i="1" l="1"/>
  <c r="Q974" i="1"/>
  <c r="C1701" i="1" l="1"/>
  <c r="Q975" i="1"/>
  <c r="C1702" i="1" l="1"/>
  <c r="Q976" i="1"/>
  <c r="C1703" i="1" l="1"/>
  <c r="Q977" i="1"/>
  <c r="C1704" i="1" l="1"/>
  <c r="Q978" i="1"/>
  <c r="C1705" i="1" l="1"/>
  <c r="Q979" i="1"/>
  <c r="C1706" i="1" l="1"/>
  <c r="Q980" i="1"/>
  <c r="C1707" i="1" l="1"/>
  <c r="Q981" i="1"/>
  <c r="C1708" i="1" l="1"/>
  <c r="Q982" i="1"/>
  <c r="C1709" i="1" l="1"/>
  <c r="Q983" i="1"/>
  <c r="C1710" i="1" l="1"/>
  <c r="Q984" i="1"/>
  <c r="C1711" i="1" l="1"/>
  <c r="Q985" i="1"/>
  <c r="C1712" i="1" l="1"/>
  <c r="Q986" i="1"/>
  <c r="C1713" i="1" l="1"/>
  <c r="Q987" i="1"/>
  <c r="C1714" i="1" l="1"/>
  <c r="Q988" i="1"/>
  <c r="C1715" i="1" l="1"/>
  <c r="Q989" i="1"/>
  <c r="C1716" i="1" l="1"/>
  <c r="Q990" i="1"/>
  <c r="C1717" i="1" l="1"/>
  <c r="Q991" i="1"/>
  <c r="C1718" i="1" l="1"/>
  <c r="Q992" i="1"/>
  <c r="C1719" i="1" l="1"/>
  <c r="Q993" i="1"/>
  <c r="C1720" i="1" l="1"/>
  <c r="Q994" i="1"/>
  <c r="C1721" i="1" l="1"/>
  <c r="Q995" i="1"/>
  <c r="C1722" i="1" l="1"/>
  <c r="Q996" i="1"/>
  <c r="C1723" i="1" l="1"/>
  <c r="Q997" i="1"/>
  <c r="C1724" i="1" l="1"/>
  <c r="Q998" i="1"/>
  <c r="C1725" i="1" l="1"/>
  <c r="Q999" i="1"/>
  <c r="C1726" i="1" l="1"/>
  <c r="Q1000" i="1"/>
  <c r="C1727" i="1" l="1"/>
  <c r="Q1001" i="1"/>
  <c r="C1728" i="1" l="1"/>
  <c r="Q1002" i="1"/>
  <c r="C1729" i="1" l="1"/>
  <c r="Q1003" i="1"/>
  <c r="C1730" i="1" l="1"/>
  <c r="Q1004" i="1"/>
  <c r="C1731" i="1" l="1"/>
  <c r="Q1005" i="1"/>
  <c r="C1732" i="1" l="1"/>
  <c r="Q1006" i="1"/>
  <c r="C1733" i="1" l="1"/>
  <c r="Q1007" i="1"/>
  <c r="C1734" i="1" l="1"/>
  <c r="Q1008" i="1"/>
  <c r="C1735" i="1" l="1"/>
  <c r="Q1009" i="1"/>
  <c r="C1736" i="1" l="1"/>
  <c r="Q1010" i="1"/>
  <c r="C1737" i="1" l="1"/>
  <c r="Q1011" i="1"/>
  <c r="C1738" i="1" l="1"/>
  <c r="Q1012" i="1"/>
  <c r="C1739" i="1" l="1"/>
  <c r="Q1013" i="1"/>
  <c r="C1740" i="1" l="1"/>
  <c r="Q1014" i="1"/>
  <c r="C1741" i="1" l="1"/>
  <c r="Q1015" i="1"/>
  <c r="C1742" i="1" l="1"/>
  <c r="Q1016" i="1"/>
  <c r="C1743" i="1" l="1"/>
  <c r="Q1017" i="1"/>
  <c r="C1744" i="1" l="1"/>
  <c r="Q1018" i="1"/>
  <c r="C1745" i="1" l="1"/>
  <c r="Q1019" i="1"/>
  <c r="C1746" i="1" l="1"/>
  <c r="Q1020" i="1"/>
  <c r="C1747" i="1" l="1"/>
  <c r="Q1021" i="1"/>
  <c r="C1748" i="1" l="1"/>
  <c r="Q1022" i="1"/>
  <c r="C1749" i="1" l="1"/>
  <c r="Q1023" i="1"/>
  <c r="C1750" i="1" l="1"/>
  <c r="Q1024" i="1"/>
  <c r="C1751" i="1" l="1"/>
  <c r="Q1025" i="1"/>
  <c r="C1752" i="1" l="1"/>
  <c r="Q1026" i="1"/>
  <c r="C1753" i="1" l="1"/>
  <c r="Q1027" i="1"/>
  <c r="C1754" i="1" l="1"/>
  <c r="Q1028" i="1"/>
  <c r="C1755" i="1" l="1"/>
  <c r="Q1029" i="1"/>
  <c r="C1756" i="1" l="1"/>
  <c r="Q1030" i="1"/>
  <c r="C1757" i="1" l="1"/>
  <c r="Q1031" i="1"/>
  <c r="C1758" i="1" l="1"/>
  <c r="Q1032" i="1"/>
  <c r="C1759" i="1" l="1"/>
  <c r="Q1033" i="1"/>
  <c r="C1760" i="1" l="1"/>
  <c r="Q1034" i="1"/>
  <c r="C1761" i="1" l="1"/>
  <c r="Q1035" i="1"/>
  <c r="C1762" i="1" l="1"/>
  <c r="Q1036" i="1"/>
  <c r="C1763" i="1" l="1"/>
  <c r="Q1037" i="1"/>
  <c r="C1764" i="1" l="1"/>
  <c r="Q1038" i="1"/>
  <c r="C1765" i="1" l="1"/>
  <c r="Q1039" i="1"/>
  <c r="C1766" i="1" l="1"/>
  <c r="Q1040" i="1"/>
  <c r="C1767" i="1" l="1"/>
  <c r="Q1041" i="1"/>
  <c r="C1768" i="1" l="1"/>
  <c r="Q1042" i="1"/>
  <c r="C1769" i="1" l="1"/>
  <c r="Q1043" i="1"/>
  <c r="C1770" i="1" l="1"/>
  <c r="Q1044" i="1"/>
  <c r="C1771" i="1" l="1"/>
  <c r="Q1045" i="1"/>
  <c r="C1772" i="1" l="1"/>
  <c r="Q1046" i="1"/>
  <c r="C1773" i="1" l="1"/>
  <c r="Q1047" i="1"/>
  <c r="C1774" i="1" l="1"/>
  <c r="Q1048" i="1"/>
  <c r="C1775" i="1" l="1"/>
  <c r="Q1049" i="1"/>
  <c r="C1776" i="1" l="1"/>
  <c r="Q1050" i="1"/>
  <c r="C1777" i="1" l="1"/>
  <c r="Q1051" i="1"/>
  <c r="C1778" i="1" l="1"/>
  <c r="Q1052" i="1"/>
  <c r="C1779" i="1" l="1"/>
  <c r="Q1053" i="1"/>
  <c r="C1780" i="1" l="1"/>
  <c r="Q1054" i="1"/>
  <c r="C1781" i="1" l="1"/>
  <c r="Q1055" i="1"/>
  <c r="C1782" i="1" l="1"/>
  <c r="Q1056" i="1"/>
  <c r="C1783" i="1" l="1"/>
  <c r="Q1057" i="1"/>
  <c r="C1784" i="1" l="1"/>
  <c r="Q1058" i="1"/>
  <c r="C1785" i="1" l="1"/>
  <c r="Q1059" i="1"/>
  <c r="C1786" i="1" l="1"/>
  <c r="Q1060" i="1"/>
  <c r="C1787" i="1" l="1"/>
  <c r="Q1061" i="1"/>
  <c r="C1788" i="1" l="1"/>
  <c r="Q1062" i="1"/>
  <c r="C1789" i="1" l="1"/>
  <c r="Q1063" i="1"/>
  <c r="C1790" i="1" l="1"/>
  <c r="Q1064" i="1"/>
  <c r="C1791" i="1" l="1"/>
  <c r="Q1065" i="1"/>
  <c r="C1792" i="1" l="1"/>
  <c r="Q1066" i="1"/>
  <c r="C1793" i="1" l="1"/>
  <c r="Q1067" i="1"/>
  <c r="C1794" i="1" l="1"/>
  <c r="Q1068" i="1"/>
  <c r="C1795" i="1" l="1"/>
  <c r="Q1069" i="1"/>
  <c r="C1796" i="1" l="1"/>
  <c r="Q1070" i="1"/>
  <c r="C1797" i="1" l="1"/>
  <c r="Q1071" i="1"/>
  <c r="C1798" i="1" l="1"/>
  <c r="Q1072" i="1"/>
  <c r="C1799" i="1" l="1"/>
  <c r="Q1073" i="1"/>
  <c r="C1800" i="1" l="1"/>
  <c r="Q1074" i="1"/>
  <c r="C1801" i="1" l="1"/>
  <c r="Q1075" i="1"/>
  <c r="C1802" i="1" l="1"/>
  <c r="Q1076" i="1"/>
  <c r="C1803" i="1" l="1"/>
  <c r="Q1077" i="1"/>
  <c r="C1804" i="1" l="1"/>
  <c r="Q1078" i="1"/>
  <c r="C1805" i="1" l="1"/>
  <c r="Q1079" i="1"/>
  <c r="C1806" i="1" l="1"/>
  <c r="Q1080" i="1"/>
  <c r="C1807" i="1" l="1"/>
  <c r="Q1081" i="1"/>
  <c r="C1808" i="1" l="1"/>
  <c r="Q1082" i="1"/>
  <c r="C1809" i="1" l="1"/>
  <c r="Q1083" i="1"/>
  <c r="C1810" i="1" l="1"/>
  <c r="Q1084" i="1"/>
  <c r="C1811" i="1" l="1"/>
  <c r="Q1085" i="1"/>
  <c r="C1812" i="1" l="1"/>
  <c r="Q1086" i="1"/>
  <c r="C1813" i="1" l="1"/>
  <c r="Q1087" i="1"/>
  <c r="C1814" i="1" l="1"/>
  <c r="Q1088" i="1"/>
  <c r="C1815" i="1" l="1"/>
  <c r="Q1089" i="1"/>
  <c r="C1816" i="1" l="1"/>
  <c r="Q1090" i="1"/>
  <c r="C1817" i="1" l="1"/>
  <c r="Q1091" i="1"/>
  <c r="C1818" i="1" l="1"/>
  <c r="Q1092" i="1"/>
  <c r="C1819" i="1" l="1"/>
  <c r="Q1093" i="1"/>
  <c r="C1820" i="1" l="1"/>
  <c r="Q1094" i="1"/>
  <c r="C1821" i="1" l="1"/>
  <c r="Q1095" i="1"/>
  <c r="C1822" i="1" l="1"/>
  <c r="Q1096" i="1"/>
  <c r="C1823" i="1" l="1"/>
  <c r="Q1097" i="1"/>
  <c r="C1824" i="1" l="1"/>
  <c r="Q1098" i="1"/>
  <c r="C1825" i="1" l="1"/>
  <c r="Q1099" i="1"/>
  <c r="C1826" i="1" l="1"/>
  <c r="Q1100" i="1"/>
  <c r="C1827" i="1" l="1"/>
  <c r="Q1101" i="1"/>
  <c r="C1828" i="1" l="1"/>
  <c r="Q1102" i="1"/>
  <c r="C1829" i="1" l="1"/>
  <c r="Q1103" i="1"/>
  <c r="C1830" i="1" l="1"/>
  <c r="Q1104" i="1"/>
  <c r="C1831" i="1" l="1"/>
  <c r="Q1105" i="1"/>
  <c r="C1832" i="1" l="1"/>
  <c r="Q1106" i="1"/>
  <c r="C1833" i="1" l="1"/>
  <c r="Q1107" i="1"/>
  <c r="C1834" i="1" l="1"/>
  <c r="Q1108" i="1"/>
  <c r="C1835" i="1" l="1"/>
  <c r="Q1109" i="1"/>
  <c r="C1836" i="1" l="1"/>
  <c r="Q1110" i="1"/>
  <c r="C1837" i="1" l="1"/>
  <c r="Q1111" i="1"/>
  <c r="C1838" i="1" l="1"/>
  <c r="Q1112" i="1"/>
  <c r="C1839" i="1" l="1"/>
  <c r="Q1113" i="1"/>
  <c r="C1840" i="1" l="1"/>
  <c r="Q1114" i="1"/>
  <c r="C1841" i="1" l="1"/>
  <c r="Q1115" i="1"/>
  <c r="C1842" i="1" l="1"/>
  <c r="Q1116" i="1"/>
  <c r="C1843" i="1" l="1"/>
  <c r="Q1117" i="1"/>
  <c r="C1844" i="1" l="1"/>
  <c r="Q1118" i="1"/>
  <c r="C1845" i="1" l="1"/>
  <c r="Q1119" i="1"/>
  <c r="C1846" i="1" l="1"/>
  <c r="Q1120" i="1"/>
  <c r="C1847" i="1" l="1"/>
  <c r="Q1121" i="1"/>
  <c r="C1848" i="1" l="1"/>
  <c r="Q1122" i="1"/>
  <c r="C1849" i="1" l="1"/>
  <c r="Q1123" i="1"/>
  <c r="C1850" i="1" l="1"/>
  <c r="Q1124" i="1"/>
  <c r="C1851" i="1" l="1"/>
  <c r="Q1125" i="1"/>
  <c r="C1852" i="1" l="1"/>
  <c r="Q1126" i="1"/>
  <c r="C1853" i="1" l="1"/>
  <c r="Q1127" i="1"/>
  <c r="C1854" i="1" l="1"/>
  <c r="Q1128" i="1"/>
  <c r="C1855" i="1" l="1"/>
  <c r="Q1129" i="1"/>
  <c r="C1856" i="1" l="1"/>
  <c r="Q1130" i="1"/>
  <c r="C1857" i="1" l="1"/>
  <c r="Q1131" i="1"/>
  <c r="C1858" i="1" l="1"/>
  <c r="Q1132" i="1"/>
  <c r="C1859" i="1" l="1"/>
  <c r="Q1133" i="1"/>
  <c r="C1860" i="1" l="1"/>
  <c r="Q1134" i="1"/>
  <c r="C1861" i="1" l="1"/>
  <c r="Q1135" i="1"/>
  <c r="C1862" i="1" l="1"/>
  <c r="Q1136" i="1"/>
  <c r="C1863" i="1" l="1"/>
  <c r="Q1137" i="1"/>
  <c r="C1864" i="1" l="1"/>
  <c r="Q1138" i="1"/>
  <c r="C1865" i="1" l="1"/>
  <c r="Q1139" i="1"/>
  <c r="C1866" i="1" l="1"/>
  <c r="Q1140" i="1"/>
  <c r="C1867" i="1" l="1"/>
  <c r="Q1141" i="1"/>
  <c r="C1868" i="1" l="1"/>
  <c r="Q1142" i="1"/>
  <c r="C1869" i="1" l="1"/>
  <c r="Q1143" i="1"/>
  <c r="C1870" i="1" l="1"/>
  <c r="Q1144" i="1"/>
  <c r="C1871" i="1" l="1"/>
  <c r="Q1145" i="1"/>
  <c r="C1872" i="1" l="1"/>
  <c r="Q1146" i="1"/>
  <c r="C1873" i="1" l="1"/>
  <c r="Q1147" i="1"/>
  <c r="C1874" i="1" l="1"/>
  <c r="Q1148" i="1"/>
  <c r="C1875" i="1" l="1"/>
  <c r="Q1149" i="1"/>
  <c r="C1876" i="1" l="1"/>
  <c r="Q1150" i="1"/>
  <c r="C1877" i="1" l="1"/>
  <c r="Q1151" i="1"/>
  <c r="C1878" i="1" l="1"/>
  <c r="Q1152" i="1"/>
  <c r="C1879" i="1" l="1"/>
  <c r="Q1153" i="1"/>
  <c r="C1880" i="1" l="1"/>
  <c r="Q1154" i="1"/>
  <c r="C1881" i="1" l="1"/>
  <c r="Q1155" i="1"/>
  <c r="C1882" i="1" l="1"/>
  <c r="Q1156" i="1"/>
  <c r="C1883" i="1" l="1"/>
  <c r="Q1157" i="1"/>
  <c r="C1884" i="1" l="1"/>
  <c r="Q1158" i="1"/>
  <c r="C1885" i="1" l="1"/>
  <c r="Q1159" i="1"/>
  <c r="C1886" i="1" l="1"/>
  <c r="Q1160" i="1"/>
  <c r="C1887" i="1" l="1"/>
  <c r="Q1161" i="1"/>
  <c r="C1888" i="1" l="1"/>
  <c r="Q1162" i="1"/>
  <c r="C1889" i="1" l="1"/>
  <c r="Q1163" i="1"/>
  <c r="C1890" i="1" l="1"/>
  <c r="Q1164" i="1"/>
  <c r="C1891" i="1" l="1"/>
  <c r="Q1165" i="1"/>
  <c r="C1892" i="1" l="1"/>
  <c r="Q1166" i="1"/>
  <c r="C1893" i="1" l="1"/>
  <c r="Q1167" i="1"/>
  <c r="C1894" i="1" l="1"/>
  <c r="Q1168" i="1"/>
  <c r="C1895" i="1" l="1"/>
  <c r="Q1169" i="1"/>
  <c r="C1896" i="1" l="1"/>
  <c r="Q1170" i="1"/>
  <c r="C1897" i="1" l="1"/>
  <c r="Q1171" i="1"/>
  <c r="C1898" i="1" l="1"/>
  <c r="Q1172" i="1"/>
  <c r="C1899" i="1" l="1"/>
  <c r="Q1173" i="1"/>
  <c r="C1900" i="1" l="1"/>
  <c r="Q1174" i="1"/>
  <c r="C1901" i="1" l="1"/>
  <c r="Q1175" i="1"/>
  <c r="C1902" i="1" l="1"/>
  <c r="Q1176" i="1"/>
  <c r="C1903" i="1" l="1"/>
  <c r="Q1177" i="1"/>
  <c r="C1904" i="1" l="1"/>
  <c r="Q1178" i="1"/>
  <c r="C1905" i="1" l="1"/>
  <c r="Q1179" i="1"/>
  <c r="C1906" i="1" l="1"/>
  <c r="Q1180" i="1"/>
  <c r="C1907" i="1" l="1"/>
  <c r="Q1181" i="1"/>
  <c r="C1908" i="1" l="1"/>
  <c r="Q1182" i="1"/>
  <c r="C1909" i="1" l="1"/>
  <c r="Q1183" i="1"/>
  <c r="C1910" i="1" l="1"/>
  <c r="Q1184" i="1"/>
  <c r="C1911" i="1" l="1"/>
  <c r="Q1185" i="1"/>
  <c r="C1912" i="1" l="1"/>
  <c r="Q1186" i="1"/>
  <c r="C1913" i="1" l="1"/>
  <c r="Q1187" i="1"/>
  <c r="C1914" i="1" l="1"/>
  <c r="Q1188" i="1"/>
  <c r="C1915" i="1" l="1"/>
  <c r="Q1189" i="1"/>
  <c r="C1916" i="1" l="1"/>
  <c r="Q1190" i="1"/>
  <c r="C1917" i="1" l="1"/>
  <c r="Q1191" i="1"/>
  <c r="C1918" i="1" l="1"/>
  <c r="Q1192" i="1"/>
  <c r="C1919" i="1" l="1"/>
  <c r="Q1193" i="1"/>
  <c r="C1920" i="1" l="1"/>
  <c r="Q1194" i="1"/>
  <c r="C1921" i="1" l="1"/>
  <c r="Q1195" i="1"/>
  <c r="C1922" i="1" l="1"/>
  <c r="Q1196" i="1"/>
  <c r="C1923" i="1" l="1"/>
  <c r="Q1197" i="1"/>
  <c r="C1924" i="1" l="1"/>
  <c r="Q1198" i="1"/>
  <c r="C1925" i="1" l="1"/>
  <c r="Q1199" i="1"/>
  <c r="C1926" i="1" l="1"/>
  <c r="Q1200" i="1"/>
  <c r="C1927" i="1" l="1"/>
  <c r="Q1201" i="1"/>
  <c r="C1928" i="1" l="1"/>
  <c r="Q1202" i="1"/>
  <c r="C1929" i="1" l="1"/>
  <c r="Q1203" i="1"/>
  <c r="C1930" i="1" l="1"/>
  <c r="Q1204" i="1"/>
  <c r="C1931" i="1" l="1"/>
  <c r="Q1205" i="1"/>
  <c r="C1932" i="1" l="1"/>
  <c r="Q1206" i="1"/>
  <c r="C1933" i="1" l="1"/>
  <c r="Q1207" i="1"/>
  <c r="C1934" i="1" l="1"/>
  <c r="Q1208" i="1"/>
  <c r="C1935" i="1" l="1"/>
  <c r="Q1209" i="1"/>
  <c r="C1936" i="1" l="1"/>
  <c r="Q1210" i="1"/>
  <c r="C1937" i="1" l="1"/>
  <c r="Q1211" i="1"/>
  <c r="C1938" i="1" l="1"/>
  <c r="Q1212" i="1"/>
  <c r="C1939" i="1" l="1"/>
  <c r="Q1213" i="1"/>
  <c r="C1940" i="1" l="1"/>
  <c r="Q1214" i="1"/>
  <c r="C1941" i="1" l="1"/>
  <c r="Q1215" i="1"/>
  <c r="C1942" i="1" l="1"/>
  <c r="Q1216" i="1"/>
  <c r="C1943" i="1" l="1"/>
  <c r="Q1217" i="1"/>
  <c r="C1944" i="1" l="1"/>
  <c r="Q1218" i="1"/>
  <c r="C1945" i="1" l="1"/>
  <c r="Q1219" i="1"/>
  <c r="C1946" i="1" l="1"/>
  <c r="Q1220" i="1"/>
  <c r="C1947" i="1" l="1"/>
  <c r="Q1221" i="1"/>
  <c r="C1948" i="1" l="1"/>
  <c r="Q1222" i="1"/>
  <c r="C1949" i="1" l="1"/>
  <c r="Q1223" i="1"/>
  <c r="C1950" i="1" l="1"/>
  <c r="Q1224" i="1"/>
  <c r="C1951" i="1" l="1"/>
  <c r="Q1225" i="1"/>
  <c r="C1952" i="1" l="1"/>
  <c r="Q1226" i="1"/>
  <c r="C1953" i="1" l="1"/>
  <c r="Q1227" i="1"/>
  <c r="C1954" i="1" l="1"/>
  <c r="Q1228" i="1"/>
  <c r="C1955" i="1" l="1"/>
  <c r="Q1229" i="1"/>
  <c r="C1956" i="1" l="1"/>
  <c r="Q1230" i="1"/>
  <c r="C1957" i="1" l="1"/>
  <c r="Q1231" i="1"/>
  <c r="C1958" i="1" l="1"/>
  <c r="Q1232" i="1"/>
  <c r="C1959" i="1" l="1"/>
  <c r="Q1233" i="1"/>
  <c r="C1960" i="1" l="1"/>
  <c r="Q1234" i="1"/>
  <c r="C1961" i="1" l="1"/>
  <c r="Q1235" i="1"/>
  <c r="C1962" i="1" l="1"/>
  <c r="Q1236" i="1"/>
  <c r="C1963" i="1" l="1"/>
  <c r="Q1237" i="1"/>
  <c r="C1964" i="1" l="1"/>
  <c r="Q1238" i="1"/>
  <c r="C1965" i="1" l="1"/>
  <c r="Q1239" i="1"/>
  <c r="C1966" i="1" l="1"/>
  <c r="Q1240" i="1"/>
  <c r="C1967" i="1" l="1"/>
  <c r="Q1241" i="1"/>
  <c r="C1968" i="1" l="1"/>
  <c r="Q1242" i="1"/>
  <c r="C1969" i="1" l="1"/>
  <c r="Q1243" i="1"/>
  <c r="C1970" i="1" l="1"/>
  <c r="Q1244" i="1"/>
  <c r="C1971" i="1" l="1"/>
  <c r="Q1245" i="1"/>
  <c r="C1972" i="1" l="1"/>
  <c r="Q1246" i="1"/>
  <c r="C1973" i="1" l="1"/>
  <c r="Q1247" i="1"/>
  <c r="C1974" i="1" l="1"/>
  <c r="Q1248" i="1"/>
  <c r="C1975" i="1" l="1"/>
  <c r="Q1249" i="1"/>
  <c r="C1976" i="1" l="1"/>
  <c r="Q1250" i="1"/>
  <c r="C1977" i="1" l="1"/>
  <c r="Q1251" i="1"/>
  <c r="C1978" i="1" l="1"/>
  <c r="Q1252" i="1"/>
  <c r="C1979" i="1" l="1"/>
  <c r="Q1253" i="1"/>
  <c r="C1980" i="1" l="1"/>
  <c r="Q1254" i="1"/>
  <c r="C1981" i="1" l="1"/>
  <c r="Q1255" i="1"/>
  <c r="C1982" i="1" l="1"/>
  <c r="Q1256" i="1"/>
  <c r="C1983" i="1" l="1"/>
  <c r="Q1257" i="1"/>
  <c r="C1984" i="1" l="1"/>
  <c r="Q1258" i="1"/>
  <c r="C1985" i="1" l="1"/>
  <c r="Q1259" i="1"/>
  <c r="C1986" i="1" l="1"/>
  <c r="Q1260" i="1"/>
  <c r="C1987" i="1" l="1"/>
  <c r="Q1261" i="1"/>
  <c r="C1988" i="1" l="1"/>
  <c r="Q1262" i="1"/>
  <c r="C1989" i="1" l="1"/>
  <c r="Q1263" i="1"/>
  <c r="C1990" i="1" l="1"/>
  <c r="Q1264" i="1"/>
  <c r="C1991" i="1" l="1"/>
  <c r="Q1265" i="1"/>
  <c r="C1992" i="1" l="1"/>
  <c r="Q1266" i="1"/>
  <c r="C1993" i="1" l="1"/>
  <c r="Q1267" i="1"/>
  <c r="C1994" i="1" l="1"/>
  <c r="Q1268" i="1"/>
  <c r="C1995" i="1" l="1"/>
  <c r="Q1269" i="1"/>
  <c r="C1996" i="1" l="1"/>
  <c r="Q1270" i="1"/>
  <c r="C1997" i="1" l="1"/>
  <c r="Q1271" i="1"/>
  <c r="C1998" i="1" l="1"/>
  <c r="Q1272" i="1"/>
  <c r="C1999" i="1" l="1"/>
  <c r="Q1273" i="1"/>
  <c r="C2000" i="1" l="1"/>
  <c r="Q1274" i="1"/>
  <c r="C2001" i="1" l="1"/>
  <c r="Q1275" i="1"/>
  <c r="C2002" i="1" l="1"/>
  <c r="Q1276" i="1"/>
  <c r="C2003" i="1" l="1"/>
  <c r="Q1277" i="1"/>
  <c r="C2004" i="1" l="1"/>
  <c r="Q1278" i="1"/>
  <c r="C2005" i="1" l="1"/>
  <c r="Q1279" i="1"/>
  <c r="C2006" i="1" l="1"/>
  <c r="Q1280" i="1"/>
  <c r="C2007" i="1" l="1"/>
  <c r="Q1281" i="1"/>
  <c r="C2008" i="1" l="1"/>
  <c r="Q1282" i="1"/>
  <c r="C2009" i="1" l="1"/>
  <c r="Q1283" i="1"/>
  <c r="C2010" i="1" l="1"/>
  <c r="Q1284" i="1"/>
  <c r="C2011" i="1" l="1"/>
  <c r="Q1285" i="1"/>
  <c r="C2012" i="1" l="1"/>
  <c r="Q1286" i="1"/>
  <c r="C2013" i="1" l="1"/>
  <c r="Q1287" i="1"/>
  <c r="C2014" i="1" l="1"/>
  <c r="Q1288" i="1"/>
  <c r="C2015" i="1" l="1"/>
  <c r="Q1289" i="1"/>
  <c r="C2016" i="1" l="1"/>
  <c r="Q1290" i="1"/>
  <c r="C2017" i="1" l="1"/>
  <c r="Q1291" i="1"/>
  <c r="C2018" i="1" l="1"/>
  <c r="Q1292" i="1"/>
  <c r="C2019" i="1" l="1"/>
  <c r="Q1293" i="1"/>
  <c r="C2020" i="1" l="1"/>
  <c r="Q1294" i="1"/>
  <c r="C2021" i="1" l="1"/>
  <c r="Q1295" i="1"/>
  <c r="C2022" i="1" l="1"/>
  <c r="Q1296" i="1"/>
  <c r="C2023" i="1" l="1"/>
  <c r="Q1297" i="1"/>
  <c r="C2024" i="1" l="1"/>
  <c r="Q1298" i="1"/>
  <c r="C2025" i="1" l="1"/>
  <c r="Q1299" i="1"/>
  <c r="C2026" i="1" l="1"/>
  <c r="Q1300" i="1"/>
  <c r="C2027" i="1" l="1"/>
  <c r="Q1301" i="1"/>
  <c r="C2028" i="1" l="1"/>
  <c r="Q1302" i="1"/>
  <c r="C2029" i="1" l="1"/>
  <c r="Q1303" i="1"/>
  <c r="C2030" i="1" l="1"/>
  <c r="Q1304" i="1"/>
  <c r="C2031" i="1" l="1"/>
  <c r="Q1305" i="1"/>
  <c r="C2032" i="1" l="1"/>
  <c r="Q1306" i="1"/>
  <c r="C2033" i="1" l="1"/>
  <c r="Q1307" i="1"/>
  <c r="C2034" i="1" l="1"/>
  <c r="Q1308" i="1"/>
  <c r="C2035" i="1" l="1"/>
  <c r="Q1309" i="1"/>
  <c r="C2036" i="1" l="1"/>
  <c r="Q1310" i="1"/>
  <c r="C2037" i="1" l="1"/>
  <c r="Q1311" i="1"/>
  <c r="C2038" i="1" l="1"/>
  <c r="Q1312" i="1"/>
  <c r="C2039" i="1" l="1"/>
  <c r="Q1313" i="1"/>
  <c r="C2040" i="1" l="1"/>
  <c r="Q1314" i="1"/>
  <c r="C2041" i="1" l="1"/>
  <c r="Q1315" i="1"/>
  <c r="C2042" i="1" l="1"/>
  <c r="Q1316" i="1"/>
  <c r="C2043" i="1" l="1"/>
  <c r="Q1317" i="1"/>
  <c r="C2044" i="1" l="1"/>
  <c r="Q1318" i="1"/>
  <c r="C2045" i="1" l="1"/>
  <c r="Q1319" i="1"/>
  <c r="C2046" i="1" l="1"/>
  <c r="Q1320" i="1"/>
  <c r="C2047" i="1" l="1"/>
  <c r="Q1321" i="1"/>
  <c r="C2048" i="1" l="1"/>
  <c r="Q1322" i="1"/>
  <c r="C2049" i="1" l="1"/>
  <c r="Q1323" i="1"/>
  <c r="C2050" i="1" l="1"/>
  <c r="Q1324" i="1"/>
  <c r="C2051" i="1" l="1"/>
  <c r="Q1325" i="1"/>
  <c r="C2052" i="1" l="1"/>
  <c r="Q1326" i="1"/>
  <c r="C2053" i="1" l="1"/>
  <c r="Q1327" i="1"/>
  <c r="C2054" i="1" l="1"/>
  <c r="Q1328" i="1"/>
  <c r="C2055" i="1" l="1"/>
  <c r="Q1329" i="1"/>
  <c r="C2056" i="1" l="1"/>
  <c r="Q1330" i="1"/>
  <c r="C2057" i="1" l="1"/>
  <c r="Q1331" i="1"/>
  <c r="C2058" i="1" l="1"/>
  <c r="Q1332" i="1"/>
  <c r="C2059" i="1" l="1"/>
  <c r="Q1333" i="1"/>
  <c r="C2060" i="1" l="1"/>
  <c r="Q1334" i="1"/>
  <c r="C2061" i="1" l="1"/>
  <c r="Q1335" i="1"/>
  <c r="C2062" i="1" l="1"/>
  <c r="Q1336" i="1"/>
  <c r="C2063" i="1" l="1"/>
  <c r="Q1337" i="1"/>
  <c r="C2064" i="1" l="1"/>
  <c r="Q1338" i="1"/>
  <c r="C2065" i="1" l="1"/>
  <c r="Q1339" i="1"/>
  <c r="C2066" i="1" l="1"/>
  <c r="Q1340" i="1"/>
  <c r="C2067" i="1" l="1"/>
  <c r="Q1341" i="1"/>
  <c r="C2068" i="1" l="1"/>
  <c r="Q1342" i="1"/>
  <c r="C2069" i="1" l="1"/>
  <c r="Q1343" i="1"/>
  <c r="C2070" i="1" l="1"/>
  <c r="Q1344" i="1"/>
  <c r="C2071" i="1" l="1"/>
  <c r="Q1345" i="1"/>
  <c r="C2072" i="1" l="1"/>
  <c r="Q1346" i="1"/>
  <c r="C2073" i="1" l="1"/>
  <c r="Q1347" i="1"/>
  <c r="C2074" i="1" l="1"/>
  <c r="Q1348" i="1"/>
  <c r="C2075" i="1" l="1"/>
  <c r="Q1349" i="1"/>
  <c r="C2076" i="1" l="1"/>
  <c r="Q1350" i="1"/>
  <c r="C2077" i="1" l="1"/>
  <c r="Q1351" i="1"/>
  <c r="C2078" i="1" l="1"/>
  <c r="Q1352" i="1"/>
  <c r="C2079" i="1" l="1"/>
  <c r="Q1353" i="1"/>
  <c r="C2080" i="1" l="1"/>
  <c r="Q1354" i="1"/>
  <c r="C2081" i="1" l="1"/>
  <c r="Q1355" i="1"/>
  <c r="C2082" i="1" l="1"/>
  <c r="Q1356" i="1"/>
  <c r="C2083" i="1" l="1"/>
  <c r="Q1357" i="1"/>
  <c r="C2084" i="1" l="1"/>
  <c r="Q1358" i="1"/>
  <c r="C2085" i="1" l="1"/>
  <c r="Q1359" i="1"/>
  <c r="C2086" i="1" l="1"/>
  <c r="Q1360" i="1"/>
  <c r="C2087" i="1" l="1"/>
  <c r="Q1361" i="1"/>
  <c r="C2088" i="1" l="1"/>
  <c r="Q1362" i="1"/>
  <c r="C2089" i="1" l="1"/>
  <c r="Q1363" i="1"/>
  <c r="C2090" i="1" l="1"/>
  <c r="Q1364" i="1"/>
  <c r="C2091" i="1" l="1"/>
  <c r="Q1365" i="1"/>
  <c r="C2092" i="1" l="1"/>
  <c r="Q1366" i="1"/>
  <c r="C2093" i="1" l="1"/>
  <c r="Q1367" i="1"/>
  <c r="C2094" i="1" l="1"/>
  <c r="Q1368" i="1"/>
  <c r="C2095" i="1" l="1"/>
  <c r="Q1369" i="1"/>
  <c r="C2096" i="1" l="1"/>
  <c r="Q1370" i="1"/>
  <c r="C2097" i="1" l="1"/>
  <c r="Q1371" i="1"/>
  <c r="C2098" i="1" l="1"/>
  <c r="Q1372" i="1"/>
  <c r="C2099" i="1" l="1"/>
  <c r="Q1373" i="1"/>
  <c r="C2100" i="1" l="1"/>
  <c r="Q1374" i="1"/>
  <c r="C2101" i="1" l="1"/>
  <c r="Q1375" i="1"/>
  <c r="C2102" i="1" l="1"/>
  <c r="Q1376" i="1"/>
  <c r="C2103" i="1" l="1"/>
  <c r="Q1377" i="1"/>
  <c r="C2104" i="1" l="1"/>
  <c r="Q1378" i="1"/>
  <c r="C2105" i="1" l="1"/>
  <c r="Q1379" i="1"/>
  <c r="C2106" i="1" l="1"/>
  <c r="Q1380" i="1"/>
  <c r="C2107" i="1" l="1"/>
  <c r="Q1381" i="1"/>
  <c r="C2108" i="1" l="1"/>
  <c r="Q1382" i="1"/>
  <c r="C2109" i="1" l="1"/>
  <c r="Q1383" i="1"/>
  <c r="C2110" i="1" l="1"/>
  <c r="Q1384" i="1"/>
  <c r="C2111" i="1" l="1"/>
  <c r="Q1385" i="1"/>
  <c r="C2112" i="1" l="1"/>
  <c r="Q1386" i="1"/>
  <c r="C2113" i="1" l="1"/>
  <c r="Q1387" i="1"/>
  <c r="C2114" i="1" l="1"/>
  <c r="Q1388" i="1"/>
  <c r="C2115" i="1" l="1"/>
  <c r="Q1389" i="1"/>
  <c r="C2116" i="1" l="1"/>
  <c r="Q1390" i="1"/>
  <c r="C2117" i="1" l="1"/>
  <c r="Q1391" i="1"/>
  <c r="C2118" i="1" l="1"/>
  <c r="Q1392" i="1"/>
  <c r="C2119" i="1" l="1"/>
  <c r="Q1393" i="1"/>
  <c r="C2120" i="1" l="1"/>
  <c r="Q1394" i="1"/>
  <c r="C2121" i="1" l="1"/>
  <c r="Q1395" i="1"/>
  <c r="C2122" i="1" l="1"/>
  <c r="Q1396" i="1"/>
  <c r="C2123" i="1" l="1"/>
  <c r="Q1397" i="1"/>
  <c r="C2124" i="1" l="1"/>
  <c r="Q1398" i="1"/>
  <c r="C2125" i="1" l="1"/>
  <c r="Q1399" i="1"/>
  <c r="C2126" i="1" l="1"/>
  <c r="Q1400" i="1"/>
  <c r="C2127" i="1" l="1"/>
  <c r="Q1401" i="1"/>
  <c r="C2128" i="1" l="1"/>
  <c r="Q1402" i="1"/>
  <c r="C2129" i="1" l="1"/>
  <c r="Q1403" i="1"/>
  <c r="C2130" i="1" l="1"/>
  <c r="Q1404" i="1"/>
  <c r="C2131" i="1" l="1"/>
  <c r="Q1405" i="1"/>
  <c r="C2132" i="1" l="1"/>
  <c r="Q1406" i="1"/>
  <c r="C2133" i="1" l="1"/>
  <c r="Q1407" i="1"/>
  <c r="C2134" i="1" l="1"/>
  <c r="Q1408" i="1"/>
  <c r="C2135" i="1" l="1"/>
  <c r="Q1409" i="1"/>
  <c r="C2136" i="1" l="1"/>
  <c r="Q1410" i="1"/>
  <c r="C2137" i="1" l="1"/>
  <c r="Q1411" i="1"/>
  <c r="C2138" i="1" l="1"/>
  <c r="Q1412" i="1"/>
  <c r="C2139" i="1" l="1"/>
  <c r="Q1413" i="1"/>
  <c r="C2140" i="1" l="1"/>
  <c r="Q1414" i="1"/>
  <c r="C2141" i="1" l="1"/>
  <c r="Q1415" i="1"/>
  <c r="C2142" i="1" l="1"/>
  <c r="Q1416" i="1"/>
  <c r="C2143" i="1" l="1"/>
  <c r="Q1417" i="1"/>
  <c r="C2144" i="1" l="1"/>
  <c r="Q1418" i="1"/>
  <c r="C2145" i="1" l="1"/>
  <c r="Q1419" i="1"/>
  <c r="C2146" i="1" l="1"/>
  <c r="Q1420" i="1"/>
  <c r="C2147" i="1" l="1"/>
  <c r="Q1421" i="1"/>
  <c r="C2148" i="1" l="1"/>
  <c r="Q1422" i="1"/>
  <c r="C2149" i="1" l="1"/>
  <c r="Q1423" i="1"/>
  <c r="C2150" i="1" l="1"/>
  <c r="Q1424" i="1"/>
  <c r="C2151" i="1" l="1"/>
  <c r="Q1425" i="1"/>
  <c r="C2152" i="1" l="1"/>
  <c r="Q1426" i="1"/>
  <c r="C2153" i="1" l="1"/>
  <c r="Q1427" i="1"/>
  <c r="C2154" i="1" l="1"/>
  <c r="Q1428" i="1"/>
  <c r="C2155" i="1" l="1"/>
  <c r="Q1429" i="1"/>
  <c r="C2156" i="1" l="1"/>
  <c r="Q1430" i="1"/>
  <c r="C2157" i="1" l="1"/>
  <c r="Q1431" i="1"/>
  <c r="C2158" i="1" l="1"/>
  <c r="Q1432" i="1"/>
  <c r="C2159" i="1" l="1"/>
  <c r="Q1433" i="1"/>
  <c r="C2160" i="1" l="1"/>
  <c r="Q1434" i="1"/>
  <c r="C2161" i="1" l="1"/>
  <c r="Q1435" i="1"/>
  <c r="C2162" i="1" l="1"/>
  <c r="Q1436" i="1"/>
  <c r="C2163" i="1" l="1"/>
  <c r="Q1437" i="1"/>
  <c r="C2164" i="1" l="1"/>
  <c r="Q1438" i="1"/>
  <c r="C2165" i="1" l="1"/>
  <c r="Q1439" i="1"/>
  <c r="C2166" i="1" l="1"/>
  <c r="Q1440" i="1"/>
  <c r="C2167" i="1" l="1"/>
  <c r="Q1441" i="1"/>
  <c r="C2168" i="1" l="1"/>
  <c r="Q1442" i="1"/>
  <c r="C2169" i="1" l="1"/>
  <c r="Q1443" i="1"/>
  <c r="C2170" i="1" l="1"/>
  <c r="Q1444" i="1"/>
  <c r="C2171" i="1" l="1"/>
  <c r="Q1445" i="1"/>
  <c r="C2172" i="1" l="1"/>
  <c r="Q1446" i="1"/>
  <c r="C2173" i="1" l="1"/>
  <c r="Q1447" i="1"/>
  <c r="C2174" i="1" l="1"/>
  <c r="Q1448" i="1"/>
  <c r="C2175" i="1" l="1"/>
  <c r="Q1449" i="1"/>
  <c r="C2176" i="1" l="1"/>
  <c r="Q1450" i="1"/>
  <c r="C2177" i="1" l="1"/>
  <c r="Q1451" i="1"/>
  <c r="C2178" i="1" l="1"/>
  <c r="Q1452" i="1"/>
  <c r="C2179" i="1" l="1"/>
  <c r="Q1453" i="1"/>
  <c r="C2180" i="1" l="1"/>
  <c r="Q1454" i="1"/>
  <c r="C2181" i="1" l="1"/>
  <c r="Q1455" i="1"/>
  <c r="C2182" i="1" l="1"/>
  <c r="Q1456" i="1"/>
  <c r="C2183" i="1" l="1"/>
  <c r="Q1457" i="1"/>
  <c r="C2184" i="1" l="1"/>
  <c r="Q1458" i="1"/>
  <c r="C2185" i="1" l="1"/>
  <c r="Q1459" i="1"/>
  <c r="C2186" i="1" l="1"/>
  <c r="Q1460" i="1"/>
  <c r="C2187" i="1" l="1"/>
  <c r="Q1461" i="1"/>
  <c r="C2188" i="1" l="1"/>
  <c r="Q1462" i="1"/>
  <c r="C2189" i="1" l="1"/>
  <c r="Q1463" i="1"/>
  <c r="C2190" i="1" l="1"/>
  <c r="Q1464" i="1"/>
  <c r="C2191" i="1" l="1"/>
  <c r="Q1465" i="1"/>
  <c r="C2192" i="1" l="1"/>
  <c r="Q1466" i="1"/>
  <c r="C2193" i="1" l="1"/>
  <c r="Q1467" i="1"/>
  <c r="C2194" i="1" l="1"/>
  <c r="Q1468" i="1"/>
  <c r="C2195" i="1" l="1"/>
  <c r="Q1469" i="1"/>
  <c r="C2196" i="1" l="1"/>
  <c r="Q1470" i="1"/>
  <c r="C2197" i="1" l="1"/>
  <c r="Q1471" i="1"/>
  <c r="C2198" i="1" l="1"/>
  <c r="Q1472" i="1"/>
  <c r="C2199" i="1" l="1"/>
  <c r="Q1473" i="1"/>
  <c r="C2200" i="1" l="1"/>
  <c r="Q1474" i="1"/>
  <c r="C2201" i="1" l="1"/>
  <c r="Q1475" i="1"/>
  <c r="C2202" i="1" l="1"/>
  <c r="Q1476" i="1"/>
  <c r="C2203" i="1" l="1"/>
  <c r="Q1477" i="1"/>
  <c r="C2204" i="1" l="1"/>
  <c r="Q1478" i="1"/>
  <c r="C2205" i="1" l="1"/>
  <c r="Q1479" i="1"/>
  <c r="C2206" i="1" l="1"/>
  <c r="Q1480" i="1"/>
  <c r="C2207" i="1" l="1"/>
  <c r="Q1481" i="1"/>
  <c r="C2208" i="1" l="1"/>
  <c r="Q1482" i="1"/>
  <c r="C2209" i="1" l="1"/>
  <c r="Q1483" i="1"/>
  <c r="C2210" i="1" l="1"/>
  <c r="Q1484" i="1"/>
  <c r="C2211" i="1" l="1"/>
  <c r="Q1485" i="1"/>
  <c r="C2212" i="1" l="1"/>
  <c r="Q1486" i="1"/>
  <c r="C2213" i="1" l="1"/>
  <c r="Q1487" i="1"/>
  <c r="C2214" i="1" l="1"/>
  <c r="Q1488" i="1"/>
  <c r="C2215" i="1" l="1"/>
  <c r="Q1489" i="1"/>
  <c r="C2216" i="1" l="1"/>
  <c r="Q1490" i="1"/>
  <c r="C2217" i="1" l="1"/>
  <c r="Q1491" i="1"/>
  <c r="C2218" i="1" l="1"/>
  <c r="Q1492" i="1"/>
  <c r="C2219" i="1" l="1"/>
  <c r="Q1493" i="1"/>
  <c r="C2220" i="1" l="1"/>
  <c r="Q1494" i="1"/>
  <c r="C2221" i="1" l="1"/>
  <c r="Q1495" i="1"/>
  <c r="C2222" i="1" l="1"/>
  <c r="Q1496" i="1"/>
  <c r="C2223" i="1" l="1"/>
  <c r="Q1497" i="1"/>
  <c r="C2224" i="1" l="1"/>
  <c r="Q1498" i="1"/>
  <c r="C2225" i="1" l="1"/>
  <c r="Q1499" i="1"/>
  <c r="C2226" i="1" l="1"/>
  <c r="Q1500" i="1"/>
  <c r="C2227" i="1" l="1"/>
  <c r="Q1501" i="1"/>
  <c r="C2228" i="1" l="1"/>
  <c r="Q1502" i="1"/>
  <c r="C2229" i="1" l="1"/>
  <c r="Q1503" i="1"/>
  <c r="C2230" i="1" l="1"/>
  <c r="Q1504" i="1"/>
  <c r="C2231" i="1" l="1"/>
  <c r="Q1505" i="1"/>
  <c r="C2232" i="1" l="1"/>
  <c r="Q1506" i="1"/>
  <c r="C2233" i="1" l="1"/>
  <c r="Q1507" i="1"/>
  <c r="C2234" i="1" l="1"/>
  <c r="Q1508" i="1"/>
  <c r="C2235" i="1" l="1"/>
  <c r="Q1509" i="1"/>
  <c r="C2236" i="1" l="1"/>
  <c r="Q1510" i="1"/>
  <c r="C2237" i="1" l="1"/>
  <c r="Q1511" i="1"/>
  <c r="C2238" i="1" l="1"/>
  <c r="Q1512" i="1"/>
  <c r="C2239" i="1" l="1"/>
  <c r="Q1513" i="1"/>
  <c r="C2240" i="1" l="1"/>
  <c r="Q1514" i="1"/>
  <c r="C2241" i="1" l="1"/>
  <c r="Q1515" i="1"/>
  <c r="C2242" i="1" l="1"/>
  <c r="Q1516" i="1"/>
  <c r="C2243" i="1" l="1"/>
  <c r="Q1517" i="1"/>
  <c r="C2244" i="1" l="1"/>
  <c r="Q1518" i="1"/>
  <c r="C2245" i="1" l="1"/>
  <c r="Q1519" i="1"/>
  <c r="C2246" i="1" l="1"/>
  <c r="Q1520" i="1"/>
  <c r="C2247" i="1" l="1"/>
  <c r="Q1521" i="1"/>
  <c r="C2248" i="1" l="1"/>
  <c r="Q1522" i="1"/>
  <c r="C2249" i="1" l="1"/>
  <c r="Q1523" i="1"/>
  <c r="C2250" i="1" l="1"/>
  <c r="Q1524" i="1"/>
  <c r="C2251" i="1" l="1"/>
  <c r="Q1525" i="1"/>
  <c r="C2252" i="1" l="1"/>
  <c r="Q1526" i="1"/>
  <c r="C2253" i="1" l="1"/>
  <c r="Q1527" i="1"/>
  <c r="C2254" i="1" l="1"/>
  <c r="Q1528" i="1"/>
  <c r="C2255" i="1" l="1"/>
  <c r="Q1529" i="1"/>
  <c r="C2256" i="1" l="1"/>
  <c r="Q1530" i="1"/>
  <c r="C2257" i="1" l="1"/>
  <c r="Q1531" i="1"/>
  <c r="C2258" i="1" l="1"/>
  <c r="Q1532" i="1"/>
  <c r="C2259" i="1" l="1"/>
  <c r="Q1533" i="1"/>
  <c r="C2260" i="1" l="1"/>
  <c r="Q1534" i="1"/>
  <c r="C2261" i="1" l="1"/>
  <c r="Q1535" i="1"/>
  <c r="C2262" i="1" l="1"/>
  <c r="Q1536" i="1"/>
  <c r="C2263" i="1" l="1"/>
  <c r="Q1537" i="1"/>
  <c r="C2264" i="1" l="1"/>
  <c r="Q1538" i="1"/>
  <c r="C2265" i="1" l="1"/>
  <c r="Q1539" i="1"/>
  <c r="C2266" i="1" l="1"/>
  <c r="Q1540" i="1"/>
  <c r="C2267" i="1" l="1"/>
  <c r="Q1541" i="1"/>
  <c r="C2268" i="1" l="1"/>
  <c r="Q1542" i="1"/>
  <c r="C2269" i="1" l="1"/>
  <c r="Q1543" i="1"/>
  <c r="C2270" i="1" l="1"/>
  <c r="Q1544" i="1"/>
  <c r="C2271" i="1" l="1"/>
  <c r="Q1545" i="1"/>
  <c r="C2272" i="1" l="1"/>
  <c r="Q1546" i="1"/>
  <c r="C2273" i="1" l="1"/>
  <c r="Q1547" i="1"/>
  <c r="C2274" i="1" l="1"/>
  <c r="Q1548" i="1"/>
  <c r="C2275" i="1" l="1"/>
  <c r="Q1549" i="1"/>
  <c r="C2276" i="1" l="1"/>
  <c r="Q1550" i="1"/>
  <c r="C2277" i="1" l="1"/>
  <c r="Q1551" i="1"/>
  <c r="C2278" i="1" l="1"/>
  <c r="Q1552" i="1"/>
  <c r="C2279" i="1" l="1"/>
  <c r="Q1553" i="1"/>
  <c r="C2280" i="1" l="1"/>
  <c r="Q1554" i="1"/>
  <c r="C2281" i="1" l="1"/>
  <c r="Q1555" i="1"/>
  <c r="C2282" i="1" l="1"/>
  <c r="Q1556" i="1"/>
  <c r="C2283" i="1" l="1"/>
  <c r="Q1557" i="1"/>
  <c r="C2284" i="1" l="1"/>
  <c r="Q1558" i="1"/>
  <c r="C2285" i="1" l="1"/>
  <c r="Q1559" i="1"/>
  <c r="C2286" i="1" l="1"/>
  <c r="Q1560" i="1"/>
  <c r="C2287" i="1" l="1"/>
  <c r="Q1561" i="1"/>
  <c r="C2288" i="1" l="1"/>
  <c r="Q1562" i="1"/>
  <c r="C2289" i="1" l="1"/>
  <c r="Q1563" i="1"/>
  <c r="C2290" i="1" l="1"/>
  <c r="Q1564" i="1"/>
  <c r="C2291" i="1" l="1"/>
  <c r="Q1565" i="1"/>
  <c r="C2292" i="1" l="1"/>
  <c r="Q1566" i="1"/>
  <c r="C2293" i="1" l="1"/>
  <c r="Q1567" i="1"/>
  <c r="C2294" i="1" l="1"/>
  <c r="Q1568" i="1"/>
  <c r="C2295" i="1" l="1"/>
  <c r="Q1569" i="1"/>
  <c r="C2296" i="1" l="1"/>
  <c r="Q1570" i="1"/>
  <c r="C2297" i="1" l="1"/>
  <c r="Q1571" i="1"/>
  <c r="C2298" i="1" l="1"/>
  <c r="Q1572" i="1"/>
  <c r="C2299" i="1" l="1"/>
  <c r="Q1573" i="1"/>
  <c r="C2300" i="1" l="1"/>
  <c r="Q1574" i="1"/>
  <c r="C2301" i="1" l="1"/>
  <c r="Q1575" i="1"/>
  <c r="C2302" i="1" l="1"/>
  <c r="Q1576" i="1"/>
  <c r="C2303" i="1" l="1"/>
  <c r="Q1577" i="1"/>
  <c r="C2304" i="1" l="1"/>
  <c r="Q1578" i="1"/>
  <c r="C2305" i="1" l="1"/>
  <c r="Q1579" i="1"/>
  <c r="C2306" i="1" l="1"/>
  <c r="Q1580" i="1"/>
  <c r="C2307" i="1" l="1"/>
  <c r="Q1581" i="1"/>
  <c r="C2308" i="1" l="1"/>
  <c r="Q1582" i="1"/>
  <c r="C2309" i="1" l="1"/>
  <c r="Q1583" i="1"/>
  <c r="C2310" i="1" l="1"/>
  <c r="Q1584" i="1"/>
  <c r="C2311" i="1" l="1"/>
  <c r="Q1585" i="1"/>
  <c r="C2312" i="1" l="1"/>
  <c r="Q1586" i="1"/>
  <c r="C2313" i="1" l="1"/>
  <c r="Q1587" i="1"/>
  <c r="C2314" i="1" l="1"/>
  <c r="Q1588" i="1"/>
  <c r="C2315" i="1" l="1"/>
  <c r="Q1589" i="1"/>
  <c r="C2316" i="1" l="1"/>
  <c r="Q1590" i="1"/>
  <c r="C2317" i="1" l="1"/>
  <c r="Q1591" i="1"/>
  <c r="C2318" i="1" l="1"/>
  <c r="Q1592" i="1"/>
  <c r="C2319" i="1" l="1"/>
  <c r="Q1593" i="1"/>
  <c r="C2320" i="1" l="1"/>
  <c r="Q1594" i="1"/>
  <c r="C2321" i="1" l="1"/>
  <c r="Q1595" i="1"/>
  <c r="C2322" i="1" l="1"/>
  <c r="Q1596" i="1"/>
  <c r="C2323" i="1" l="1"/>
  <c r="Q1597" i="1"/>
  <c r="C2324" i="1" l="1"/>
  <c r="Q1598" i="1"/>
  <c r="C2325" i="1" l="1"/>
  <c r="Q1599" i="1"/>
  <c r="C2326" i="1" l="1"/>
  <c r="Q1600" i="1"/>
  <c r="C2327" i="1" l="1"/>
  <c r="Q1601" i="1"/>
  <c r="C2328" i="1" l="1"/>
  <c r="Q1602" i="1"/>
  <c r="C2329" i="1" l="1"/>
  <c r="Q1603" i="1"/>
  <c r="C2330" i="1" l="1"/>
  <c r="Q1604" i="1"/>
  <c r="C2331" i="1" l="1"/>
  <c r="Q1605" i="1"/>
  <c r="C2332" i="1" l="1"/>
  <c r="Q1606" i="1"/>
  <c r="C2333" i="1" l="1"/>
  <c r="Q1607" i="1"/>
  <c r="C2334" i="1" l="1"/>
  <c r="Q1608" i="1"/>
  <c r="C2335" i="1" l="1"/>
  <c r="Q1609" i="1"/>
  <c r="C2336" i="1" l="1"/>
  <c r="Q1610" i="1"/>
  <c r="C2337" i="1" l="1"/>
  <c r="Q1611" i="1"/>
  <c r="C2338" i="1" l="1"/>
  <c r="Q1612" i="1"/>
  <c r="C2339" i="1" l="1"/>
  <c r="Q1613" i="1"/>
  <c r="C2340" i="1" l="1"/>
  <c r="Q1614" i="1"/>
  <c r="C2341" i="1" l="1"/>
  <c r="Q1615" i="1"/>
  <c r="C2342" i="1" l="1"/>
  <c r="Q1616" i="1"/>
  <c r="C2343" i="1" l="1"/>
  <c r="Q1617" i="1"/>
  <c r="C2344" i="1" l="1"/>
  <c r="Q1618" i="1"/>
  <c r="C2345" i="1" l="1"/>
  <c r="Q1619" i="1"/>
  <c r="C2346" i="1" l="1"/>
  <c r="Q1620" i="1"/>
  <c r="C2347" i="1" l="1"/>
  <c r="Q1621" i="1"/>
  <c r="C2348" i="1" l="1"/>
  <c r="Q1622" i="1"/>
  <c r="C2349" i="1" l="1"/>
  <c r="Q1623" i="1"/>
  <c r="C2350" i="1" l="1"/>
  <c r="Q1624" i="1"/>
  <c r="C2351" i="1" l="1"/>
  <c r="Q1625" i="1"/>
  <c r="C2352" i="1" l="1"/>
  <c r="Q1626" i="1"/>
  <c r="C2353" i="1" l="1"/>
  <c r="Q1627" i="1"/>
  <c r="C2354" i="1" l="1"/>
  <c r="Q1628" i="1"/>
  <c r="C2355" i="1" l="1"/>
  <c r="Q1629" i="1"/>
  <c r="C2356" i="1" l="1"/>
  <c r="Q1630" i="1"/>
  <c r="C2357" i="1" l="1"/>
  <c r="Q1631" i="1"/>
  <c r="C2358" i="1" l="1"/>
  <c r="Q1632" i="1"/>
  <c r="C2359" i="1" l="1"/>
  <c r="Q1633" i="1"/>
  <c r="C2360" i="1" l="1"/>
  <c r="Q1634" i="1"/>
  <c r="C2361" i="1" l="1"/>
  <c r="Q1635" i="1"/>
  <c r="C2362" i="1" l="1"/>
  <c r="Q1636" i="1"/>
  <c r="C2363" i="1" l="1"/>
  <c r="Q1637" i="1"/>
  <c r="C2364" i="1" l="1"/>
  <c r="Q1638" i="1"/>
  <c r="C2365" i="1" l="1"/>
  <c r="Q1639" i="1"/>
  <c r="C2366" i="1" l="1"/>
  <c r="Q1640" i="1"/>
  <c r="C2367" i="1" l="1"/>
  <c r="Q1641" i="1"/>
  <c r="C2368" i="1" l="1"/>
  <c r="Q1642" i="1"/>
  <c r="C2369" i="1" l="1"/>
  <c r="Q1643" i="1"/>
  <c r="C2370" i="1" l="1"/>
  <c r="Q1644" i="1"/>
  <c r="C2371" i="1" l="1"/>
  <c r="Q1645" i="1"/>
  <c r="C2372" i="1" l="1"/>
  <c r="Q1646" i="1"/>
  <c r="C2373" i="1" l="1"/>
  <c r="Q1647" i="1"/>
  <c r="C2374" i="1" l="1"/>
  <c r="Q1648" i="1"/>
  <c r="C2375" i="1" l="1"/>
  <c r="Q1649" i="1"/>
  <c r="C2376" i="1" l="1"/>
  <c r="Q1650" i="1"/>
  <c r="C2377" i="1" l="1"/>
  <c r="Q1651" i="1"/>
  <c r="C2378" i="1" l="1"/>
  <c r="Q1652" i="1"/>
  <c r="C2379" i="1" l="1"/>
  <c r="Q1653" i="1"/>
  <c r="C2380" i="1" l="1"/>
  <c r="Q1654" i="1"/>
  <c r="C2381" i="1" l="1"/>
  <c r="Q1655" i="1"/>
  <c r="C2382" i="1" l="1"/>
  <c r="Q1656" i="1"/>
  <c r="C2383" i="1" l="1"/>
  <c r="Q1657" i="1"/>
  <c r="C2384" i="1" l="1"/>
  <c r="Q1658" i="1"/>
  <c r="C2385" i="1" l="1"/>
  <c r="Q1659" i="1"/>
  <c r="C2386" i="1" l="1"/>
  <c r="Q1660" i="1"/>
  <c r="C2387" i="1" l="1"/>
  <c r="Q1661" i="1"/>
  <c r="C2388" i="1" l="1"/>
  <c r="Q1662" i="1"/>
  <c r="C2389" i="1" l="1"/>
  <c r="Q1663" i="1"/>
  <c r="C2390" i="1" l="1"/>
  <c r="Q1664" i="1"/>
  <c r="C2391" i="1" l="1"/>
  <c r="Q1665" i="1"/>
  <c r="C2392" i="1" l="1"/>
  <c r="Q1666" i="1"/>
  <c r="C2393" i="1" l="1"/>
  <c r="Q1667" i="1"/>
  <c r="C2394" i="1" l="1"/>
  <c r="Q1668" i="1"/>
  <c r="C2395" i="1" l="1"/>
  <c r="Q1669" i="1"/>
  <c r="C2396" i="1" l="1"/>
  <c r="Q1670" i="1"/>
  <c r="C2397" i="1" l="1"/>
  <c r="Q1671" i="1"/>
  <c r="C2398" i="1" l="1"/>
  <c r="Q1672" i="1"/>
  <c r="C2399" i="1" l="1"/>
  <c r="Q1673" i="1"/>
  <c r="C2400" i="1" l="1"/>
  <c r="Q1674" i="1"/>
  <c r="C2401" i="1" l="1"/>
  <c r="Q1675" i="1"/>
  <c r="C2402" i="1" l="1"/>
  <c r="Q1676" i="1"/>
  <c r="C2403" i="1" l="1"/>
  <c r="Q1677" i="1"/>
  <c r="C2404" i="1" l="1"/>
  <c r="Q1678" i="1"/>
  <c r="C2405" i="1" l="1"/>
  <c r="Q1679" i="1"/>
  <c r="C2406" i="1" l="1"/>
  <c r="Q1680" i="1"/>
  <c r="C2407" i="1" l="1"/>
  <c r="Q1681" i="1"/>
  <c r="C2408" i="1" l="1"/>
  <c r="Q1682" i="1"/>
  <c r="C2409" i="1" l="1"/>
  <c r="Q1683" i="1"/>
  <c r="C2410" i="1" l="1"/>
  <c r="Q1684" i="1"/>
  <c r="C2411" i="1" l="1"/>
  <c r="Q1685" i="1"/>
  <c r="C2412" i="1" l="1"/>
  <c r="Q1686" i="1"/>
  <c r="C2413" i="1" l="1"/>
  <c r="Q1687" i="1"/>
  <c r="C2414" i="1" l="1"/>
  <c r="Q1688" i="1"/>
  <c r="C2415" i="1" l="1"/>
  <c r="Q1689" i="1"/>
  <c r="C2416" i="1" l="1"/>
  <c r="Q1690" i="1"/>
  <c r="C2417" i="1" l="1"/>
  <c r="Q1691" i="1"/>
  <c r="C2418" i="1" l="1"/>
  <c r="Q1692" i="1"/>
  <c r="C2419" i="1" l="1"/>
  <c r="Q1693" i="1"/>
  <c r="C2420" i="1" l="1"/>
  <c r="Q1694" i="1"/>
  <c r="C2421" i="1" l="1"/>
  <c r="Q1695" i="1"/>
  <c r="C2422" i="1" l="1"/>
  <c r="Q1696" i="1"/>
  <c r="C2423" i="1" l="1"/>
  <c r="Q1697" i="1"/>
  <c r="C2424" i="1" l="1"/>
  <c r="Q1698" i="1"/>
  <c r="C2425" i="1" l="1"/>
  <c r="Q1699" i="1"/>
  <c r="C2426" i="1" l="1"/>
  <c r="Q1700" i="1"/>
  <c r="C2427" i="1" l="1"/>
  <c r="Q1701" i="1"/>
  <c r="C2428" i="1" l="1"/>
  <c r="Q1702" i="1"/>
  <c r="C2429" i="1" l="1"/>
  <c r="Q1703" i="1"/>
  <c r="C2430" i="1" l="1"/>
  <c r="Q1704" i="1"/>
  <c r="C2431" i="1" l="1"/>
  <c r="Q1705" i="1"/>
  <c r="C2432" i="1" l="1"/>
  <c r="Q1706" i="1"/>
  <c r="C2433" i="1" l="1"/>
  <c r="Q1707" i="1"/>
  <c r="C2434" i="1" l="1"/>
  <c r="Q1708" i="1"/>
  <c r="C2435" i="1" l="1"/>
  <c r="Q1709" i="1"/>
  <c r="C2436" i="1" l="1"/>
  <c r="Q1710" i="1"/>
  <c r="C2437" i="1" l="1"/>
  <c r="Q1711" i="1"/>
  <c r="C2438" i="1" l="1"/>
  <c r="Q1712" i="1"/>
  <c r="C2439" i="1" l="1"/>
  <c r="Q1713" i="1"/>
  <c r="C2440" i="1" l="1"/>
  <c r="Q1714" i="1"/>
  <c r="C2441" i="1" l="1"/>
  <c r="Q1715" i="1"/>
  <c r="C2442" i="1" l="1"/>
  <c r="Q1716" i="1"/>
  <c r="C2443" i="1" l="1"/>
  <c r="Q1717" i="1"/>
  <c r="C2444" i="1" l="1"/>
  <c r="Q1718" i="1"/>
  <c r="C2445" i="1" l="1"/>
  <c r="Q1719" i="1"/>
  <c r="C2446" i="1" l="1"/>
  <c r="Q1720" i="1"/>
  <c r="C2447" i="1" l="1"/>
  <c r="Q1721" i="1"/>
  <c r="C2448" i="1" l="1"/>
  <c r="Q1722" i="1"/>
  <c r="C2449" i="1" l="1"/>
  <c r="Q1723" i="1"/>
  <c r="C2450" i="1" l="1"/>
  <c r="Q1724" i="1"/>
  <c r="C2451" i="1" l="1"/>
  <c r="Q1725" i="1"/>
  <c r="C2452" i="1" l="1"/>
  <c r="Q1726" i="1"/>
  <c r="C2453" i="1" l="1"/>
  <c r="Q1727" i="1"/>
  <c r="C2454" i="1" l="1"/>
  <c r="Q1728" i="1"/>
  <c r="C2455" i="1" l="1"/>
  <c r="Q1729" i="1"/>
  <c r="C2456" i="1" l="1"/>
  <c r="Q1730" i="1"/>
  <c r="C2457" i="1" l="1"/>
  <c r="Q1731" i="1"/>
  <c r="C2458" i="1" l="1"/>
  <c r="Q1732" i="1"/>
  <c r="C2459" i="1" l="1"/>
  <c r="Q1733" i="1"/>
  <c r="C2460" i="1" l="1"/>
  <c r="Q1734" i="1"/>
  <c r="C2461" i="1" l="1"/>
  <c r="Q1735" i="1"/>
  <c r="C2462" i="1" l="1"/>
  <c r="Q1736" i="1"/>
  <c r="C2463" i="1" l="1"/>
  <c r="Q1737" i="1"/>
  <c r="C2464" i="1" l="1"/>
  <c r="Q1738" i="1"/>
  <c r="C2465" i="1" l="1"/>
  <c r="Q1739" i="1"/>
  <c r="C2466" i="1" l="1"/>
  <c r="Q1740" i="1"/>
  <c r="C2467" i="1" l="1"/>
  <c r="Q1741" i="1"/>
  <c r="C2468" i="1" l="1"/>
  <c r="Q1742" i="1"/>
  <c r="C2469" i="1" l="1"/>
  <c r="Q1743" i="1"/>
  <c r="C2470" i="1" l="1"/>
  <c r="Q1744" i="1"/>
  <c r="C2471" i="1" l="1"/>
  <c r="Q1745" i="1"/>
  <c r="C2472" i="1" l="1"/>
  <c r="Q1746" i="1"/>
  <c r="C2473" i="1" l="1"/>
  <c r="Q1747" i="1"/>
  <c r="C2474" i="1" l="1"/>
  <c r="Q1748" i="1"/>
  <c r="C2475" i="1" l="1"/>
  <c r="Q1749" i="1"/>
  <c r="C2476" i="1" l="1"/>
  <c r="Q1750" i="1"/>
  <c r="C2477" i="1" l="1"/>
  <c r="Q1751" i="1"/>
  <c r="C2478" i="1" l="1"/>
  <c r="Q1752" i="1"/>
  <c r="C2479" i="1" l="1"/>
  <c r="Q1753" i="1"/>
  <c r="C2480" i="1" l="1"/>
  <c r="Q1754" i="1"/>
  <c r="C2481" i="1" l="1"/>
  <c r="Q1755" i="1"/>
  <c r="C2482" i="1" l="1"/>
  <c r="Q1756" i="1"/>
  <c r="C2483" i="1" l="1"/>
  <c r="Q1757" i="1"/>
  <c r="C2484" i="1" l="1"/>
  <c r="Q1758" i="1"/>
  <c r="C2485" i="1" l="1"/>
  <c r="Q1759" i="1"/>
  <c r="C2486" i="1" l="1"/>
  <c r="Q1760" i="1"/>
  <c r="C2487" i="1" l="1"/>
  <c r="Q1761" i="1"/>
  <c r="C2488" i="1" l="1"/>
  <c r="Q1762" i="1"/>
  <c r="C2489" i="1" l="1"/>
  <c r="Q1763" i="1"/>
  <c r="C2490" i="1" l="1"/>
  <c r="Q1764" i="1"/>
  <c r="C2491" i="1" l="1"/>
  <c r="Q1765" i="1"/>
  <c r="C2492" i="1" l="1"/>
  <c r="Q1766" i="1"/>
  <c r="C2493" i="1" l="1"/>
  <c r="Q1767" i="1"/>
  <c r="C2494" i="1" l="1"/>
  <c r="Q1768" i="1"/>
  <c r="C2495" i="1" l="1"/>
  <c r="Q1769" i="1"/>
  <c r="C2496" i="1" l="1"/>
  <c r="Q1770" i="1"/>
  <c r="C2497" i="1" l="1"/>
  <c r="Q1771" i="1"/>
  <c r="C2498" i="1" l="1"/>
  <c r="Q1772" i="1"/>
  <c r="C2499" i="1" l="1"/>
  <c r="Q1773" i="1"/>
  <c r="C2500" i="1" l="1"/>
  <c r="Q1774" i="1"/>
  <c r="C2501" i="1" l="1"/>
  <c r="Q1775" i="1"/>
  <c r="C2502" i="1" l="1"/>
  <c r="Q1776" i="1"/>
  <c r="C2503" i="1" l="1"/>
  <c r="Q1777" i="1"/>
  <c r="C2504" i="1" l="1"/>
  <c r="Q1778" i="1"/>
  <c r="C2505" i="1" l="1"/>
  <c r="Q1779" i="1"/>
  <c r="C2506" i="1" l="1"/>
  <c r="Q1780" i="1"/>
  <c r="C2507" i="1" l="1"/>
  <c r="Q1781" i="1"/>
  <c r="C2508" i="1" l="1"/>
  <c r="Q1782" i="1"/>
  <c r="C2509" i="1" l="1"/>
  <c r="Q1783" i="1"/>
  <c r="C2510" i="1" l="1"/>
  <c r="Q1784" i="1"/>
  <c r="C2511" i="1" l="1"/>
  <c r="Q1785" i="1"/>
  <c r="C2512" i="1" l="1"/>
  <c r="Q1786" i="1"/>
  <c r="C2513" i="1" l="1"/>
  <c r="Q1787" i="1"/>
  <c r="C2514" i="1" l="1"/>
  <c r="Q1788" i="1"/>
  <c r="C2515" i="1" l="1"/>
  <c r="Q1789" i="1"/>
  <c r="C2516" i="1" l="1"/>
  <c r="Q1790" i="1"/>
  <c r="C2517" i="1" l="1"/>
  <c r="Q1791" i="1"/>
  <c r="C2518" i="1" l="1"/>
  <c r="Q1792" i="1"/>
  <c r="C2519" i="1" l="1"/>
  <c r="Q1793" i="1"/>
  <c r="C2520" i="1" l="1"/>
  <c r="Q1794" i="1"/>
  <c r="C2521" i="1" l="1"/>
  <c r="Q1795" i="1"/>
  <c r="C2522" i="1" l="1"/>
  <c r="Q1796" i="1"/>
  <c r="C2523" i="1" l="1"/>
  <c r="Q1797" i="1"/>
  <c r="C2524" i="1" l="1"/>
  <c r="Q1798" i="1"/>
  <c r="C2525" i="1" l="1"/>
  <c r="Q1799" i="1"/>
  <c r="C2526" i="1" l="1"/>
  <c r="Q1800" i="1"/>
  <c r="C2527" i="1" l="1"/>
  <c r="Q1801" i="1"/>
  <c r="C2528" i="1" l="1"/>
  <c r="Q1802" i="1"/>
  <c r="C2529" i="1" l="1"/>
  <c r="Q1803" i="1"/>
  <c r="C2530" i="1" l="1"/>
  <c r="Q1804" i="1"/>
  <c r="C2531" i="1" l="1"/>
  <c r="Q1805" i="1"/>
  <c r="C2532" i="1" l="1"/>
  <c r="Q1806" i="1"/>
  <c r="C2533" i="1" l="1"/>
  <c r="Q1807" i="1"/>
  <c r="C2534" i="1" l="1"/>
  <c r="Q1808" i="1"/>
  <c r="C2535" i="1" l="1"/>
  <c r="Q1809" i="1"/>
  <c r="C2536" i="1" l="1"/>
  <c r="Q1810" i="1"/>
  <c r="C2537" i="1" l="1"/>
  <c r="Q1811" i="1"/>
  <c r="C2538" i="1" l="1"/>
  <c r="Q1812" i="1"/>
  <c r="C2539" i="1" l="1"/>
  <c r="Q1813" i="1"/>
  <c r="C2540" i="1" l="1"/>
  <c r="Q1814" i="1"/>
  <c r="C2541" i="1" l="1"/>
  <c r="Q1815" i="1"/>
  <c r="C2542" i="1" l="1"/>
  <c r="Q1816" i="1"/>
  <c r="C2543" i="1" l="1"/>
  <c r="Q1817" i="1"/>
  <c r="C2544" i="1" l="1"/>
  <c r="Q1818" i="1"/>
  <c r="C2545" i="1" l="1"/>
  <c r="Q1819" i="1"/>
  <c r="C2546" i="1" l="1"/>
  <c r="Q1820" i="1"/>
  <c r="C2547" i="1" l="1"/>
  <c r="Q1821" i="1"/>
  <c r="C2548" i="1" l="1"/>
  <c r="Q1822" i="1"/>
  <c r="C2549" i="1" l="1"/>
  <c r="Q1823" i="1"/>
  <c r="C2550" i="1" l="1"/>
  <c r="Q1824" i="1"/>
  <c r="C2551" i="1" l="1"/>
  <c r="Q1825" i="1"/>
  <c r="C2552" i="1" l="1"/>
  <c r="Q1826" i="1"/>
  <c r="C2553" i="1" l="1"/>
  <c r="Q1827" i="1"/>
  <c r="C2554" i="1" l="1"/>
  <c r="Q1828" i="1"/>
  <c r="C2555" i="1" l="1"/>
  <c r="Q1829" i="1"/>
  <c r="C2556" i="1" l="1"/>
  <c r="Q1830" i="1"/>
  <c r="C2557" i="1" l="1"/>
  <c r="Q1831" i="1"/>
  <c r="C2558" i="1" l="1"/>
  <c r="Q1832" i="1"/>
  <c r="C2559" i="1" l="1"/>
  <c r="Q1833" i="1"/>
  <c r="C2560" i="1" l="1"/>
  <c r="Q1834" i="1"/>
  <c r="C2561" i="1" l="1"/>
  <c r="Q1835" i="1"/>
  <c r="C2562" i="1" l="1"/>
  <c r="Q1836" i="1"/>
  <c r="C2563" i="1" l="1"/>
  <c r="Q1837" i="1"/>
  <c r="C2564" i="1" l="1"/>
  <c r="Q1838" i="1"/>
  <c r="C2565" i="1" l="1"/>
  <c r="Q1839" i="1"/>
  <c r="C2566" i="1" l="1"/>
  <c r="Q1840" i="1"/>
  <c r="C2567" i="1" l="1"/>
  <c r="Q1841" i="1"/>
  <c r="C2568" i="1" l="1"/>
  <c r="Q1842" i="1"/>
  <c r="C2569" i="1" l="1"/>
  <c r="Q1843" i="1"/>
  <c r="C2570" i="1" l="1"/>
  <c r="Q1844" i="1"/>
  <c r="C2571" i="1" l="1"/>
  <c r="Q1845" i="1"/>
  <c r="C2572" i="1" l="1"/>
  <c r="Q1846" i="1"/>
  <c r="C2573" i="1" l="1"/>
  <c r="Q1847" i="1"/>
  <c r="C2574" i="1" l="1"/>
  <c r="Q1848" i="1"/>
  <c r="C2575" i="1" l="1"/>
  <c r="Q1849" i="1"/>
  <c r="C2576" i="1" l="1"/>
  <c r="Q1850" i="1"/>
  <c r="C2577" i="1" l="1"/>
  <c r="Q1851" i="1"/>
  <c r="C2578" i="1" l="1"/>
  <c r="Q1852" i="1"/>
  <c r="C2579" i="1" l="1"/>
  <c r="Q1853" i="1"/>
  <c r="C2580" i="1" l="1"/>
  <c r="Q1854" i="1"/>
  <c r="C2581" i="1" l="1"/>
  <c r="Q1855" i="1"/>
  <c r="C2582" i="1" l="1"/>
  <c r="Q1856" i="1"/>
  <c r="C2583" i="1" l="1"/>
  <c r="Q1857" i="1"/>
  <c r="C2584" i="1" l="1"/>
  <c r="Q1858" i="1"/>
  <c r="C2585" i="1" l="1"/>
  <c r="Q1859" i="1"/>
  <c r="C2586" i="1" l="1"/>
  <c r="Q1860" i="1"/>
  <c r="C2587" i="1" l="1"/>
  <c r="Q1861" i="1"/>
  <c r="C2588" i="1" l="1"/>
  <c r="Q1862" i="1"/>
  <c r="C2589" i="1" l="1"/>
  <c r="Q1863" i="1"/>
  <c r="C2590" i="1" l="1"/>
  <c r="Q1864" i="1"/>
  <c r="C2591" i="1" l="1"/>
  <c r="Q1865" i="1"/>
  <c r="C2592" i="1" l="1"/>
  <c r="Q1866" i="1"/>
  <c r="C2593" i="1" l="1"/>
  <c r="Q1867" i="1"/>
  <c r="C2594" i="1" l="1"/>
  <c r="Q1868" i="1"/>
  <c r="C2595" i="1" l="1"/>
  <c r="Q1869" i="1"/>
  <c r="C2596" i="1" l="1"/>
  <c r="Q1870" i="1"/>
  <c r="C2597" i="1" l="1"/>
  <c r="Q1871" i="1"/>
  <c r="C2598" i="1" l="1"/>
  <c r="Q1872" i="1"/>
  <c r="C2599" i="1" l="1"/>
  <c r="Q1873" i="1"/>
  <c r="C2600" i="1" l="1"/>
  <c r="Q1874" i="1"/>
  <c r="C2601" i="1" l="1"/>
  <c r="Q1875" i="1"/>
  <c r="C2602" i="1" l="1"/>
  <c r="Q1876" i="1"/>
  <c r="C2603" i="1" l="1"/>
  <c r="Q1877" i="1"/>
  <c r="C2604" i="1" l="1"/>
  <c r="Q1878" i="1"/>
  <c r="C2605" i="1" l="1"/>
  <c r="Q1879" i="1"/>
  <c r="C2606" i="1" l="1"/>
  <c r="Q1880" i="1"/>
  <c r="C2607" i="1" l="1"/>
  <c r="Q1881" i="1"/>
  <c r="C2608" i="1" l="1"/>
  <c r="Q1882" i="1"/>
  <c r="C2609" i="1" l="1"/>
  <c r="Q1883" i="1"/>
  <c r="C2610" i="1" l="1"/>
  <c r="Q1884" i="1"/>
  <c r="C2611" i="1" l="1"/>
  <c r="Q1885" i="1"/>
  <c r="C2612" i="1" l="1"/>
  <c r="Q1886" i="1"/>
  <c r="C2613" i="1" l="1"/>
  <c r="Q1887" i="1"/>
  <c r="C2614" i="1" l="1"/>
  <c r="Q1888" i="1"/>
  <c r="C2615" i="1" l="1"/>
  <c r="Q1889" i="1"/>
  <c r="C2616" i="1" l="1"/>
  <c r="Q1890" i="1"/>
  <c r="C2617" i="1" l="1"/>
  <c r="Q1891" i="1"/>
  <c r="C2618" i="1" l="1"/>
  <c r="Q1892" i="1"/>
  <c r="C2619" i="1" l="1"/>
  <c r="Q1893" i="1"/>
  <c r="C2620" i="1" l="1"/>
  <c r="Q1894" i="1"/>
  <c r="C2621" i="1" l="1"/>
  <c r="Q1895" i="1"/>
  <c r="C2622" i="1" l="1"/>
  <c r="Q1896" i="1"/>
  <c r="C2623" i="1" l="1"/>
  <c r="Q1897" i="1"/>
  <c r="C2624" i="1" l="1"/>
  <c r="Q1898" i="1"/>
  <c r="C2625" i="1" l="1"/>
  <c r="Q1899" i="1"/>
  <c r="C2626" i="1" l="1"/>
  <c r="Q1900" i="1"/>
  <c r="C2627" i="1" l="1"/>
  <c r="Q1901" i="1"/>
  <c r="C2628" i="1" l="1"/>
  <c r="Q1902" i="1"/>
  <c r="C2629" i="1" l="1"/>
  <c r="Q1903" i="1"/>
  <c r="C2630" i="1" l="1"/>
  <c r="Q1904" i="1"/>
  <c r="C2631" i="1" l="1"/>
  <c r="Q1905" i="1"/>
  <c r="C2632" i="1" l="1"/>
  <c r="Q1906" i="1"/>
  <c r="C2633" i="1" l="1"/>
  <c r="Q1907" i="1"/>
  <c r="C2634" i="1" l="1"/>
  <c r="Q1908" i="1"/>
  <c r="C2635" i="1" l="1"/>
  <c r="Q1909" i="1"/>
  <c r="C2636" i="1" l="1"/>
  <c r="Q1910" i="1"/>
  <c r="C2637" i="1" l="1"/>
  <c r="Q1911" i="1"/>
  <c r="C2638" i="1" l="1"/>
  <c r="Q1912" i="1"/>
  <c r="C2639" i="1" l="1"/>
  <c r="Q1913" i="1"/>
  <c r="C2640" i="1" l="1"/>
  <c r="Q1914" i="1"/>
  <c r="C2641" i="1" l="1"/>
  <c r="Q1915" i="1"/>
  <c r="C2642" i="1" l="1"/>
  <c r="Q1916" i="1"/>
  <c r="C2643" i="1" l="1"/>
  <c r="Q1917" i="1"/>
  <c r="C2644" i="1" l="1"/>
  <c r="Q1918" i="1"/>
  <c r="C2645" i="1" l="1"/>
  <c r="Q1919" i="1"/>
  <c r="C2646" i="1" l="1"/>
  <c r="Q1920" i="1"/>
  <c r="C2647" i="1" l="1"/>
  <c r="Q1921" i="1"/>
  <c r="C2648" i="1" l="1"/>
  <c r="Q1922" i="1"/>
  <c r="C2649" i="1" l="1"/>
  <c r="Q1923" i="1"/>
  <c r="C2650" i="1" l="1"/>
  <c r="Q1924" i="1"/>
  <c r="C2651" i="1" l="1"/>
  <c r="Q1925" i="1"/>
  <c r="C2652" i="1" l="1"/>
  <c r="Q1926" i="1"/>
  <c r="C2653" i="1" l="1"/>
  <c r="Q1927" i="1"/>
  <c r="C2654" i="1" l="1"/>
  <c r="Q1928" i="1"/>
  <c r="C2655" i="1" l="1"/>
  <c r="Q1929" i="1"/>
  <c r="C2656" i="1" l="1"/>
  <c r="Q1930" i="1"/>
  <c r="C2657" i="1" l="1"/>
  <c r="Q1931" i="1"/>
  <c r="C2658" i="1" l="1"/>
  <c r="Q1932" i="1"/>
  <c r="C2659" i="1" l="1"/>
  <c r="Q1933" i="1"/>
  <c r="C2660" i="1" l="1"/>
  <c r="Q1934" i="1"/>
  <c r="C2661" i="1" l="1"/>
  <c r="Q1935" i="1"/>
  <c r="C2662" i="1" l="1"/>
  <c r="Q1936" i="1"/>
  <c r="C2663" i="1" l="1"/>
  <c r="Q1937" i="1"/>
  <c r="C2664" i="1" l="1"/>
  <c r="Q1938" i="1"/>
  <c r="C2665" i="1" l="1"/>
  <c r="Q1939" i="1"/>
  <c r="C2666" i="1" l="1"/>
  <c r="Q1940" i="1"/>
  <c r="C2667" i="1" l="1"/>
  <c r="Q1941" i="1"/>
  <c r="C2668" i="1" l="1"/>
  <c r="Q1942" i="1"/>
  <c r="C2669" i="1" l="1"/>
  <c r="Q1943" i="1"/>
  <c r="C2670" i="1" l="1"/>
  <c r="Q1944" i="1"/>
  <c r="C2671" i="1" l="1"/>
  <c r="Q1945" i="1"/>
  <c r="C2672" i="1" l="1"/>
  <c r="Q1946" i="1"/>
  <c r="C2673" i="1" l="1"/>
  <c r="Q1947" i="1"/>
  <c r="C2674" i="1" l="1"/>
  <c r="Q1948" i="1"/>
  <c r="C2675" i="1" l="1"/>
  <c r="Q1949" i="1"/>
  <c r="C2676" i="1" l="1"/>
  <c r="Q1950" i="1"/>
  <c r="C2677" i="1" l="1"/>
  <c r="Q1951" i="1"/>
  <c r="C2678" i="1" l="1"/>
  <c r="Q1952" i="1"/>
  <c r="C2679" i="1" l="1"/>
  <c r="Q1953" i="1"/>
  <c r="C2680" i="1" l="1"/>
  <c r="Q1954" i="1"/>
  <c r="C2681" i="1" l="1"/>
  <c r="Q1955" i="1"/>
  <c r="C2682" i="1" l="1"/>
  <c r="Q1956" i="1"/>
  <c r="C2683" i="1" l="1"/>
  <c r="Q1957" i="1"/>
  <c r="C2684" i="1" l="1"/>
  <c r="Q1958" i="1"/>
  <c r="C2685" i="1" l="1"/>
  <c r="Q1959" i="1"/>
  <c r="C2686" i="1" l="1"/>
  <c r="Q1960" i="1"/>
  <c r="C2687" i="1" l="1"/>
  <c r="Q1961" i="1"/>
  <c r="C2688" i="1" l="1"/>
  <c r="Q1962" i="1"/>
  <c r="C2689" i="1" l="1"/>
  <c r="Q1963" i="1"/>
  <c r="C2690" i="1" l="1"/>
  <c r="Q1964" i="1"/>
  <c r="C2691" i="1" l="1"/>
  <c r="Q1965" i="1"/>
  <c r="C2692" i="1" l="1"/>
  <c r="Q1966" i="1"/>
  <c r="C2693" i="1" l="1"/>
  <c r="Q1967" i="1"/>
  <c r="C2694" i="1" l="1"/>
  <c r="Q1968" i="1"/>
  <c r="C2695" i="1" l="1"/>
  <c r="Q1969" i="1"/>
  <c r="C2696" i="1" l="1"/>
  <c r="Q1970" i="1"/>
  <c r="C2697" i="1" l="1"/>
  <c r="Q1971" i="1"/>
  <c r="C2698" i="1" l="1"/>
  <c r="Q1972" i="1"/>
  <c r="C2699" i="1" l="1"/>
  <c r="Q1973" i="1"/>
  <c r="C2700" i="1" l="1"/>
  <c r="Q1974" i="1"/>
  <c r="C2701" i="1" l="1"/>
  <c r="Q1975" i="1"/>
  <c r="C2702" i="1" l="1"/>
  <c r="Q1976" i="1"/>
  <c r="C2703" i="1" l="1"/>
  <c r="Q1977" i="1"/>
  <c r="C2704" i="1" l="1"/>
  <c r="Q1978" i="1"/>
  <c r="C2705" i="1" l="1"/>
  <c r="Q1979" i="1"/>
  <c r="C2706" i="1" l="1"/>
  <c r="Q1980" i="1"/>
  <c r="C2707" i="1" l="1"/>
  <c r="Q1981" i="1"/>
  <c r="C2708" i="1" l="1"/>
  <c r="Q1982" i="1"/>
  <c r="C2709" i="1" l="1"/>
  <c r="Q1983" i="1"/>
  <c r="C2710" i="1" l="1"/>
  <c r="Q1984" i="1"/>
  <c r="C2711" i="1" l="1"/>
  <c r="Q1985" i="1"/>
  <c r="C2712" i="1" l="1"/>
  <c r="Q1986" i="1"/>
  <c r="C2713" i="1" l="1"/>
  <c r="Q1987" i="1"/>
  <c r="C2714" i="1" l="1"/>
  <c r="Q1988" i="1"/>
  <c r="C2715" i="1" l="1"/>
  <c r="Q1989" i="1"/>
  <c r="C2716" i="1" l="1"/>
  <c r="Q1990" i="1"/>
  <c r="C2717" i="1" l="1"/>
  <c r="Q1991" i="1"/>
  <c r="C2718" i="1" l="1"/>
  <c r="Q1992" i="1"/>
  <c r="C2719" i="1" l="1"/>
  <c r="Q1993" i="1"/>
  <c r="C2720" i="1" l="1"/>
  <c r="Q1994" i="1"/>
  <c r="C2721" i="1" l="1"/>
  <c r="Q1995" i="1"/>
  <c r="C2722" i="1" l="1"/>
  <c r="Q1996" i="1"/>
  <c r="C2723" i="1" l="1"/>
  <c r="Q1997" i="1"/>
  <c r="C2724" i="1" l="1"/>
  <c r="Q1998" i="1"/>
  <c r="C2725" i="1" l="1"/>
  <c r="Q1999" i="1"/>
  <c r="C2726" i="1" l="1"/>
  <c r="Q2000" i="1"/>
  <c r="C2727" i="1" l="1"/>
  <c r="Q2001" i="1"/>
  <c r="C2728" i="1" l="1"/>
  <c r="Q2002" i="1"/>
  <c r="C2729" i="1" l="1"/>
  <c r="Q2003" i="1"/>
  <c r="C2730" i="1" l="1"/>
  <c r="Q2004" i="1"/>
  <c r="C2731" i="1" l="1"/>
  <c r="Q2005" i="1"/>
  <c r="C2732" i="1" l="1"/>
  <c r="Q2006" i="1"/>
  <c r="C2733" i="1" l="1"/>
  <c r="Q2007" i="1"/>
  <c r="C2734" i="1" l="1"/>
  <c r="Q2008" i="1"/>
  <c r="C2735" i="1" l="1"/>
  <c r="Q2009" i="1"/>
  <c r="C2736" i="1" l="1"/>
  <c r="Q2010" i="1"/>
  <c r="C2737" i="1" l="1"/>
  <c r="Q2011" i="1"/>
  <c r="C2738" i="1" l="1"/>
  <c r="Q2012" i="1"/>
  <c r="C2739" i="1" l="1"/>
  <c r="Q2013" i="1"/>
  <c r="C2740" i="1" l="1"/>
  <c r="Q2014" i="1"/>
  <c r="C2741" i="1" l="1"/>
  <c r="Q2015" i="1"/>
  <c r="C2742" i="1" l="1"/>
  <c r="Q2016" i="1"/>
  <c r="C2743" i="1" l="1"/>
  <c r="Q2017" i="1"/>
  <c r="C2744" i="1" l="1"/>
  <c r="Q2018" i="1"/>
  <c r="C2745" i="1" l="1"/>
  <c r="Q2019" i="1"/>
  <c r="C2746" i="1" l="1"/>
  <c r="Q2020" i="1"/>
  <c r="C2747" i="1" l="1"/>
  <c r="Q2021" i="1"/>
  <c r="C2748" i="1" l="1"/>
  <c r="Q2022" i="1"/>
  <c r="C2749" i="1" l="1"/>
  <c r="Q2023" i="1"/>
  <c r="C2750" i="1" l="1"/>
  <c r="Q2024" i="1"/>
  <c r="C2751" i="1" l="1"/>
  <c r="Q2025" i="1"/>
  <c r="C2752" i="1" l="1"/>
  <c r="Q2026" i="1"/>
  <c r="C2753" i="1" l="1"/>
  <c r="Q2027" i="1"/>
  <c r="C2754" i="1" l="1"/>
  <c r="Q2028" i="1"/>
  <c r="C2755" i="1" l="1"/>
  <c r="Q2029" i="1"/>
  <c r="C2756" i="1" l="1"/>
  <c r="Q2030" i="1"/>
  <c r="C2757" i="1" l="1"/>
  <c r="Q2031" i="1"/>
  <c r="C2758" i="1" l="1"/>
  <c r="Q2032" i="1"/>
  <c r="C2759" i="1" l="1"/>
  <c r="Q2033" i="1"/>
  <c r="C2760" i="1" l="1"/>
  <c r="Q2034" i="1"/>
  <c r="C2761" i="1" l="1"/>
  <c r="Q2035" i="1"/>
  <c r="C2762" i="1" l="1"/>
  <c r="Q2036" i="1"/>
  <c r="C2763" i="1" l="1"/>
  <c r="Q2037" i="1"/>
  <c r="C2764" i="1" l="1"/>
  <c r="Q2038" i="1"/>
  <c r="C2765" i="1" l="1"/>
  <c r="Q2039" i="1"/>
  <c r="C2766" i="1" l="1"/>
  <c r="Q2040" i="1"/>
  <c r="C2767" i="1" l="1"/>
  <c r="Q2041" i="1"/>
  <c r="C2768" i="1" l="1"/>
  <c r="Q2042" i="1"/>
  <c r="C2769" i="1" l="1"/>
  <c r="Q2043" i="1"/>
  <c r="C2770" i="1" l="1"/>
  <c r="Q2044" i="1"/>
  <c r="C2771" i="1" l="1"/>
  <c r="Q2045" i="1"/>
  <c r="C2772" i="1" l="1"/>
  <c r="Q2046" i="1"/>
  <c r="C2773" i="1" l="1"/>
  <c r="Q2047" i="1"/>
  <c r="C2774" i="1" l="1"/>
  <c r="Q2048" i="1"/>
  <c r="C2775" i="1" l="1"/>
  <c r="Q2049" i="1"/>
  <c r="C2776" i="1" l="1"/>
  <c r="Q2050" i="1"/>
  <c r="C2777" i="1" l="1"/>
  <c r="Q2051" i="1"/>
  <c r="C2778" i="1" l="1"/>
  <c r="Q2052" i="1"/>
  <c r="C2779" i="1" l="1"/>
  <c r="Q2053" i="1"/>
  <c r="C2780" i="1" l="1"/>
  <c r="Q2054" i="1"/>
  <c r="C2781" i="1" l="1"/>
  <c r="Q2055" i="1"/>
  <c r="C2782" i="1" l="1"/>
  <c r="Q2056" i="1"/>
  <c r="C2783" i="1" l="1"/>
  <c r="Q2057" i="1"/>
  <c r="C2784" i="1" l="1"/>
  <c r="Q2058" i="1"/>
  <c r="C2785" i="1" l="1"/>
  <c r="Q2059" i="1"/>
  <c r="C2786" i="1" l="1"/>
  <c r="Q2060" i="1"/>
  <c r="C2787" i="1" l="1"/>
  <c r="Q2061" i="1"/>
  <c r="C2788" i="1" l="1"/>
  <c r="Q2062" i="1"/>
  <c r="C2789" i="1" l="1"/>
  <c r="Q2063" i="1"/>
  <c r="C2790" i="1" l="1"/>
  <c r="Q2064" i="1"/>
  <c r="C2791" i="1" l="1"/>
  <c r="Q2065" i="1"/>
  <c r="C2792" i="1" l="1"/>
  <c r="Q2066" i="1"/>
  <c r="C2793" i="1" l="1"/>
  <c r="Q2067" i="1"/>
  <c r="C2794" i="1" l="1"/>
  <c r="Q2068" i="1"/>
  <c r="C2795" i="1" l="1"/>
  <c r="Q2069" i="1"/>
  <c r="C2796" i="1" l="1"/>
  <c r="Q2070" i="1"/>
  <c r="C2797" i="1" l="1"/>
  <c r="Q2071" i="1"/>
  <c r="C2798" i="1" l="1"/>
  <c r="Q2072" i="1"/>
  <c r="C2799" i="1" l="1"/>
  <c r="Q2073" i="1"/>
  <c r="C2800" i="1" l="1"/>
  <c r="Q2074" i="1"/>
  <c r="C2801" i="1" l="1"/>
  <c r="Q2075" i="1"/>
  <c r="C2802" i="1" l="1"/>
  <c r="Q2076" i="1"/>
  <c r="C2803" i="1" l="1"/>
  <c r="Q2077" i="1"/>
  <c r="C2804" i="1" l="1"/>
  <c r="Q2078" i="1"/>
  <c r="C2805" i="1" l="1"/>
  <c r="Q2079" i="1"/>
  <c r="C2806" i="1" l="1"/>
  <c r="Q2080" i="1"/>
  <c r="C2807" i="1" l="1"/>
  <c r="Q2081" i="1"/>
  <c r="C2808" i="1" l="1"/>
  <c r="Q2082" i="1"/>
  <c r="C2809" i="1" l="1"/>
  <c r="Q2083" i="1"/>
  <c r="C2810" i="1" l="1"/>
  <c r="Q2084" i="1"/>
  <c r="C2811" i="1" l="1"/>
  <c r="Q2085" i="1"/>
  <c r="C2812" i="1" l="1"/>
  <c r="Q2086" i="1"/>
  <c r="C2813" i="1" l="1"/>
  <c r="Q2087" i="1"/>
  <c r="C2814" i="1" l="1"/>
  <c r="Q2088" i="1"/>
  <c r="C2815" i="1" l="1"/>
  <c r="Q2089" i="1"/>
  <c r="C2816" i="1" l="1"/>
  <c r="Q2090" i="1"/>
  <c r="C2817" i="1" l="1"/>
  <c r="Q2091" i="1"/>
  <c r="C2818" i="1" l="1"/>
  <c r="Q2092" i="1"/>
  <c r="C2819" i="1" l="1"/>
  <c r="Q2093" i="1"/>
  <c r="C2820" i="1" l="1"/>
  <c r="Q2094" i="1"/>
  <c r="C2821" i="1" l="1"/>
  <c r="Q2095" i="1"/>
  <c r="C2822" i="1" l="1"/>
  <c r="Q2096" i="1"/>
  <c r="C2823" i="1" l="1"/>
  <c r="Q2097" i="1"/>
  <c r="C2824" i="1" l="1"/>
  <c r="Q2098" i="1"/>
  <c r="C2825" i="1" l="1"/>
  <c r="Q2099" i="1"/>
  <c r="C2826" i="1" l="1"/>
  <c r="Q2100" i="1"/>
  <c r="C2827" i="1" l="1"/>
  <c r="Q2101" i="1"/>
  <c r="C2828" i="1" l="1"/>
  <c r="Q2102" i="1"/>
  <c r="C2829" i="1" l="1"/>
  <c r="Q2103" i="1"/>
  <c r="C2830" i="1" l="1"/>
  <c r="Q2104" i="1"/>
  <c r="C2831" i="1" l="1"/>
  <c r="Q2105" i="1"/>
  <c r="C2832" i="1" l="1"/>
  <c r="Q2106" i="1"/>
  <c r="C2833" i="1" l="1"/>
  <c r="Q2107" i="1"/>
  <c r="C2834" i="1" l="1"/>
  <c r="Q2108" i="1"/>
  <c r="C2835" i="1" l="1"/>
  <c r="Q2109" i="1"/>
  <c r="C2836" i="1" l="1"/>
  <c r="Q2110" i="1"/>
  <c r="C2837" i="1" l="1"/>
  <c r="Q2111" i="1"/>
  <c r="C2838" i="1" l="1"/>
  <c r="Q2112" i="1"/>
  <c r="C2839" i="1" l="1"/>
  <c r="Q2113" i="1"/>
  <c r="C2840" i="1" l="1"/>
  <c r="Q2114" i="1"/>
  <c r="C2841" i="1" l="1"/>
  <c r="Q2115" i="1"/>
  <c r="C2842" i="1" l="1"/>
  <c r="Q2116" i="1"/>
  <c r="C2843" i="1" l="1"/>
  <c r="Q2117" i="1"/>
  <c r="C2844" i="1" l="1"/>
  <c r="Q2118" i="1"/>
  <c r="C2845" i="1" l="1"/>
  <c r="Q2119" i="1"/>
  <c r="C2846" i="1" l="1"/>
  <c r="Q2120" i="1"/>
  <c r="C2847" i="1" l="1"/>
  <c r="Q2121" i="1"/>
  <c r="C2848" i="1" l="1"/>
  <c r="Q2122" i="1"/>
  <c r="C2849" i="1" l="1"/>
  <c r="Q2123" i="1"/>
  <c r="C2850" i="1" l="1"/>
  <c r="Q2124" i="1"/>
  <c r="C2851" i="1" l="1"/>
  <c r="Q2125" i="1"/>
  <c r="C2852" i="1" l="1"/>
  <c r="Q2126" i="1"/>
  <c r="C2853" i="1" l="1"/>
  <c r="Q2127" i="1"/>
  <c r="C2854" i="1" l="1"/>
  <c r="Q2128" i="1"/>
  <c r="C2855" i="1" l="1"/>
  <c r="Q2129" i="1"/>
  <c r="C2856" i="1" l="1"/>
  <c r="Q2130" i="1"/>
  <c r="C2857" i="1" l="1"/>
  <c r="Q2131" i="1"/>
  <c r="C2858" i="1" l="1"/>
  <c r="Q2132" i="1"/>
  <c r="C2859" i="1" l="1"/>
  <c r="Q2133" i="1"/>
  <c r="C2860" i="1" l="1"/>
  <c r="Q2134" i="1"/>
  <c r="C2861" i="1" l="1"/>
  <c r="Q2135" i="1"/>
  <c r="C2862" i="1" l="1"/>
  <c r="Q2136" i="1"/>
  <c r="C2863" i="1" l="1"/>
  <c r="Q2137" i="1"/>
  <c r="C2864" i="1" l="1"/>
  <c r="Q2138" i="1"/>
  <c r="C2865" i="1" l="1"/>
  <c r="Q2139" i="1"/>
  <c r="C2866" i="1" l="1"/>
  <c r="Q2140" i="1"/>
  <c r="C2867" i="1" l="1"/>
  <c r="Q2141" i="1"/>
  <c r="C2868" i="1" l="1"/>
  <c r="Q2142" i="1"/>
  <c r="C2869" i="1" l="1"/>
  <c r="Q2143" i="1"/>
  <c r="C2870" i="1" l="1"/>
  <c r="Q2144" i="1"/>
  <c r="C2871" i="1" l="1"/>
  <c r="Q2145" i="1"/>
  <c r="C2872" i="1" l="1"/>
  <c r="Q2146" i="1"/>
  <c r="C2873" i="1" l="1"/>
  <c r="Q2147" i="1"/>
  <c r="C2874" i="1" l="1"/>
  <c r="Q2148" i="1"/>
  <c r="C2875" i="1" l="1"/>
  <c r="Q2149" i="1"/>
  <c r="C2876" i="1" l="1"/>
  <c r="Q2150" i="1"/>
  <c r="C2877" i="1" l="1"/>
  <c r="Q2151" i="1"/>
  <c r="C2878" i="1" l="1"/>
  <c r="Q2152" i="1"/>
  <c r="C2879" i="1" l="1"/>
  <c r="Q2153" i="1"/>
  <c r="C2880" i="1" l="1"/>
  <c r="Q2154" i="1"/>
  <c r="C2881" i="1" l="1"/>
  <c r="Q2155" i="1"/>
  <c r="C2882" i="1" l="1"/>
  <c r="Q2156" i="1"/>
  <c r="C2883" i="1" l="1"/>
  <c r="Q2157" i="1"/>
  <c r="C2884" i="1" l="1"/>
  <c r="Q2158" i="1"/>
  <c r="C2885" i="1" l="1"/>
  <c r="Q2159" i="1"/>
  <c r="C2886" i="1" l="1"/>
  <c r="Q2160" i="1"/>
  <c r="C2887" i="1" l="1"/>
  <c r="Q2161" i="1"/>
  <c r="C2888" i="1" l="1"/>
  <c r="Q2162" i="1"/>
  <c r="C2889" i="1" l="1"/>
  <c r="Q2163" i="1"/>
  <c r="C2890" i="1" l="1"/>
  <c r="Q2164" i="1"/>
  <c r="C2891" i="1" l="1"/>
  <c r="Q2165" i="1"/>
  <c r="C2892" i="1" l="1"/>
  <c r="Q2166" i="1"/>
  <c r="C2893" i="1" l="1"/>
  <c r="Q2167" i="1"/>
  <c r="C2894" i="1" l="1"/>
  <c r="Q2168" i="1"/>
  <c r="C2895" i="1" l="1"/>
  <c r="Q2169" i="1"/>
  <c r="C2896" i="1" l="1"/>
  <c r="Q2170" i="1"/>
  <c r="C2897" i="1" l="1"/>
  <c r="Q2171" i="1"/>
  <c r="C2898" i="1" l="1"/>
  <c r="Q2172" i="1"/>
  <c r="C2899" i="1" l="1"/>
  <c r="Q2173" i="1"/>
  <c r="C2900" i="1" l="1"/>
  <c r="Q2174" i="1"/>
  <c r="C2901" i="1" l="1"/>
  <c r="Q2175" i="1"/>
  <c r="C2902" i="1" l="1"/>
  <c r="Q2176" i="1"/>
  <c r="C2903" i="1" l="1"/>
  <c r="Q2177" i="1"/>
  <c r="C2904" i="1" l="1"/>
  <c r="Q2178" i="1"/>
  <c r="C2905" i="1" l="1"/>
  <c r="Q2179" i="1"/>
  <c r="C2906" i="1" l="1"/>
  <c r="Q2180" i="1"/>
  <c r="C2907" i="1" l="1"/>
  <c r="Q2181" i="1"/>
  <c r="C2908" i="1" l="1"/>
  <c r="Q2182" i="1"/>
  <c r="C2909" i="1" l="1"/>
  <c r="Q2183" i="1"/>
  <c r="C2910" i="1" l="1"/>
  <c r="Q2184" i="1"/>
  <c r="C2911" i="1" l="1"/>
  <c r="Q2185" i="1"/>
  <c r="C2912" i="1" l="1"/>
  <c r="Q2186" i="1"/>
  <c r="C2913" i="1" l="1"/>
  <c r="Q2187" i="1"/>
  <c r="C2914" i="1" l="1"/>
  <c r="Q2188" i="1"/>
  <c r="C2915" i="1" l="1"/>
  <c r="Q2189" i="1"/>
  <c r="C2916" i="1" l="1"/>
  <c r="Q2190" i="1"/>
  <c r="C2917" i="1" l="1"/>
  <c r="Q2191" i="1"/>
  <c r="C2918" i="1" l="1"/>
  <c r="Q2192" i="1"/>
  <c r="C2919" i="1" l="1"/>
  <c r="Q2193" i="1"/>
  <c r="C2920" i="1" l="1"/>
  <c r="Q2194" i="1"/>
  <c r="C2921" i="1" l="1"/>
  <c r="Q2195" i="1"/>
  <c r="C2922" i="1" l="1"/>
  <c r="Q2196" i="1"/>
  <c r="C2923" i="1" l="1"/>
  <c r="Q2197" i="1"/>
  <c r="C2924" i="1" l="1"/>
  <c r="Q2198" i="1"/>
  <c r="C2925" i="1" l="1"/>
  <c r="Q2199" i="1"/>
  <c r="C2926" i="1" l="1"/>
  <c r="Q2200" i="1"/>
  <c r="C2927" i="1" l="1"/>
  <c r="Q2201" i="1"/>
  <c r="C2928" i="1" l="1"/>
  <c r="Q2202" i="1"/>
  <c r="C2929" i="1" l="1"/>
  <c r="Q2203" i="1"/>
  <c r="C2930" i="1" l="1"/>
  <c r="Q2204" i="1"/>
  <c r="C2931" i="1" l="1"/>
  <c r="Q2205" i="1"/>
  <c r="C2932" i="1" l="1"/>
  <c r="Q2206" i="1"/>
  <c r="C2933" i="1" l="1"/>
  <c r="Q2207" i="1"/>
  <c r="C2934" i="1" l="1"/>
  <c r="Q2208" i="1"/>
  <c r="C2935" i="1" l="1"/>
  <c r="Q2209" i="1"/>
  <c r="C2936" i="1" l="1"/>
  <c r="Q2210" i="1"/>
  <c r="C2937" i="1" l="1"/>
  <c r="Q2211" i="1"/>
  <c r="C2938" i="1" l="1"/>
  <c r="Q2212" i="1"/>
  <c r="C2939" i="1" l="1"/>
  <c r="Q2213" i="1"/>
  <c r="C2940" i="1" l="1"/>
  <c r="Q2214" i="1"/>
  <c r="C2941" i="1" l="1"/>
  <c r="Q2215" i="1"/>
  <c r="C2942" i="1" l="1"/>
  <c r="Q2216" i="1"/>
  <c r="C2943" i="1" l="1"/>
  <c r="Q2217" i="1"/>
  <c r="C2944" i="1" l="1"/>
  <c r="Q2218" i="1"/>
  <c r="C2945" i="1" l="1"/>
  <c r="Q2219" i="1"/>
  <c r="C2946" i="1" l="1"/>
  <c r="Q2220" i="1"/>
  <c r="C2947" i="1" l="1"/>
  <c r="Q2221" i="1"/>
  <c r="C2948" i="1" l="1"/>
  <c r="Q2222" i="1"/>
  <c r="C2949" i="1" l="1"/>
  <c r="Q2223" i="1"/>
  <c r="C2950" i="1" l="1"/>
  <c r="Q2224" i="1"/>
  <c r="C2951" i="1" l="1"/>
  <c r="Q2225" i="1"/>
  <c r="C2952" i="1" l="1"/>
  <c r="Q2226" i="1"/>
  <c r="C2953" i="1" l="1"/>
  <c r="Q2227" i="1"/>
  <c r="C2954" i="1" l="1"/>
  <c r="Q2228" i="1"/>
  <c r="C2955" i="1" l="1"/>
  <c r="Q2229" i="1"/>
  <c r="C2956" i="1" l="1"/>
  <c r="Q2230" i="1"/>
  <c r="C2957" i="1" l="1"/>
  <c r="Q2231" i="1"/>
  <c r="C2958" i="1" l="1"/>
  <c r="Q2232" i="1"/>
  <c r="C2959" i="1" l="1"/>
  <c r="Q2233" i="1"/>
  <c r="C2960" i="1" l="1"/>
  <c r="Q2234" i="1"/>
  <c r="C2961" i="1" l="1"/>
  <c r="Q2235" i="1"/>
  <c r="C2962" i="1" l="1"/>
  <c r="Q2236" i="1"/>
  <c r="C2963" i="1" l="1"/>
  <c r="Q2237" i="1"/>
  <c r="C2964" i="1" l="1"/>
  <c r="Q2238" i="1"/>
  <c r="C2965" i="1" l="1"/>
  <c r="Q2239" i="1"/>
  <c r="C2966" i="1" l="1"/>
  <c r="Q2240" i="1"/>
  <c r="C2967" i="1" l="1"/>
  <c r="Q2241" i="1"/>
  <c r="C2968" i="1" l="1"/>
  <c r="Q2242" i="1"/>
  <c r="C2969" i="1" l="1"/>
  <c r="Q2243" i="1"/>
  <c r="C2970" i="1" l="1"/>
  <c r="Q2244" i="1"/>
  <c r="C2971" i="1" l="1"/>
  <c r="Q2245" i="1"/>
  <c r="C2972" i="1" l="1"/>
  <c r="Q2246" i="1"/>
  <c r="C2973" i="1" l="1"/>
  <c r="Q2247" i="1"/>
  <c r="C2974" i="1" l="1"/>
  <c r="Q2248" i="1"/>
  <c r="C2975" i="1" l="1"/>
  <c r="Q2249" i="1"/>
  <c r="C2976" i="1" l="1"/>
  <c r="Q2250" i="1"/>
  <c r="C2977" i="1" l="1"/>
  <c r="Q2251" i="1"/>
  <c r="C2978" i="1" l="1"/>
  <c r="Q2252" i="1"/>
  <c r="C2979" i="1" l="1"/>
  <c r="Q2253" i="1"/>
  <c r="C2980" i="1" l="1"/>
  <c r="Q2254" i="1"/>
  <c r="C2981" i="1" l="1"/>
  <c r="Q2255" i="1"/>
  <c r="C2982" i="1" l="1"/>
  <c r="Q2256" i="1"/>
  <c r="C2983" i="1" l="1"/>
  <c r="Q2257" i="1"/>
  <c r="C2984" i="1" l="1"/>
  <c r="Q2258" i="1"/>
  <c r="C2985" i="1" l="1"/>
  <c r="Q2259" i="1"/>
  <c r="C2986" i="1" l="1"/>
  <c r="Q2260" i="1"/>
  <c r="C2987" i="1" l="1"/>
  <c r="Q2261" i="1"/>
  <c r="C2988" i="1" l="1"/>
  <c r="Q2262" i="1"/>
  <c r="C2989" i="1" l="1"/>
  <c r="Q2263" i="1"/>
  <c r="C2990" i="1" l="1"/>
  <c r="Q2264" i="1"/>
  <c r="C2991" i="1" l="1"/>
  <c r="Q2265" i="1"/>
  <c r="C2992" i="1" l="1"/>
  <c r="Q2266" i="1"/>
  <c r="C2993" i="1" l="1"/>
  <c r="Q2267" i="1"/>
  <c r="C2994" i="1" l="1"/>
  <c r="Q2268" i="1"/>
  <c r="C2995" i="1" l="1"/>
  <c r="Q2269" i="1"/>
  <c r="C2996" i="1" l="1"/>
  <c r="Q2270" i="1"/>
  <c r="C2997" i="1" l="1"/>
  <c r="Q2271" i="1"/>
  <c r="C2998" i="1" l="1"/>
  <c r="Q2272" i="1"/>
  <c r="C2999" i="1" l="1"/>
  <c r="Q2273" i="1"/>
  <c r="C3000" i="1" l="1"/>
  <c r="Q2274" i="1"/>
  <c r="C3001" i="1" l="1"/>
  <c r="Q2275" i="1"/>
  <c r="C3002" i="1" l="1"/>
  <c r="Q2276" i="1"/>
  <c r="C3003" i="1" l="1"/>
  <c r="Q2277" i="1"/>
  <c r="C3004" i="1" l="1"/>
  <c r="Q2278" i="1"/>
  <c r="C3005" i="1" l="1"/>
  <c r="Q2279" i="1"/>
  <c r="C3006" i="1" l="1"/>
  <c r="Q2280" i="1"/>
  <c r="C3007" i="1" l="1"/>
  <c r="Q2281" i="1"/>
  <c r="C3008" i="1" l="1"/>
  <c r="Q2282" i="1"/>
  <c r="C3009" i="1" l="1"/>
  <c r="Q2283" i="1"/>
  <c r="C3010" i="1" l="1"/>
  <c r="Q2284" i="1"/>
  <c r="C3011" i="1" l="1"/>
  <c r="Q2285" i="1"/>
  <c r="C3012" i="1" l="1"/>
  <c r="Q2286" i="1"/>
  <c r="C3013" i="1" l="1"/>
  <c r="Q2287" i="1"/>
  <c r="C3014" i="1" l="1"/>
  <c r="Q2288" i="1"/>
  <c r="C3015" i="1" l="1"/>
  <c r="Q2289" i="1"/>
  <c r="C3016" i="1" l="1"/>
  <c r="Q2290" i="1"/>
  <c r="C3017" i="1" l="1"/>
  <c r="Q2291" i="1"/>
  <c r="C3018" i="1" l="1"/>
  <c r="Q2292" i="1"/>
  <c r="C3019" i="1" l="1"/>
  <c r="Q2293" i="1"/>
  <c r="C3020" i="1" l="1"/>
  <c r="Q2294" i="1"/>
  <c r="C3021" i="1" l="1"/>
  <c r="Q2295" i="1"/>
  <c r="C3022" i="1" l="1"/>
  <c r="Q2296" i="1"/>
  <c r="C3023" i="1" l="1"/>
  <c r="Q2297" i="1"/>
  <c r="C3024" i="1" l="1"/>
  <c r="Q2298" i="1"/>
  <c r="C3025" i="1" l="1"/>
  <c r="Q2299" i="1"/>
  <c r="C3026" i="1" l="1"/>
  <c r="Q2300" i="1"/>
  <c r="C3027" i="1" l="1"/>
  <c r="Q2301" i="1"/>
  <c r="C3028" i="1" l="1"/>
  <c r="Q2302" i="1"/>
  <c r="C3029" i="1" l="1"/>
  <c r="Q2303" i="1"/>
  <c r="C3030" i="1" l="1"/>
  <c r="Q2304" i="1"/>
  <c r="C3031" i="1" l="1"/>
  <c r="Q2305" i="1"/>
  <c r="C3032" i="1" l="1"/>
  <c r="Q2306" i="1"/>
  <c r="C3033" i="1" l="1"/>
  <c r="Q2307" i="1"/>
  <c r="C3034" i="1" l="1"/>
  <c r="Q2308" i="1"/>
  <c r="C3035" i="1" l="1"/>
  <c r="Q2309" i="1"/>
  <c r="C3036" i="1" l="1"/>
  <c r="Q2310" i="1"/>
  <c r="C3037" i="1" l="1"/>
  <c r="Q2311" i="1"/>
  <c r="C3038" i="1" l="1"/>
  <c r="Q2312" i="1"/>
  <c r="C3039" i="1" l="1"/>
  <c r="Q2313" i="1"/>
  <c r="C3040" i="1" l="1"/>
  <c r="Q2314" i="1"/>
  <c r="C3041" i="1" l="1"/>
  <c r="Q2315" i="1"/>
  <c r="C3042" i="1" l="1"/>
  <c r="Q2316" i="1"/>
  <c r="C3043" i="1" l="1"/>
  <c r="Q2317" i="1"/>
  <c r="C3044" i="1" l="1"/>
  <c r="Q2318" i="1"/>
  <c r="C3045" i="1" l="1"/>
  <c r="Q2319" i="1"/>
  <c r="C3046" i="1" l="1"/>
  <c r="Q2320" i="1"/>
  <c r="C3047" i="1" l="1"/>
  <c r="Q2321" i="1"/>
  <c r="C3048" i="1" l="1"/>
  <c r="Q2322" i="1"/>
  <c r="C3049" i="1" l="1"/>
  <c r="Q2323" i="1"/>
  <c r="C3050" i="1" l="1"/>
  <c r="Q2324" i="1"/>
  <c r="C3051" i="1" l="1"/>
  <c r="Q2325" i="1"/>
  <c r="C3052" i="1" l="1"/>
  <c r="Q2326" i="1"/>
  <c r="C3053" i="1" l="1"/>
  <c r="Q2327" i="1"/>
  <c r="C3054" i="1" l="1"/>
  <c r="Q2328" i="1"/>
  <c r="C3055" i="1" l="1"/>
  <c r="Q2329" i="1"/>
  <c r="C3056" i="1" l="1"/>
  <c r="Q2330" i="1"/>
  <c r="C3057" i="1" l="1"/>
  <c r="Q2331" i="1"/>
  <c r="C3058" i="1" l="1"/>
  <c r="Q2332" i="1"/>
  <c r="C3059" i="1" l="1"/>
  <c r="Q2333" i="1"/>
  <c r="C3060" i="1" l="1"/>
  <c r="Q2334" i="1"/>
  <c r="C3061" i="1" l="1"/>
  <c r="Q2335" i="1"/>
  <c r="C3062" i="1" l="1"/>
  <c r="Q2336" i="1"/>
  <c r="C3063" i="1" l="1"/>
  <c r="Q2337" i="1"/>
  <c r="C3064" i="1" l="1"/>
  <c r="Q2338" i="1"/>
  <c r="C3065" i="1" l="1"/>
  <c r="Q2339" i="1"/>
  <c r="C3066" i="1" l="1"/>
  <c r="Q2340" i="1"/>
  <c r="C3067" i="1" l="1"/>
  <c r="Q2341" i="1"/>
  <c r="C3068" i="1" l="1"/>
  <c r="Q2342" i="1"/>
  <c r="C3069" i="1" l="1"/>
  <c r="Q2343" i="1"/>
  <c r="C3070" i="1" l="1"/>
  <c r="Q2344" i="1"/>
  <c r="C3071" i="1" l="1"/>
  <c r="Q2345" i="1"/>
  <c r="C3072" i="1" l="1"/>
  <c r="Q2346" i="1"/>
  <c r="C3073" i="1" l="1"/>
  <c r="Q2347" i="1"/>
  <c r="C3074" i="1" l="1"/>
  <c r="Q2348" i="1"/>
  <c r="C3075" i="1" l="1"/>
  <c r="Q2349" i="1"/>
  <c r="C3076" i="1" l="1"/>
  <c r="Q2350" i="1"/>
  <c r="C3077" i="1" l="1"/>
  <c r="Q2351" i="1"/>
  <c r="C3078" i="1" l="1"/>
  <c r="Q2352" i="1"/>
  <c r="C3079" i="1" l="1"/>
  <c r="Q2353" i="1"/>
  <c r="C3080" i="1" l="1"/>
  <c r="Q2354" i="1"/>
  <c r="C3081" i="1" l="1"/>
  <c r="Q2355" i="1"/>
  <c r="C3082" i="1" l="1"/>
  <c r="Q2356" i="1"/>
  <c r="C3083" i="1" l="1"/>
  <c r="Q2357" i="1"/>
  <c r="C3084" i="1" l="1"/>
  <c r="Q2358" i="1"/>
  <c r="C3085" i="1" l="1"/>
  <c r="Q2359" i="1"/>
  <c r="C3086" i="1" l="1"/>
  <c r="Q2360" i="1"/>
  <c r="C3087" i="1" l="1"/>
  <c r="Q2361" i="1"/>
  <c r="C3088" i="1" l="1"/>
  <c r="Q2362" i="1"/>
  <c r="C3089" i="1" l="1"/>
  <c r="Q2363" i="1"/>
  <c r="C3090" i="1" l="1"/>
  <c r="Q2364" i="1"/>
  <c r="C3091" i="1" l="1"/>
  <c r="Q2365" i="1"/>
  <c r="C3092" i="1" l="1"/>
  <c r="Q2366" i="1"/>
  <c r="C3093" i="1" l="1"/>
  <c r="Q2367" i="1"/>
  <c r="C3094" i="1" l="1"/>
  <c r="Q2368" i="1"/>
  <c r="C3095" i="1" l="1"/>
  <c r="Q2369" i="1"/>
  <c r="C3096" i="1" l="1"/>
  <c r="Q2370" i="1"/>
  <c r="C3097" i="1" l="1"/>
  <c r="Q2371" i="1"/>
  <c r="C3098" i="1" l="1"/>
  <c r="Q2372" i="1"/>
  <c r="C3099" i="1" l="1"/>
  <c r="Q2373" i="1"/>
  <c r="C3100" i="1" l="1"/>
  <c r="Q2374" i="1"/>
  <c r="C3101" i="1" l="1"/>
  <c r="Q2375" i="1"/>
  <c r="C3102" i="1" l="1"/>
  <c r="Q2376" i="1"/>
  <c r="C3103" i="1" l="1"/>
  <c r="Q2377" i="1"/>
  <c r="C3104" i="1" l="1"/>
  <c r="Q2378" i="1"/>
  <c r="C3105" i="1" l="1"/>
  <c r="Q2379" i="1"/>
  <c r="C3106" i="1" l="1"/>
  <c r="Q2380" i="1"/>
  <c r="C3107" i="1" l="1"/>
  <c r="Q2381" i="1"/>
  <c r="C3108" i="1" l="1"/>
  <c r="Q2382" i="1"/>
  <c r="C3109" i="1" l="1"/>
  <c r="Q2383" i="1"/>
  <c r="C3110" i="1" l="1"/>
  <c r="Q2384" i="1"/>
  <c r="C3111" i="1" l="1"/>
  <c r="Q2385" i="1"/>
  <c r="C3112" i="1" l="1"/>
  <c r="Q2386" i="1"/>
  <c r="C3113" i="1" l="1"/>
  <c r="Q2387" i="1"/>
  <c r="C3114" i="1" l="1"/>
  <c r="Q2388" i="1"/>
  <c r="C3115" i="1" l="1"/>
  <c r="Q2389" i="1"/>
  <c r="C3116" i="1" l="1"/>
  <c r="Q2390" i="1"/>
  <c r="C3117" i="1" l="1"/>
  <c r="Q2391" i="1"/>
  <c r="C3118" i="1" l="1"/>
  <c r="Q2392" i="1"/>
  <c r="C3119" i="1" l="1"/>
  <c r="Q2393" i="1"/>
  <c r="C3120" i="1" l="1"/>
  <c r="Q2394" i="1"/>
  <c r="C3121" i="1" l="1"/>
  <c r="Q2395" i="1"/>
  <c r="C3122" i="1" l="1"/>
  <c r="Q2396" i="1"/>
  <c r="C3123" i="1" l="1"/>
  <c r="Q2397" i="1"/>
  <c r="C3124" i="1" l="1"/>
  <c r="Q2398" i="1"/>
  <c r="C3125" i="1" l="1"/>
  <c r="Q2399" i="1"/>
  <c r="C3126" i="1" l="1"/>
  <c r="Q2400" i="1"/>
  <c r="C3127" i="1" l="1"/>
  <c r="Q2401" i="1"/>
  <c r="C3128" i="1" l="1"/>
  <c r="Q2402" i="1"/>
  <c r="C3129" i="1" l="1"/>
  <c r="Q2403" i="1"/>
  <c r="C3130" i="1" l="1"/>
  <c r="Q2404" i="1"/>
  <c r="C3131" i="1" l="1"/>
  <c r="Q2405" i="1"/>
  <c r="C3132" i="1" l="1"/>
  <c r="Q2406" i="1"/>
  <c r="C3133" i="1" l="1"/>
  <c r="Q2407" i="1"/>
  <c r="C3134" i="1" l="1"/>
  <c r="Q2408" i="1"/>
  <c r="C3135" i="1" l="1"/>
  <c r="Q2409" i="1"/>
  <c r="C3136" i="1" l="1"/>
  <c r="Q2410" i="1"/>
  <c r="C3137" i="1" l="1"/>
  <c r="Q2411" i="1"/>
  <c r="C3138" i="1" l="1"/>
  <c r="Q2412" i="1"/>
  <c r="C3139" i="1" l="1"/>
  <c r="Q2413" i="1"/>
  <c r="C3140" i="1" l="1"/>
  <c r="Q2414" i="1"/>
  <c r="C3141" i="1" l="1"/>
  <c r="Q2415" i="1"/>
  <c r="C3142" i="1" l="1"/>
  <c r="Q2416" i="1"/>
  <c r="C3143" i="1" l="1"/>
  <c r="Q2417" i="1"/>
  <c r="C3144" i="1" l="1"/>
  <c r="Q2418" i="1"/>
  <c r="C3145" i="1" l="1"/>
  <c r="Q2419" i="1"/>
  <c r="C3146" i="1" l="1"/>
  <c r="Q2420" i="1"/>
  <c r="C3147" i="1" l="1"/>
  <c r="Q2421" i="1"/>
  <c r="C3148" i="1" l="1"/>
  <c r="Q2422" i="1"/>
  <c r="C3149" i="1" l="1"/>
  <c r="Q2423" i="1"/>
  <c r="C3150" i="1" l="1"/>
  <c r="Q2424" i="1"/>
  <c r="C3151" i="1" l="1"/>
  <c r="Q2425" i="1"/>
  <c r="C3152" i="1" l="1"/>
  <c r="Q2426" i="1"/>
  <c r="C3153" i="1" l="1"/>
  <c r="Q2427" i="1"/>
  <c r="C3154" i="1" l="1"/>
  <c r="Q2428" i="1"/>
  <c r="C3155" i="1" l="1"/>
  <c r="Q2429" i="1"/>
  <c r="C3156" i="1" l="1"/>
  <c r="Q2430" i="1"/>
  <c r="C3157" i="1" l="1"/>
  <c r="Q2431" i="1"/>
  <c r="C3158" i="1" l="1"/>
  <c r="Q2432" i="1"/>
  <c r="C3159" i="1" l="1"/>
  <c r="Q2433" i="1"/>
  <c r="C3160" i="1" l="1"/>
  <c r="Q2434" i="1"/>
  <c r="C3161" i="1" l="1"/>
  <c r="Q2435" i="1"/>
  <c r="C3162" i="1" l="1"/>
  <c r="Q2436" i="1"/>
  <c r="C3163" i="1" l="1"/>
  <c r="Q2437" i="1"/>
  <c r="C3164" i="1" l="1"/>
  <c r="Q2438" i="1"/>
  <c r="C3165" i="1" l="1"/>
  <c r="Q2439" i="1"/>
  <c r="C3166" i="1" l="1"/>
  <c r="Q2440" i="1"/>
  <c r="C3167" i="1" l="1"/>
  <c r="Q2441" i="1"/>
  <c r="C3168" i="1" l="1"/>
  <c r="Q2442" i="1"/>
  <c r="C3169" i="1" l="1"/>
  <c r="Q2443" i="1"/>
  <c r="C3170" i="1" l="1"/>
  <c r="Q2444" i="1"/>
  <c r="C3171" i="1" l="1"/>
  <c r="Q2445" i="1"/>
  <c r="C3172" i="1" l="1"/>
  <c r="Q2446" i="1"/>
  <c r="C3173" i="1" l="1"/>
  <c r="Q2447" i="1"/>
  <c r="C3174" i="1" l="1"/>
  <c r="Q2448" i="1"/>
  <c r="C3175" i="1" l="1"/>
  <c r="Q2449" i="1"/>
  <c r="C3176" i="1" l="1"/>
  <c r="Q2450" i="1"/>
  <c r="C3177" i="1" l="1"/>
  <c r="Q2451" i="1"/>
  <c r="C3178" i="1" l="1"/>
  <c r="Q2452" i="1"/>
  <c r="C3179" i="1" l="1"/>
  <c r="Q2453" i="1"/>
  <c r="C3180" i="1" l="1"/>
  <c r="Q2454" i="1"/>
  <c r="C3181" i="1" l="1"/>
  <c r="Q2455" i="1"/>
  <c r="C3182" i="1" l="1"/>
  <c r="Q2456" i="1"/>
  <c r="C3183" i="1" l="1"/>
  <c r="Q2457" i="1"/>
  <c r="C3184" i="1" l="1"/>
  <c r="Q2458" i="1"/>
  <c r="C3185" i="1" l="1"/>
  <c r="Q2459" i="1"/>
  <c r="C3186" i="1" l="1"/>
  <c r="Q2460" i="1"/>
  <c r="C3187" i="1" l="1"/>
  <c r="Q2461" i="1"/>
  <c r="C3188" i="1" l="1"/>
  <c r="Q2462" i="1"/>
  <c r="C3189" i="1" l="1"/>
  <c r="Q2463" i="1"/>
  <c r="C3190" i="1" l="1"/>
  <c r="Q2464" i="1"/>
  <c r="C3191" i="1" l="1"/>
  <c r="Q2465" i="1"/>
  <c r="C3192" i="1" l="1"/>
  <c r="Q2466" i="1"/>
  <c r="C3193" i="1" l="1"/>
  <c r="Q2467" i="1"/>
  <c r="C3194" i="1" l="1"/>
  <c r="Q2468" i="1"/>
  <c r="C3195" i="1" l="1"/>
  <c r="Q2469" i="1"/>
  <c r="C3196" i="1" l="1"/>
  <c r="Q2470" i="1"/>
  <c r="C3197" i="1" l="1"/>
  <c r="Q2471" i="1"/>
  <c r="C3198" i="1" l="1"/>
  <c r="Q2472" i="1"/>
  <c r="C3199" i="1" l="1"/>
  <c r="Q2473" i="1"/>
  <c r="C3200" i="1" l="1"/>
  <c r="Q2474" i="1"/>
  <c r="C3201" i="1" l="1"/>
  <c r="Q2475" i="1"/>
  <c r="C3202" i="1" l="1"/>
  <c r="Q2476" i="1"/>
  <c r="C3203" i="1" l="1"/>
  <c r="Q2477" i="1"/>
  <c r="C3204" i="1" l="1"/>
  <c r="Q2478" i="1"/>
  <c r="C3205" i="1" l="1"/>
  <c r="Q2479" i="1"/>
  <c r="C3206" i="1" l="1"/>
  <c r="Q2480" i="1"/>
  <c r="C3207" i="1" l="1"/>
  <c r="Q2481" i="1"/>
  <c r="C3208" i="1" l="1"/>
  <c r="Q2482" i="1"/>
  <c r="C3209" i="1" l="1"/>
  <c r="Q2483" i="1"/>
  <c r="C3210" i="1" l="1"/>
  <c r="Q2484" i="1"/>
  <c r="C3211" i="1" l="1"/>
  <c r="Q2485" i="1"/>
  <c r="C3212" i="1" l="1"/>
  <c r="Q2486" i="1"/>
  <c r="C3213" i="1" l="1"/>
  <c r="Q2487" i="1"/>
  <c r="C3214" i="1" l="1"/>
  <c r="Q2488" i="1"/>
  <c r="C3215" i="1" l="1"/>
  <c r="Q2489" i="1"/>
  <c r="C3216" i="1" l="1"/>
  <c r="Q2490" i="1"/>
  <c r="C3217" i="1" l="1"/>
  <c r="Q2491" i="1"/>
  <c r="C3218" i="1" l="1"/>
  <c r="Q2492" i="1"/>
  <c r="C3219" i="1" l="1"/>
  <c r="Q2493" i="1"/>
  <c r="C3220" i="1" l="1"/>
  <c r="Q2494" i="1"/>
  <c r="C3221" i="1" l="1"/>
  <c r="Q2495" i="1"/>
  <c r="C3222" i="1" l="1"/>
  <c r="Q2496" i="1"/>
  <c r="C3223" i="1" l="1"/>
  <c r="Q2497" i="1"/>
  <c r="C3224" i="1" l="1"/>
  <c r="Q2498" i="1"/>
  <c r="C3225" i="1" l="1"/>
  <c r="Q2499" i="1"/>
  <c r="C3226" i="1" l="1"/>
  <c r="Q2500" i="1"/>
  <c r="C3227" i="1" l="1"/>
  <c r="Q2501" i="1"/>
  <c r="C3228" i="1" l="1"/>
  <c r="Q2502" i="1"/>
  <c r="C3229" i="1" l="1"/>
  <c r="Q2503" i="1"/>
  <c r="C3230" i="1" l="1"/>
  <c r="Q2504" i="1"/>
  <c r="C3231" i="1" l="1"/>
  <c r="Q2505" i="1"/>
  <c r="C3232" i="1" l="1"/>
  <c r="Q2506" i="1"/>
  <c r="C3233" i="1" l="1"/>
  <c r="Q2507" i="1"/>
  <c r="C3234" i="1" l="1"/>
  <c r="Q2508" i="1"/>
  <c r="C3235" i="1" l="1"/>
  <c r="Q2509" i="1"/>
  <c r="C3236" i="1" l="1"/>
  <c r="Q2510" i="1"/>
  <c r="C3237" i="1" l="1"/>
  <c r="Q2511" i="1"/>
  <c r="C3238" i="1" l="1"/>
  <c r="Q2512" i="1"/>
  <c r="C3239" i="1" l="1"/>
  <c r="Q2513" i="1"/>
  <c r="C3240" i="1" l="1"/>
  <c r="Q2514" i="1"/>
  <c r="C3241" i="1" l="1"/>
  <c r="Q2515" i="1"/>
  <c r="C3242" i="1" l="1"/>
  <c r="Q2516" i="1"/>
  <c r="C3243" i="1" l="1"/>
  <c r="Q2517" i="1"/>
  <c r="C3244" i="1" l="1"/>
  <c r="Q2518" i="1"/>
  <c r="C3245" i="1" l="1"/>
  <c r="Q2519" i="1"/>
  <c r="C3246" i="1" l="1"/>
  <c r="Q2520" i="1"/>
  <c r="C3247" i="1" l="1"/>
  <c r="Q2521" i="1"/>
  <c r="C3248" i="1" l="1"/>
  <c r="Q2522" i="1"/>
  <c r="C3249" i="1" l="1"/>
  <c r="Q2523" i="1"/>
  <c r="C3250" i="1" l="1"/>
  <c r="Q2524" i="1"/>
  <c r="C3251" i="1" l="1"/>
  <c r="Q2525" i="1"/>
  <c r="C3252" i="1" l="1"/>
  <c r="Q2526" i="1"/>
  <c r="C3253" i="1" l="1"/>
  <c r="Q2527" i="1"/>
  <c r="C3254" i="1" l="1"/>
  <c r="Q2528" i="1"/>
  <c r="C3255" i="1" l="1"/>
  <c r="Q2529" i="1"/>
  <c r="C3256" i="1" l="1"/>
  <c r="Q2530" i="1"/>
  <c r="C3257" i="1" l="1"/>
  <c r="Q2531" i="1"/>
  <c r="C3258" i="1" l="1"/>
  <c r="Q2532" i="1"/>
  <c r="C3259" i="1" l="1"/>
  <c r="Q2533" i="1"/>
  <c r="C3260" i="1" l="1"/>
  <c r="Q2534" i="1"/>
  <c r="C3261" i="1" l="1"/>
  <c r="Q2535" i="1"/>
  <c r="C3262" i="1" l="1"/>
  <c r="Q2536" i="1"/>
  <c r="C3263" i="1" l="1"/>
  <c r="Q2537" i="1"/>
  <c r="C3264" i="1" l="1"/>
  <c r="Q2538" i="1"/>
  <c r="C3265" i="1" l="1"/>
  <c r="Q2539" i="1"/>
  <c r="C3266" i="1" l="1"/>
  <c r="Q2540" i="1"/>
  <c r="C3267" i="1" l="1"/>
  <c r="Q2541" i="1"/>
  <c r="C3268" i="1" l="1"/>
  <c r="Q2542" i="1"/>
  <c r="C3269" i="1" l="1"/>
  <c r="Q2543" i="1"/>
  <c r="C3270" i="1" l="1"/>
  <c r="Q2544" i="1"/>
  <c r="C3271" i="1" l="1"/>
  <c r="Q2545" i="1"/>
  <c r="C3272" i="1" l="1"/>
  <c r="Q2546" i="1"/>
  <c r="C3273" i="1" l="1"/>
  <c r="Q2547" i="1"/>
  <c r="C3274" i="1" l="1"/>
  <c r="Q2548" i="1"/>
  <c r="C3275" i="1" l="1"/>
  <c r="Q2549" i="1"/>
  <c r="C3276" i="1" l="1"/>
  <c r="Q2550" i="1"/>
  <c r="C3277" i="1" l="1"/>
  <c r="Q2551" i="1"/>
  <c r="C3278" i="1" l="1"/>
  <c r="Q2552" i="1"/>
  <c r="C3279" i="1" l="1"/>
  <c r="Q2553" i="1"/>
  <c r="C3280" i="1" l="1"/>
  <c r="Q2554" i="1"/>
  <c r="C3281" i="1" l="1"/>
  <c r="Q2555" i="1"/>
  <c r="C3282" i="1" l="1"/>
  <c r="Q2556" i="1"/>
  <c r="C3283" i="1" l="1"/>
  <c r="Q2557" i="1"/>
  <c r="C3284" i="1" l="1"/>
  <c r="Q2558" i="1"/>
  <c r="C3285" i="1" l="1"/>
  <c r="Q2559" i="1"/>
  <c r="C3286" i="1" l="1"/>
  <c r="Q2560" i="1"/>
  <c r="C3287" i="1" l="1"/>
  <c r="Q2561" i="1"/>
  <c r="C3288" i="1" l="1"/>
  <c r="Q2562" i="1"/>
  <c r="C3289" i="1" l="1"/>
  <c r="Q2563" i="1"/>
  <c r="C3290" i="1" l="1"/>
  <c r="Q2564" i="1"/>
  <c r="C3291" i="1" l="1"/>
  <c r="Q2565" i="1"/>
  <c r="C3292" i="1" l="1"/>
  <c r="Q2566" i="1"/>
  <c r="C3293" i="1" l="1"/>
  <c r="Q2567" i="1"/>
  <c r="C3294" i="1" l="1"/>
  <c r="Q2568" i="1"/>
  <c r="C3295" i="1" l="1"/>
  <c r="Q2569" i="1"/>
  <c r="C3296" i="1" l="1"/>
  <c r="Q2570" i="1"/>
  <c r="C3297" i="1" l="1"/>
  <c r="Q2571" i="1"/>
  <c r="C3298" i="1" l="1"/>
  <c r="Q2572" i="1"/>
  <c r="C3299" i="1" l="1"/>
  <c r="Q2573" i="1"/>
  <c r="C3300" i="1" l="1"/>
  <c r="Q2574" i="1"/>
  <c r="C3301" i="1" l="1"/>
  <c r="Q2575" i="1"/>
  <c r="C3302" i="1" l="1"/>
  <c r="Q2576" i="1"/>
  <c r="C3303" i="1" l="1"/>
  <c r="Q2577" i="1"/>
  <c r="C3304" i="1" l="1"/>
  <c r="Q2578" i="1"/>
  <c r="C3305" i="1" l="1"/>
  <c r="Q2579" i="1"/>
  <c r="C3306" i="1" l="1"/>
  <c r="Q2580" i="1"/>
  <c r="C3307" i="1" l="1"/>
  <c r="Q2581" i="1"/>
  <c r="C3308" i="1" l="1"/>
  <c r="Q2582" i="1"/>
  <c r="C3309" i="1" l="1"/>
  <c r="Q2583" i="1"/>
  <c r="C3310" i="1" l="1"/>
  <c r="Q2584" i="1"/>
  <c r="C3311" i="1" l="1"/>
  <c r="Q2585" i="1"/>
  <c r="C3312" i="1" l="1"/>
  <c r="Q2586" i="1"/>
  <c r="C3313" i="1" l="1"/>
  <c r="Q2587" i="1"/>
  <c r="C3314" i="1" l="1"/>
  <c r="Q2588" i="1"/>
  <c r="C3315" i="1" l="1"/>
  <c r="Q2589" i="1"/>
  <c r="C3316" i="1" l="1"/>
  <c r="Q2590" i="1"/>
  <c r="C3317" i="1" l="1"/>
  <c r="Q2591" i="1"/>
  <c r="C3318" i="1" l="1"/>
  <c r="Q2592" i="1"/>
  <c r="C3319" i="1" l="1"/>
  <c r="Q2593" i="1"/>
  <c r="C3320" i="1" l="1"/>
  <c r="Q2594" i="1"/>
  <c r="C3321" i="1" l="1"/>
  <c r="Q2595" i="1"/>
  <c r="C3322" i="1" l="1"/>
  <c r="Q2596" i="1"/>
  <c r="C3323" i="1" l="1"/>
  <c r="Q2597" i="1"/>
  <c r="C3324" i="1" l="1"/>
  <c r="Q2598" i="1"/>
  <c r="C3325" i="1" l="1"/>
  <c r="Q2599" i="1"/>
  <c r="C3326" i="1" l="1"/>
  <c r="Q2600" i="1"/>
  <c r="C3327" i="1" l="1"/>
  <c r="Q2601" i="1"/>
  <c r="C3328" i="1" l="1"/>
  <c r="Q2602" i="1"/>
  <c r="C3329" i="1" l="1"/>
  <c r="Q2603" i="1"/>
  <c r="C3330" i="1" l="1"/>
  <c r="Q2604" i="1"/>
  <c r="C3331" i="1" l="1"/>
  <c r="Q2605" i="1"/>
  <c r="C3332" i="1" l="1"/>
  <c r="Q2606" i="1"/>
  <c r="C3333" i="1" l="1"/>
  <c r="Q2607" i="1"/>
  <c r="C3334" i="1" l="1"/>
  <c r="Q2608" i="1"/>
  <c r="C3335" i="1" l="1"/>
  <c r="Q2609" i="1"/>
  <c r="C3336" i="1" l="1"/>
  <c r="Q2610" i="1"/>
  <c r="C3337" i="1" l="1"/>
  <c r="Q2611" i="1"/>
  <c r="C3338" i="1" l="1"/>
  <c r="Q2612" i="1"/>
  <c r="C3339" i="1" l="1"/>
  <c r="Q2613" i="1"/>
  <c r="C3340" i="1" l="1"/>
  <c r="Q2614" i="1"/>
  <c r="C3341" i="1" l="1"/>
  <c r="Q2615" i="1"/>
  <c r="C3342" i="1" l="1"/>
  <c r="Q2616" i="1"/>
  <c r="C3343" i="1" l="1"/>
  <c r="Q2617" i="1"/>
  <c r="C3344" i="1" l="1"/>
  <c r="Q2618" i="1"/>
  <c r="C3345" i="1" l="1"/>
  <c r="Q2619" i="1"/>
  <c r="C3346" i="1" l="1"/>
  <c r="Q2620" i="1"/>
  <c r="C3347" i="1" l="1"/>
  <c r="Q2621" i="1"/>
  <c r="C3348" i="1" l="1"/>
  <c r="Q2622" i="1"/>
  <c r="C3349" i="1" l="1"/>
  <c r="Q2623" i="1"/>
  <c r="C3350" i="1" l="1"/>
  <c r="Q2624" i="1"/>
  <c r="C3351" i="1" l="1"/>
  <c r="Q2625" i="1"/>
  <c r="C3352" i="1" l="1"/>
  <c r="Q2626" i="1"/>
  <c r="C3353" i="1" l="1"/>
  <c r="Q2627" i="1"/>
  <c r="C3354" i="1" l="1"/>
  <c r="Q2628" i="1"/>
  <c r="C3355" i="1" l="1"/>
  <c r="Q2629" i="1"/>
  <c r="C3356" i="1" l="1"/>
  <c r="Q2630" i="1"/>
  <c r="C3357" i="1" l="1"/>
  <c r="Q2631" i="1"/>
  <c r="C3358" i="1" l="1"/>
  <c r="Q2632" i="1"/>
  <c r="C3359" i="1" l="1"/>
  <c r="Q2633" i="1"/>
  <c r="C3360" i="1" l="1"/>
  <c r="Q2634" i="1"/>
  <c r="C3361" i="1" l="1"/>
  <c r="Q2635" i="1"/>
  <c r="C3362" i="1" l="1"/>
  <c r="Q2636" i="1"/>
  <c r="C3363" i="1" l="1"/>
  <c r="Q2637" i="1"/>
  <c r="C3364" i="1" l="1"/>
  <c r="Q2638" i="1"/>
  <c r="C3365" i="1" l="1"/>
  <c r="Q2639" i="1"/>
  <c r="C3366" i="1" l="1"/>
  <c r="Q2640" i="1"/>
  <c r="C3367" i="1" l="1"/>
  <c r="Q2641" i="1"/>
  <c r="C3368" i="1" l="1"/>
  <c r="Q2642" i="1"/>
  <c r="C3369" i="1" l="1"/>
  <c r="Q2643" i="1"/>
  <c r="C3370" i="1" l="1"/>
  <c r="Q2644" i="1"/>
  <c r="C3371" i="1" l="1"/>
  <c r="Q2645" i="1"/>
  <c r="C3372" i="1" l="1"/>
  <c r="Q2646" i="1"/>
  <c r="C3373" i="1" l="1"/>
  <c r="Q2647" i="1"/>
  <c r="C3374" i="1" l="1"/>
  <c r="Q2648" i="1"/>
  <c r="C3375" i="1" l="1"/>
  <c r="A3375" i="1" s="1"/>
  <c r="Q2649" i="1"/>
  <c r="C3376" i="1" l="1"/>
  <c r="A3376" i="1" s="1"/>
  <c r="B3375" i="1"/>
  <c r="Q2650" i="1"/>
  <c r="C3377" i="1" l="1"/>
  <c r="B3376" i="1"/>
  <c r="Q2651" i="1"/>
  <c r="C3378" i="1" l="1"/>
  <c r="B3377" i="1"/>
  <c r="B3378" i="1" s="1"/>
  <c r="A3377" i="1"/>
  <c r="Q2652" i="1"/>
  <c r="C3379" i="1" l="1"/>
  <c r="B3379" i="1"/>
  <c r="A3378" i="1"/>
  <c r="Q2653" i="1"/>
  <c r="A3379" i="1" l="1"/>
  <c r="C3380" i="1"/>
  <c r="Q2654" i="1"/>
  <c r="C3381" i="1" l="1"/>
  <c r="B3380" i="1"/>
  <c r="B3381" i="1" s="1"/>
  <c r="A3380" i="1"/>
  <c r="Q2655" i="1"/>
  <c r="A3381" i="1" l="1"/>
  <c r="C3382" i="1"/>
  <c r="Q2656" i="1"/>
  <c r="C3383" i="1" l="1"/>
  <c r="A3382" i="1"/>
  <c r="B3382" i="1"/>
  <c r="Q2657" i="1"/>
  <c r="A3383" i="1" l="1"/>
  <c r="C3384" i="1"/>
  <c r="A3384" i="1" s="1"/>
  <c r="B3383" i="1"/>
  <c r="Q2658" i="1"/>
  <c r="C3385" i="1" l="1"/>
  <c r="B3385" i="1" s="1"/>
  <c r="B3384" i="1"/>
  <c r="Q2659" i="1"/>
  <c r="C3386" i="1" l="1"/>
  <c r="A3385" i="1"/>
  <c r="Q2660" i="1"/>
  <c r="A3386" i="1" l="1"/>
  <c r="C3387" i="1"/>
  <c r="A3387" i="1" s="1"/>
  <c r="B3386" i="1"/>
  <c r="B3387" i="1" s="1"/>
  <c r="Q2661" i="1"/>
  <c r="B3388" i="1" l="1"/>
  <c r="C3388" i="1"/>
  <c r="Q2662" i="1"/>
  <c r="C3389" i="1" l="1"/>
  <c r="B3389" i="1"/>
  <c r="A3388" i="1"/>
  <c r="Q2663" i="1"/>
  <c r="A3389" i="1" l="1"/>
  <c r="C3390" i="1"/>
  <c r="A3390" i="1" s="1"/>
  <c r="Q2664" i="1"/>
  <c r="C3391" i="1" l="1"/>
  <c r="A3391" i="1" s="1"/>
  <c r="B3390" i="1"/>
  <c r="Q2665" i="1"/>
  <c r="C3392" i="1" l="1"/>
  <c r="B3391" i="1"/>
  <c r="Q2666" i="1"/>
  <c r="C3393" i="1" l="1"/>
  <c r="A3392" i="1"/>
  <c r="B3392" i="1"/>
  <c r="B3393" i="1" s="1"/>
  <c r="Q2667" i="1"/>
  <c r="A3393" i="1" l="1"/>
  <c r="C3394" i="1"/>
  <c r="A3394" i="1" s="1"/>
  <c r="Q2668" i="1"/>
  <c r="C3395" i="1" l="1"/>
  <c r="B3395" i="1"/>
  <c r="A3395" i="1"/>
  <c r="B3394" i="1"/>
  <c r="Q2669" i="1"/>
  <c r="C3396" i="1" l="1"/>
  <c r="B3396" i="1"/>
  <c r="Q2670" i="1"/>
  <c r="A3396" i="1" l="1"/>
  <c r="C3397" i="1"/>
  <c r="A3397" i="1"/>
  <c r="B3397" i="1"/>
  <c r="Q2671" i="1"/>
  <c r="C3398" i="1" l="1"/>
  <c r="A3398" i="1"/>
  <c r="Q2672" i="1"/>
  <c r="C3399" i="1" l="1"/>
  <c r="A3399" i="1"/>
  <c r="B3398" i="1"/>
  <c r="Q2673" i="1"/>
  <c r="B3399" i="1" l="1"/>
  <c r="C3400" i="1"/>
  <c r="Q2674" i="1"/>
  <c r="C3401" i="1" l="1"/>
  <c r="B3400" i="1"/>
  <c r="B3401" i="1" s="1"/>
  <c r="A3400" i="1"/>
  <c r="A3401" i="1" s="1"/>
  <c r="Q2675" i="1"/>
  <c r="C3402" i="1" l="1"/>
  <c r="A3402" i="1" s="1"/>
  <c r="Q2676" i="1"/>
  <c r="C3403" i="1" l="1"/>
  <c r="A3403" i="1"/>
  <c r="B3403" i="1"/>
  <c r="B3402" i="1"/>
  <c r="Q2677" i="1"/>
  <c r="C3404" i="1" l="1"/>
  <c r="A3404" i="1"/>
  <c r="Q2678" i="1"/>
  <c r="C3405" i="1" l="1"/>
  <c r="B3405" i="1"/>
  <c r="B3404" i="1"/>
  <c r="Q2679" i="1"/>
  <c r="C3406" i="1" l="1"/>
  <c r="A3406" i="1" s="1"/>
  <c r="A3405" i="1"/>
  <c r="Q2680" i="1"/>
  <c r="C3407" i="1" l="1"/>
  <c r="A3407" i="1" s="1"/>
  <c r="B3406" i="1"/>
  <c r="Q2681" i="1"/>
  <c r="B3407" i="1" l="1"/>
  <c r="B3408" i="1" s="1"/>
  <c r="C3408" i="1"/>
  <c r="A3408" i="1"/>
  <c r="Q2682" i="1"/>
  <c r="C3409" i="1" l="1"/>
  <c r="B3409" i="1"/>
  <c r="Q2683" i="1"/>
  <c r="C3410" i="1" l="1"/>
  <c r="A3410" i="1" s="1"/>
  <c r="A3409" i="1"/>
  <c r="Q2684" i="1"/>
  <c r="C3411" i="1" l="1"/>
  <c r="A3411" i="1" s="1"/>
  <c r="B3410" i="1"/>
  <c r="Q2685" i="1"/>
  <c r="B3411" i="1" l="1"/>
  <c r="C3412" i="1"/>
  <c r="B3412" i="1"/>
  <c r="Q2686" i="1"/>
  <c r="C3413" i="1" l="1"/>
  <c r="B3413" i="1"/>
  <c r="A3412" i="1"/>
  <c r="Q2687" i="1"/>
  <c r="A3413" i="1" l="1"/>
  <c r="C3414" i="1"/>
  <c r="A3414" i="1" s="1"/>
  <c r="Q2688" i="1"/>
  <c r="B3414" i="1" l="1"/>
  <c r="C3415" i="1"/>
  <c r="A3415" i="1"/>
  <c r="Q2689" i="1"/>
  <c r="C3416" i="1" l="1"/>
  <c r="B3416" i="1"/>
  <c r="B3415" i="1"/>
  <c r="Q2690" i="1"/>
  <c r="C3417" i="1" l="1"/>
  <c r="A3417" i="1" s="1"/>
  <c r="A3416" i="1"/>
  <c r="Q2691" i="1"/>
  <c r="C3418" i="1" l="1"/>
  <c r="B3418" i="1" s="1"/>
  <c r="B3417" i="1"/>
  <c r="Q2692" i="1"/>
  <c r="A3418" i="1" l="1"/>
  <c r="C3419" i="1"/>
  <c r="A3419" i="1"/>
  <c r="B3419" i="1"/>
  <c r="Q2693" i="1"/>
  <c r="C3420" i="1" l="1"/>
  <c r="A3420" i="1"/>
  <c r="Q2694" i="1"/>
  <c r="C3421" i="1" l="1"/>
  <c r="A3421" i="1"/>
  <c r="B3420" i="1"/>
  <c r="Q2695" i="1"/>
  <c r="C3422" i="1" l="1"/>
  <c r="B3422" i="1" s="1"/>
  <c r="B3421" i="1"/>
  <c r="Q2696" i="1"/>
  <c r="A3422" i="1" l="1"/>
  <c r="C3423" i="1"/>
  <c r="A3423" i="1"/>
  <c r="B3423" i="1"/>
  <c r="Q2697" i="1"/>
  <c r="C3424" i="1" l="1"/>
  <c r="Q2698" i="1"/>
  <c r="C3425" i="1" l="1"/>
  <c r="A3425" i="1"/>
  <c r="A3424" i="1"/>
  <c r="B3424" i="1"/>
  <c r="Q2699" i="1"/>
  <c r="C3426" i="1" l="1"/>
  <c r="A3426" i="1" s="1"/>
  <c r="B3425" i="1"/>
  <c r="Q2700" i="1"/>
  <c r="B3426" i="1" l="1"/>
  <c r="C3427" i="1"/>
  <c r="A3427" i="1"/>
  <c r="B3427" i="1"/>
  <c r="Q2701" i="1"/>
  <c r="C3428" i="1" l="1"/>
  <c r="A3428" i="1"/>
  <c r="B3428" i="1"/>
  <c r="Q2702" i="1"/>
  <c r="C3429" i="1" l="1"/>
  <c r="A3429" i="1"/>
  <c r="Q2703" i="1"/>
  <c r="C3430" i="1" l="1"/>
  <c r="A3430" i="1"/>
  <c r="B3430" i="1"/>
  <c r="B3429" i="1"/>
  <c r="Q2704" i="1"/>
  <c r="C3431" i="1" l="1"/>
  <c r="A3431" i="1"/>
  <c r="B3431" i="1"/>
  <c r="Q2705" i="1"/>
  <c r="B3432" i="1" l="1"/>
  <c r="C3432" i="1"/>
  <c r="Q2706" i="1"/>
  <c r="B3433" i="1" l="1"/>
  <c r="C3433" i="1"/>
  <c r="A3432" i="1"/>
  <c r="Q2707" i="1"/>
  <c r="A3433" i="1" l="1"/>
  <c r="C3434" i="1"/>
  <c r="A3434" i="1"/>
  <c r="B3434" i="1"/>
  <c r="Q2708" i="1"/>
  <c r="C3435" i="1" l="1"/>
  <c r="A3435" i="1"/>
  <c r="B3435" i="1"/>
  <c r="Q2709" i="1"/>
  <c r="C3436" i="1" l="1"/>
  <c r="A3436" i="1" s="1"/>
  <c r="Q2710" i="1"/>
  <c r="C3437" i="1" l="1"/>
  <c r="B3436" i="1"/>
  <c r="Q2711" i="1"/>
  <c r="C3438" i="1" l="1"/>
  <c r="B3438" i="1"/>
  <c r="A3437" i="1"/>
  <c r="B3437" i="1"/>
  <c r="Q2712" i="1"/>
  <c r="A3438" i="1" l="1"/>
  <c r="C3439" i="1"/>
  <c r="A3439" i="1"/>
  <c r="B3439" i="1"/>
  <c r="Q2713" i="1"/>
  <c r="C3440" i="1" l="1"/>
  <c r="B3440" i="1" s="1"/>
  <c r="Q2714" i="1"/>
  <c r="A3440" i="1" l="1"/>
  <c r="Q2715" i="1"/>
  <c r="Q2716" i="1" l="1"/>
  <c r="Q2717" i="1" l="1"/>
  <c r="Q2718" i="1" l="1"/>
  <c r="Q2719" i="1" l="1"/>
  <c r="Q2720" i="1" l="1"/>
  <c r="Q2721" i="1" l="1"/>
  <c r="Q2722" i="1" l="1"/>
  <c r="Q2723" i="1" l="1"/>
  <c r="Q2724" i="1" l="1"/>
  <c r="Q2725" i="1" l="1"/>
  <c r="Q2726" i="1" l="1"/>
  <c r="Q2727" i="1" l="1"/>
  <c r="Q2728" i="1" l="1"/>
  <c r="Q2729" i="1" l="1"/>
  <c r="Q2730" i="1" l="1"/>
  <c r="Q2731" i="1" l="1"/>
  <c r="Q2732" i="1" l="1"/>
  <c r="Q2733" i="1" l="1"/>
  <c r="Q2734" i="1" l="1"/>
  <c r="Q2735" i="1" l="1"/>
  <c r="Q2736" i="1" l="1"/>
  <c r="Q2737" i="1" l="1"/>
  <c r="Q2738" i="1" l="1"/>
  <c r="Q2739" i="1" l="1"/>
  <c r="Q2740" i="1" l="1"/>
  <c r="Q2741" i="1" l="1"/>
  <c r="Q2742" i="1" l="1"/>
  <c r="Q2743" i="1" l="1"/>
  <c r="Q2744" i="1" l="1"/>
  <c r="Q2745" i="1" l="1"/>
  <c r="Q2746" i="1" l="1"/>
  <c r="Q2747" i="1" l="1"/>
  <c r="Q2748" i="1" l="1"/>
  <c r="Q2749" i="1" l="1"/>
  <c r="Q2750" i="1" l="1"/>
  <c r="Q2751" i="1" l="1"/>
  <c r="Q2752" i="1" l="1"/>
  <c r="Q2753" i="1" l="1"/>
  <c r="Q2754" i="1" l="1"/>
  <c r="Q2755" i="1" l="1"/>
  <c r="Q2756" i="1" l="1"/>
  <c r="Q2757" i="1" l="1"/>
  <c r="Q2758" i="1" l="1"/>
  <c r="Q2759" i="1" l="1"/>
  <c r="Q2760" i="1" l="1"/>
  <c r="Q2761" i="1" l="1"/>
  <c r="Q2762" i="1" l="1"/>
  <c r="Q2763" i="1" l="1"/>
  <c r="Q2764" i="1" l="1"/>
  <c r="Q2765" i="1" l="1"/>
  <c r="Q2766" i="1" l="1"/>
  <c r="Q2767" i="1" l="1"/>
  <c r="Q2768" i="1" l="1"/>
  <c r="Q2769" i="1" l="1"/>
  <c r="Q2770" i="1" l="1"/>
  <c r="Q2771" i="1" l="1"/>
  <c r="Q2772" i="1" l="1"/>
  <c r="Q2773" i="1" l="1"/>
  <c r="Q2774" i="1" l="1"/>
  <c r="Q2775" i="1" l="1"/>
  <c r="Q2776" i="1" l="1"/>
  <c r="Q2777" i="1" l="1"/>
  <c r="Q2778" i="1" l="1"/>
  <c r="Q2779" i="1" l="1"/>
  <c r="Q2780" i="1" l="1"/>
  <c r="Q2781" i="1" l="1"/>
  <c r="Q2782" i="1" l="1"/>
  <c r="Q2783" i="1" l="1"/>
  <c r="Q2784" i="1" l="1"/>
  <c r="Q2785" i="1" l="1"/>
  <c r="Q2786" i="1" l="1"/>
  <c r="Q2787" i="1" l="1"/>
  <c r="Q2788" i="1" l="1"/>
  <c r="Q2789" i="1" l="1"/>
  <c r="Q2790" i="1" l="1"/>
  <c r="Q2791" i="1" l="1"/>
  <c r="Q2792" i="1" l="1"/>
  <c r="Q2793" i="1" l="1"/>
  <c r="Q2794" i="1" l="1"/>
  <c r="Q2795" i="1" l="1"/>
  <c r="Q2796" i="1" l="1"/>
  <c r="Q2797" i="1" l="1"/>
  <c r="Q2798" i="1" l="1"/>
  <c r="Q2799" i="1" l="1"/>
  <c r="Q2800" i="1" l="1"/>
  <c r="Q2801" i="1" l="1"/>
  <c r="Q2802" i="1" l="1"/>
  <c r="Q2803" i="1" l="1"/>
  <c r="Q2804" i="1" l="1"/>
  <c r="Q2805" i="1" l="1"/>
  <c r="Q2806" i="1" l="1"/>
  <c r="Q2807" i="1" l="1"/>
  <c r="Q2808" i="1" l="1"/>
  <c r="Q2809" i="1" l="1"/>
  <c r="Q2810" i="1" l="1"/>
  <c r="Q2811" i="1" l="1"/>
  <c r="Q2812" i="1" l="1"/>
  <c r="Q2813" i="1" l="1"/>
  <c r="Q2814" i="1" l="1"/>
  <c r="Q2815" i="1" l="1"/>
  <c r="Q2816" i="1" l="1"/>
  <c r="Q2817" i="1" l="1"/>
  <c r="Q2818" i="1" l="1"/>
  <c r="Q2819" i="1" l="1"/>
  <c r="Q2820" i="1" l="1"/>
  <c r="Q2821" i="1" l="1"/>
  <c r="Q2822" i="1" l="1"/>
  <c r="Q2823" i="1" l="1"/>
  <c r="Q2824" i="1" l="1"/>
  <c r="Q2825" i="1" l="1"/>
  <c r="Q2826" i="1" l="1"/>
  <c r="Q2827" i="1" l="1"/>
  <c r="Q2828" i="1" l="1"/>
  <c r="Q2829" i="1" l="1"/>
  <c r="Q2830" i="1" l="1"/>
  <c r="Q2831" i="1" l="1"/>
  <c r="Q2832" i="1" l="1"/>
  <c r="Q2833" i="1" l="1"/>
  <c r="Q2834" i="1" l="1"/>
  <c r="Q2835" i="1" l="1"/>
  <c r="Q2836" i="1" l="1"/>
  <c r="Q2837" i="1" l="1"/>
  <c r="Q2838" i="1" l="1"/>
  <c r="Q2839" i="1" l="1"/>
  <c r="Q2840" i="1" l="1"/>
  <c r="Q2841" i="1" l="1"/>
  <c r="Q2842" i="1" l="1"/>
  <c r="Q2843" i="1" l="1"/>
  <c r="Q2844" i="1" l="1"/>
  <c r="Q2845" i="1" l="1"/>
  <c r="Q2846" i="1" l="1"/>
  <c r="Q2847" i="1" l="1"/>
  <c r="Q2848" i="1" l="1"/>
  <c r="Q2849" i="1" l="1"/>
  <c r="Q2850" i="1" l="1"/>
  <c r="Q2851" i="1" l="1"/>
  <c r="Q2852" i="1" l="1"/>
  <c r="Q2853" i="1" l="1"/>
  <c r="Q2854" i="1" l="1"/>
  <c r="Q2855" i="1" l="1"/>
  <c r="Q2856" i="1" l="1"/>
  <c r="Q2857" i="1" l="1"/>
  <c r="Q2858" i="1" l="1"/>
  <c r="Q2859" i="1" l="1"/>
  <c r="Q2860" i="1" l="1"/>
  <c r="Q2861" i="1" l="1"/>
  <c r="Q2862" i="1" l="1"/>
  <c r="Q2863" i="1" l="1"/>
  <c r="Q2864" i="1" l="1"/>
  <c r="Q2865" i="1" l="1"/>
  <c r="Q2866" i="1" l="1"/>
  <c r="Q2867" i="1" l="1"/>
  <c r="Q2868" i="1" l="1"/>
  <c r="Q2869" i="1" l="1"/>
  <c r="Q2870" i="1" l="1"/>
  <c r="Q2871" i="1" l="1"/>
  <c r="Q2872" i="1" l="1"/>
  <c r="Q2873" i="1" l="1"/>
  <c r="Q2874" i="1" l="1"/>
  <c r="Q2875" i="1" l="1"/>
  <c r="Q2876" i="1" l="1"/>
  <c r="Q2877" i="1" l="1"/>
  <c r="Q2878" i="1" l="1"/>
  <c r="Q2879" i="1" l="1"/>
  <c r="Q2880" i="1" l="1"/>
  <c r="Q2881" i="1" l="1"/>
  <c r="Q2882" i="1" l="1"/>
  <c r="Q2883" i="1" l="1"/>
  <c r="Q2884" i="1" l="1"/>
  <c r="Q2885" i="1" l="1"/>
  <c r="Q2886" i="1" l="1"/>
  <c r="Q2887" i="1" l="1"/>
  <c r="Q2888" i="1" l="1"/>
  <c r="Q2889" i="1" l="1"/>
  <c r="Q2890" i="1" l="1"/>
  <c r="Q2891" i="1" l="1"/>
  <c r="Q2892" i="1" l="1"/>
  <c r="Q2893" i="1" l="1"/>
  <c r="Q2894" i="1" l="1"/>
  <c r="Q2895" i="1" l="1"/>
  <c r="Q2896" i="1" l="1"/>
  <c r="Q2897" i="1" l="1"/>
  <c r="Q2898" i="1" l="1"/>
  <c r="Q2899" i="1" l="1"/>
  <c r="Q2900" i="1" l="1"/>
  <c r="Q2901" i="1" l="1"/>
  <c r="Q2902" i="1" l="1"/>
  <c r="Q2903" i="1" l="1"/>
  <c r="Q2904" i="1" l="1"/>
  <c r="Q2905" i="1" l="1"/>
  <c r="Q2906" i="1" l="1"/>
  <c r="Q2907" i="1" l="1"/>
  <c r="Q2908" i="1" l="1"/>
  <c r="Q2909" i="1" l="1"/>
  <c r="Q2910" i="1" l="1"/>
  <c r="Q2911" i="1" l="1"/>
  <c r="Q2912" i="1" l="1"/>
  <c r="Q2913" i="1" l="1"/>
  <c r="Q2914" i="1" l="1"/>
  <c r="Q2915" i="1" l="1"/>
  <c r="Q2916" i="1" l="1"/>
  <c r="Q2917" i="1" l="1"/>
  <c r="Q2918" i="1" l="1"/>
  <c r="Q2919" i="1" l="1"/>
  <c r="Q2920" i="1" l="1"/>
  <c r="Q2921" i="1" l="1"/>
  <c r="Q2922" i="1" l="1"/>
  <c r="Q2923" i="1" l="1"/>
  <c r="Q2924" i="1" l="1"/>
  <c r="Q2925" i="1" l="1"/>
  <c r="Q2926" i="1" l="1"/>
  <c r="Q2927" i="1" l="1"/>
  <c r="Q2928" i="1" l="1"/>
  <c r="Q2929" i="1" l="1"/>
  <c r="Q2930" i="1" l="1"/>
  <c r="Q2931" i="1" l="1"/>
  <c r="Q2932" i="1" l="1"/>
  <c r="Q2933" i="1" l="1"/>
  <c r="Q2934" i="1" l="1"/>
  <c r="Q2935" i="1" l="1"/>
  <c r="Q2936" i="1" l="1"/>
  <c r="Q2937" i="1" l="1"/>
  <c r="Q2938" i="1" l="1"/>
  <c r="Q2939" i="1" l="1"/>
  <c r="Q2940" i="1" l="1"/>
  <c r="Q2941" i="1" l="1"/>
  <c r="Q2942" i="1" l="1"/>
  <c r="Q2943" i="1" l="1"/>
  <c r="Q2944" i="1" l="1"/>
  <c r="Q2945" i="1" l="1"/>
  <c r="Q2946" i="1" l="1"/>
  <c r="Q2947" i="1" l="1"/>
  <c r="Q2948" i="1" l="1"/>
  <c r="Q2949" i="1" l="1"/>
  <c r="Q2950" i="1" l="1"/>
  <c r="Q2951" i="1" l="1"/>
  <c r="Q2952" i="1" l="1"/>
  <c r="Q2953" i="1" l="1"/>
  <c r="Q2954" i="1" l="1"/>
  <c r="Q2955" i="1" l="1"/>
  <c r="Q2956" i="1" l="1"/>
  <c r="Q2957" i="1" l="1"/>
  <c r="Q2958" i="1" l="1"/>
  <c r="Q2959" i="1" l="1"/>
  <c r="Q2960" i="1" l="1"/>
  <c r="Q2961" i="1" l="1"/>
  <c r="Q2962" i="1" l="1"/>
  <c r="Q2963" i="1" l="1"/>
  <c r="Q2964" i="1" l="1"/>
  <c r="Q2965" i="1" l="1"/>
  <c r="Q2966" i="1" l="1"/>
  <c r="Q2967" i="1" l="1"/>
  <c r="Q2968" i="1" l="1"/>
  <c r="Q2969" i="1" l="1"/>
  <c r="Q2970" i="1" l="1"/>
  <c r="Q2971" i="1" l="1"/>
  <c r="Q2972" i="1" l="1"/>
  <c r="Q2973" i="1" l="1"/>
  <c r="Q2974" i="1" l="1"/>
  <c r="Q2975" i="1" l="1"/>
  <c r="Q2976" i="1" l="1"/>
  <c r="Q2977" i="1" l="1"/>
  <c r="Q2978" i="1" l="1"/>
  <c r="Q2979" i="1" l="1"/>
  <c r="Q2980" i="1" l="1"/>
  <c r="Q2981" i="1" l="1"/>
  <c r="Q2982" i="1" l="1"/>
  <c r="Q2983" i="1" l="1"/>
  <c r="Q2984" i="1" l="1"/>
  <c r="Q2985" i="1" l="1"/>
  <c r="Q2986" i="1" l="1"/>
  <c r="Q2987" i="1" l="1"/>
  <c r="Q2988" i="1" l="1"/>
  <c r="Q2989" i="1" l="1"/>
  <c r="Q2990" i="1" l="1"/>
  <c r="Q2991" i="1" l="1"/>
  <c r="Q2992" i="1" l="1"/>
  <c r="Q2993" i="1" l="1"/>
  <c r="Q2994" i="1" l="1"/>
  <c r="Q2995" i="1" l="1"/>
  <c r="Q2996" i="1" l="1"/>
  <c r="Q2997" i="1" l="1"/>
  <c r="Q2998" i="1" l="1"/>
  <c r="Q2999" i="1" l="1"/>
  <c r="Q3000" i="1" l="1"/>
  <c r="Q3001" i="1" l="1"/>
  <c r="Q3002" i="1" l="1"/>
  <c r="Q3003" i="1" l="1"/>
  <c r="Q3004" i="1" l="1"/>
  <c r="Q3005" i="1" l="1"/>
  <c r="Q3006" i="1" l="1"/>
  <c r="Q3007" i="1" l="1"/>
  <c r="Q3008" i="1" l="1"/>
  <c r="Q3009" i="1" l="1"/>
  <c r="Q3010" i="1" l="1"/>
  <c r="Q3011" i="1" l="1"/>
  <c r="Q3012" i="1" l="1"/>
  <c r="Q3013" i="1" l="1"/>
  <c r="Q3014" i="1" l="1"/>
  <c r="Q3015" i="1" l="1"/>
  <c r="Q3016" i="1" l="1"/>
  <c r="Q3017" i="1" l="1"/>
  <c r="Q3018" i="1" l="1"/>
  <c r="Q3019" i="1" l="1"/>
  <c r="Q3020" i="1" l="1"/>
  <c r="Q3021" i="1" l="1"/>
  <c r="Q3022" i="1" l="1"/>
  <c r="Q3023" i="1" l="1"/>
  <c r="Q3024" i="1" l="1"/>
  <c r="Q3025" i="1" l="1"/>
  <c r="Q3026" i="1" l="1"/>
  <c r="Q3027" i="1" l="1"/>
  <c r="Q3028" i="1" l="1"/>
  <c r="Q3029" i="1" l="1"/>
  <c r="Q3030" i="1" l="1"/>
  <c r="Q3031" i="1" l="1"/>
  <c r="Q3032" i="1" l="1"/>
  <c r="Q3033" i="1" l="1"/>
  <c r="Q3034" i="1" l="1"/>
  <c r="Q3035" i="1" l="1"/>
  <c r="Q3036" i="1" l="1"/>
  <c r="Q3037" i="1" l="1"/>
  <c r="Q3038" i="1" l="1"/>
  <c r="Q3039" i="1" l="1"/>
  <c r="Q3040" i="1" l="1"/>
  <c r="Q3041" i="1" l="1"/>
  <c r="Q3042" i="1" l="1"/>
  <c r="Q3043" i="1" l="1"/>
  <c r="Q3044" i="1" l="1"/>
  <c r="Q3045" i="1" l="1"/>
  <c r="Q3046" i="1" l="1"/>
  <c r="Q3047" i="1" l="1"/>
  <c r="Q3048" i="1" l="1"/>
  <c r="Q3049" i="1" l="1"/>
  <c r="Q3050" i="1" l="1"/>
  <c r="Q3051" i="1" l="1"/>
  <c r="Q3052" i="1" l="1"/>
  <c r="Q3053" i="1" l="1"/>
  <c r="Q3054" i="1" l="1"/>
  <c r="Q3055" i="1" l="1"/>
  <c r="Q3056" i="1" l="1"/>
  <c r="Q3057" i="1" l="1"/>
  <c r="Q3058" i="1" l="1"/>
  <c r="Q3059" i="1" l="1"/>
  <c r="Q3060" i="1" l="1"/>
  <c r="Q3061" i="1" l="1"/>
  <c r="Q3062" i="1" l="1"/>
  <c r="Q3063" i="1" l="1"/>
  <c r="Q3064" i="1" l="1"/>
  <c r="Q3065" i="1" l="1"/>
  <c r="Q3066" i="1" l="1"/>
  <c r="Q3067" i="1" l="1"/>
  <c r="Q3068" i="1" l="1"/>
  <c r="Q3069" i="1" l="1"/>
  <c r="Q3070" i="1" l="1"/>
  <c r="Q3071" i="1" l="1"/>
  <c r="Q3072" i="1" l="1"/>
  <c r="Q3073" i="1" l="1"/>
  <c r="Q3074" i="1" l="1"/>
  <c r="Q3075" i="1" l="1"/>
  <c r="Q3076" i="1" l="1"/>
  <c r="Q3077" i="1" l="1"/>
  <c r="Q3078" i="1" l="1"/>
  <c r="Q3079" i="1" l="1"/>
  <c r="Q3080" i="1" l="1"/>
  <c r="Q3081" i="1" l="1"/>
  <c r="Q3082" i="1" l="1"/>
  <c r="Q3083" i="1" l="1"/>
  <c r="Q3084" i="1" l="1"/>
  <c r="Q3085" i="1" l="1"/>
  <c r="Q3086" i="1" l="1"/>
  <c r="Q3087" i="1" l="1"/>
  <c r="Q3088" i="1" l="1"/>
  <c r="Q3089" i="1" l="1"/>
  <c r="Q3090" i="1" l="1"/>
  <c r="Q3091" i="1" l="1"/>
  <c r="Q3092" i="1" l="1"/>
  <c r="Q3093" i="1" l="1"/>
  <c r="Q3094" i="1" l="1"/>
  <c r="Q3095" i="1" l="1"/>
  <c r="Q3096" i="1" l="1"/>
  <c r="Q3097" i="1" l="1"/>
  <c r="Q3098" i="1" l="1"/>
  <c r="Q3099" i="1" l="1"/>
  <c r="Q3100" i="1" l="1"/>
  <c r="Q3101" i="1" l="1"/>
  <c r="Q3102" i="1" l="1"/>
  <c r="Q3103" i="1" l="1"/>
  <c r="Q3104" i="1" l="1"/>
  <c r="Q3105" i="1" l="1"/>
  <c r="Q3106" i="1" l="1"/>
  <c r="Q3107" i="1" l="1"/>
  <c r="Q3108" i="1" l="1"/>
  <c r="Q3109" i="1" l="1"/>
  <c r="Q3110" i="1" l="1"/>
  <c r="Q3111" i="1" l="1"/>
  <c r="Q3112" i="1" l="1"/>
  <c r="Q3113" i="1" l="1"/>
  <c r="Q3114" i="1" l="1"/>
  <c r="Q3115" i="1" l="1"/>
  <c r="Q3116" i="1" l="1"/>
  <c r="Q3117" i="1" l="1"/>
  <c r="Q3118" i="1" l="1"/>
  <c r="Q3119" i="1" l="1"/>
  <c r="Q3120" i="1" l="1"/>
  <c r="Q3121" i="1" l="1"/>
  <c r="Q3122" i="1" l="1"/>
  <c r="Q3123" i="1" l="1"/>
  <c r="Q3124" i="1" l="1"/>
  <c r="Q3125" i="1" l="1"/>
  <c r="Q3126" i="1" l="1"/>
  <c r="Q3127" i="1" l="1"/>
  <c r="Q3128" i="1" l="1"/>
  <c r="Q3129" i="1" l="1"/>
  <c r="Q3130" i="1" l="1"/>
  <c r="Q3131" i="1" l="1"/>
  <c r="Q3132" i="1" l="1"/>
  <c r="Q3133" i="1" l="1"/>
  <c r="Q3134" i="1" l="1"/>
  <c r="Q3135" i="1" l="1"/>
  <c r="Q3136" i="1" l="1"/>
  <c r="Q3137" i="1" l="1"/>
  <c r="Q3138" i="1" l="1"/>
  <c r="Q3139" i="1" l="1"/>
  <c r="Q3140" i="1" l="1"/>
  <c r="Q3141" i="1" l="1"/>
  <c r="Q3142" i="1" l="1"/>
  <c r="Q3143" i="1" l="1"/>
  <c r="Q3144" i="1" l="1"/>
  <c r="Q3145" i="1" l="1"/>
  <c r="Q3146" i="1" l="1"/>
  <c r="Q3147" i="1" l="1"/>
  <c r="Q3148" i="1" l="1"/>
  <c r="Q3149" i="1" l="1"/>
  <c r="Q3150" i="1" l="1"/>
  <c r="Q3151" i="1" l="1"/>
  <c r="Q3152" i="1" l="1"/>
  <c r="Q3153" i="1" l="1"/>
  <c r="Q3154" i="1" l="1"/>
  <c r="Q3155" i="1" l="1"/>
  <c r="Q3156" i="1" l="1"/>
  <c r="Q3157" i="1" l="1"/>
  <c r="Q3158" i="1" l="1"/>
  <c r="Q3159" i="1" l="1"/>
  <c r="Q3160" i="1" l="1"/>
  <c r="Q3161" i="1" l="1"/>
  <c r="Q3162" i="1" l="1"/>
  <c r="Q3163" i="1" l="1"/>
  <c r="Q3164" i="1" l="1"/>
  <c r="Q3165" i="1" l="1"/>
  <c r="Q3166" i="1" l="1"/>
  <c r="Q3167" i="1" l="1"/>
  <c r="Q3168" i="1" l="1"/>
  <c r="Q3169" i="1" l="1"/>
  <c r="Q3170" i="1" l="1"/>
  <c r="Q3171" i="1" l="1"/>
  <c r="Q3172" i="1" l="1"/>
  <c r="Q3173" i="1" l="1"/>
  <c r="Q3174" i="1" l="1"/>
  <c r="Q3175" i="1" l="1"/>
  <c r="Q3176" i="1" l="1"/>
  <c r="Q3177" i="1" l="1"/>
  <c r="Q3178" i="1" l="1"/>
  <c r="Q3179" i="1" l="1"/>
  <c r="Q3180" i="1" l="1"/>
  <c r="Q3181" i="1" l="1"/>
  <c r="Q3182" i="1" l="1"/>
  <c r="Q3183" i="1" l="1"/>
  <c r="Q3184" i="1" l="1"/>
  <c r="Q3185" i="1" l="1"/>
  <c r="Q3186" i="1" l="1"/>
  <c r="Q3187" i="1" l="1"/>
  <c r="Q3188" i="1" l="1"/>
  <c r="Q3189" i="1" l="1"/>
  <c r="Q3190" i="1" l="1"/>
  <c r="Q3191" i="1" l="1"/>
  <c r="Q3192" i="1" l="1"/>
  <c r="Q3193" i="1" l="1"/>
  <c r="Q3194" i="1" l="1"/>
  <c r="Q3195" i="1" l="1"/>
  <c r="Q3196" i="1" l="1"/>
  <c r="Q3197" i="1" l="1"/>
  <c r="Q3198" i="1" l="1"/>
  <c r="Q3199" i="1" l="1"/>
  <c r="Q3200" i="1" l="1"/>
  <c r="Q3201" i="1" l="1"/>
  <c r="Q3202" i="1" l="1"/>
  <c r="Q3203" i="1" l="1"/>
  <c r="Q3204" i="1" l="1"/>
  <c r="Q3205" i="1" l="1"/>
  <c r="Q3206" i="1" l="1"/>
  <c r="Q3207" i="1" l="1"/>
  <c r="Q3208" i="1" l="1"/>
  <c r="Q3209" i="1" l="1"/>
  <c r="Q3210" i="1" l="1"/>
  <c r="Q3211" i="1" l="1"/>
  <c r="Q3212" i="1" l="1"/>
  <c r="Q3213" i="1" l="1"/>
  <c r="Q3214" i="1" l="1"/>
  <c r="Q3215" i="1" l="1"/>
  <c r="Q3216" i="1" l="1"/>
  <c r="Q3217" i="1" l="1"/>
  <c r="Q3218" i="1" l="1"/>
  <c r="Q3219" i="1" l="1"/>
  <c r="Q3220" i="1" l="1"/>
  <c r="Q3221" i="1" l="1"/>
  <c r="Q3222" i="1" l="1"/>
  <c r="Q3223" i="1" l="1"/>
  <c r="Q3224" i="1" l="1"/>
  <c r="Q3225" i="1" l="1"/>
  <c r="Q3226" i="1" l="1"/>
  <c r="Q3227" i="1" l="1"/>
  <c r="Q3228" i="1" l="1"/>
  <c r="Q3229" i="1" l="1"/>
  <c r="Q3230" i="1" l="1"/>
  <c r="Q3231" i="1" l="1"/>
  <c r="Q3232" i="1" l="1"/>
  <c r="Q3233" i="1" l="1"/>
  <c r="Q3234" i="1" l="1"/>
  <c r="Q3235" i="1" l="1"/>
  <c r="Q3236" i="1" l="1"/>
  <c r="Q3237" i="1" l="1"/>
  <c r="Q3238" i="1" l="1"/>
  <c r="Q3239" i="1" l="1"/>
  <c r="Q3240" i="1" l="1"/>
  <c r="Q3241" i="1" l="1"/>
  <c r="Q3242" i="1" l="1"/>
  <c r="Q3243" i="1" l="1"/>
  <c r="Q3244" i="1" l="1"/>
  <c r="Q3245" i="1" l="1"/>
  <c r="Q3246" i="1" l="1"/>
  <c r="Q3247" i="1" l="1"/>
  <c r="Q3248" i="1" l="1"/>
  <c r="Q3249" i="1" l="1"/>
  <c r="Q3250" i="1" l="1"/>
  <c r="Q3251" i="1" l="1"/>
  <c r="Q3252" i="1" l="1"/>
  <c r="Q3253" i="1" l="1"/>
  <c r="Q3254" i="1" l="1"/>
  <c r="Q3255" i="1" l="1"/>
  <c r="Q3256" i="1" l="1"/>
  <c r="Q3257" i="1" l="1"/>
  <c r="Q3258" i="1" l="1"/>
  <c r="Q3259" i="1" l="1"/>
  <c r="Q3260" i="1" l="1"/>
  <c r="Q3261" i="1" l="1"/>
  <c r="Q3262" i="1" l="1"/>
  <c r="Q3263" i="1" l="1"/>
  <c r="Q3264" i="1" l="1"/>
  <c r="Q3265" i="1" l="1"/>
  <c r="Q3266" i="1" l="1"/>
  <c r="Q3267" i="1" l="1"/>
  <c r="Q3268" i="1" l="1"/>
  <c r="Q3269" i="1" l="1"/>
  <c r="Q3270" i="1" l="1"/>
  <c r="Q3271" i="1" l="1"/>
  <c r="Q3272" i="1" l="1"/>
  <c r="Q3273" i="1" l="1"/>
  <c r="Q3274" i="1" l="1"/>
  <c r="Q3275" i="1" l="1"/>
  <c r="Q3276" i="1" l="1"/>
  <c r="Q3277" i="1" l="1"/>
  <c r="Q3278" i="1" l="1"/>
  <c r="Q3279" i="1" l="1"/>
  <c r="Q3280" i="1" l="1"/>
  <c r="Q3281" i="1" l="1"/>
  <c r="Q3282" i="1" l="1"/>
  <c r="Q3283" i="1" l="1"/>
  <c r="Q3284" i="1" l="1"/>
  <c r="Q3285" i="1" l="1"/>
  <c r="Q3286" i="1" l="1"/>
  <c r="Q3287" i="1" l="1"/>
  <c r="Q3288" i="1" l="1"/>
  <c r="Q3289" i="1" l="1"/>
  <c r="Q3290" i="1" l="1"/>
  <c r="Q3291" i="1" l="1"/>
  <c r="Q3292" i="1" l="1"/>
  <c r="Q3293" i="1" l="1"/>
  <c r="Q3294" i="1" l="1"/>
  <c r="Q3295" i="1" l="1"/>
  <c r="Q3296" i="1" l="1"/>
  <c r="Q3297" i="1" l="1"/>
  <c r="Q3298" i="1" l="1"/>
  <c r="Q3299" i="1" l="1"/>
  <c r="Q3300" i="1" l="1"/>
  <c r="Q3301" i="1" l="1"/>
  <c r="Q3302" i="1" l="1"/>
  <c r="Q3303" i="1" l="1"/>
  <c r="Q3304" i="1" l="1"/>
  <c r="Q3305" i="1" l="1"/>
  <c r="Q3306" i="1" l="1"/>
  <c r="Q3307" i="1" l="1"/>
  <c r="Q3308" i="1" l="1"/>
  <c r="Q3309" i="1" l="1"/>
  <c r="Q3310" i="1" l="1"/>
  <c r="Q3311" i="1" l="1"/>
  <c r="Q3312" i="1" l="1"/>
  <c r="Q3313" i="1" l="1"/>
  <c r="Q3314" i="1" l="1"/>
  <c r="Q3315" i="1" l="1"/>
  <c r="Q3316" i="1" l="1"/>
  <c r="Q3317" i="1" l="1"/>
  <c r="Q3318" i="1" l="1"/>
  <c r="Q3319" i="1" l="1"/>
  <c r="Q3320" i="1" l="1"/>
  <c r="Q3321" i="1" l="1"/>
  <c r="Q3322" i="1" l="1"/>
  <c r="Q3323" i="1" l="1"/>
  <c r="Q3324" i="1" l="1"/>
  <c r="Q3325" i="1" l="1"/>
  <c r="Q3326" i="1" l="1"/>
  <c r="Q3327" i="1" l="1"/>
  <c r="Q3328" i="1" l="1"/>
  <c r="Q3329" i="1" l="1"/>
  <c r="Q3330" i="1" l="1"/>
  <c r="Q3331" i="1" l="1"/>
  <c r="Q3332" i="1" l="1"/>
  <c r="Q3333" i="1" l="1"/>
  <c r="Q3334" i="1" l="1"/>
  <c r="Q3335" i="1" l="1"/>
  <c r="Q3336" i="1" l="1"/>
  <c r="Q3337" i="1" l="1"/>
  <c r="Q3338" i="1" l="1"/>
  <c r="Q3339" i="1" l="1"/>
  <c r="Q3340" i="1" l="1"/>
  <c r="Q3341" i="1" l="1"/>
  <c r="Q3342" i="1" l="1"/>
  <c r="Q3343" i="1" l="1"/>
  <c r="Q3344" i="1" l="1"/>
  <c r="Q3345" i="1" l="1"/>
  <c r="Q3346" i="1" l="1"/>
  <c r="Q3347" i="1" l="1"/>
  <c r="Q3348" i="1" l="1"/>
  <c r="Q3349" i="1" l="1"/>
  <c r="Q3350" i="1" l="1"/>
  <c r="Q3351" i="1" l="1"/>
  <c r="Q3352" i="1" l="1"/>
  <c r="Q3353" i="1" l="1"/>
  <c r="Q3354" i="1" l="1"/>
  <c r="Q3355" i="1" l="1"/>
  <c r="Q3356" i="1" l="1"/>
  <c r="Q3357" i="1" l="1"/>
  <c r="Q3358" i="1" l="1"/>
  <c r="Q3359" i="1" l="1"/>
  <c r="Q3360" i="1" l="1"/>
  <c r="Q3361" i="1" l="1"/>
  <c r="Q3362" i="1" l="1"/>
  <c r="Q3363" i="1" l="1"/>
  <c r="Q3364" i="1" l="1"/>
  <c r="Q3365" i="1" l="1"/>
  <c r="Q3366" i="1" l="1"/>
  <c r="Q3367" i="1" l="1"/>
  <c r="Q3368" i="1" l="1"/>
  <c r="Q3369" i="1" l="1"/>
  <c r="Q3370" i="1" l="1"/>
  <c r="Q3371" i="1" l="1"/>
  <c r="Q3372" i="1" l="1"/>
  <c r="Q3373" i="1" l="1"/>
  <c r="Q3374" i="1" l="1"/>
  <c r="Q3375" i="1" l="1"/>
  <c r="Q3376" i="1" l="1"/>
  <c r="Q3377" i="1" l="1"/>
  <c r="Q3378" i="1" l="1"/>
  <c r="Q3379" i="1"/>
  <c r="Q3380" i="1" l="1"/>
  <c r="Q3381" i="1" l="1"/>
  <c r="Q3382" i="1" l="1"/>
  <c r="Q3383" i="1" l="1"/>
  <c r="Q3384" i="1"/>
  <c r="Q3385" i="1" l="1"/>
  <c r="Q3386" i="1" l="1"/>
  <c r="Q3387" i="1" l="1"/>
  <c r="Q3388" i="1" l="1"/>
  <c r="Q3389" i="1"/>
  <c r="Q3390" i="1" l="1"/>
  <c r="Q3391" i="1" l="1"/>
  <c r="Q3392" i="1" l="1"/>
  <c r="Q3393" i="1" l="1"/>
  <c r="Q3394" i="1" l="1"/>
  <c r="Q3395" i="1" l="1"/>
  <c r="Q3396" i="1"/>
  <c r="Q3397" i="1" l="1"/>
  <c r="Q3398" i="1" l="1"/>
  <c r="Q3399" i="1" l="1"/>
  <c r="Q3400" i="1" l="1"/>
  <c r="Q3401" i="1"/>
  <c r="Q3402" i="1" l="1"/>
  <c r="Q3403" i="1" l="1"/>
  <c r="Q3404" i="1" l="1"/>
  <c r="Q3405" i="1" l="1"/>
  <c r="Q3406" i="1" l="1"/>
  <c r="Q3407" i="1" l="1"/>
  <c r="Q3408" i="1" l="1"/>
  <c r="Q3409" i="1" l="1"/>
  <c r="Q3410" i="1" l="1"/>
  <c r="Q3411" i="1" l="1"/>
  <c r="Q3412" i="1"/>
  <c r="Q3413" i="1" l="1"/>
  <c r="Q3414" i="1"/>
  <c r="Q3415" i="1" l="1"/>
  <c r="Q3416" i="1" l="1"/>
  <c r="Q3417" i="1" l="1"/>
  <c r="Q3418" i="1"/>
  <c r="Q3419" i="1" l="1"/>
  <c r="Q3420" i="1"/>
  <c r="Q3421" i="1" l="1"/>
  <c r="Q3422" i="1" l="1"/>
  <c r="Q3423" i="1" l="1"/>
  <c r="Q3424" i="1" l="1"/>
  <c r="Q3425" i="1" l="1"/>
  <c r="Q3426" i="1"/>
  <c r="Q3427" i="1" l="1"/>
  <c r="Q3428" i="1" l="1"/>
  <c r="Q3430" i="1" l="1"/>
  <c r="Q3429" i="1"/>
  <c r="Q3431" i="1" l="1"/>
  <c r="Q3432" i="1" l="1"/>
  <c r="C3441" i="1" l="1"/>
  <c r="C3442" i="1" l="1"/>
  <c r="B3441" i="1"/>
  <c r="A3441" i="1"/>
  <c r="B3442" i="1" l="1"/>
  <c r="A3442" i="1"/>
  <c r="C3443" i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l="1"/>
  <c r="A3443" i="1"/>
  <c r="B3443" i="1"/>
  <c r="B3444" i="1" s="1"/>
  <c r="B3445" i="1" s="1"/>
  <c r="B3446" i="1" s="1"/>
  <c r="B3447" i="1" s="1"/>
  <c r="B3448" i="1" s="1"/>
  <c r="B3449" i="1" s="1"/>
  <c r="B3450" i="1" s="1"/>
  <c r="B3451" i="1" s="1"/>
  <c r="B3452" i="1" s="1"/>
  <c r="A3444" i="1" l="1"/>
  <c r="B3454" i="1"/>
  <c r="C3454" i="1"/>
  <c r="B3453" i="1"/>
  <c r="C3455" i="1" l="1"/>
  <c r="A3445" i="1"/>
  <c r="C3456" i="1" l="1"/>
  <c r="A3446" i="1"/>
  <c r="B3455" i="1"/>
  <c r="C3457" i="1" l="1"/>
  <c r="A3447" i="1"/>
  <c r="B3456" i="1"/>
  <c r="C3458" i="1" l="1"/>
  <c r="A3448" i="1"/>
  <c r="B3457" i="1"/>
  <c r="B3458" i="1" s="1"/>
  <c r="A3449" i="1" l="1"/>
  <c r="B3459" i="1"/>
  <c r="C3459" i="1"/>
  <c r="C3460" i="1" l="1"/>
  <c r="A3450" i="1"/>
  <c r="B3461" i="1" l="1"/>
  <c r="C3461" i="1"/>
  <c r="A3451" i="1"/>
  <c r="B3460" i="1"/>
  <c r="A3452" i="1" l="1"/>
  <c r="C3462" i="1"/>
  <c r="B3462" i="1" s="1"/>
  <c r="C3463" i="1" l="1"/>
  <c r="A3453" i="1"/>
  <c r="C3464" i="1" l="1"/>
  <c r="B3463" i="1"/>
  <c r="A3454" i="1"/>
  <c r="A3455" i="1" s="1"/>
  <c r="A3456" i="1" s="1"/>
  <c r="A3457" i="1" s="1"/>
  <c r="A3458" i="1" s="1"/>
  <c r="A3459" i="1" s="1"/>
  <c r="A3460" i="1" s="1"/>
  <c r="A3461" i="1" s="1"/>
  <c r="A3462" i="1" s="1"/>
  <c r="A3463" i="1" s="1"/>
  <c r="C3465" i="1" l="1"/>
  <c r="B3464" i="1"/>
  <c r="A3464" i="1"/>
  <c r="C3466" i="1" l="1"/>
  <c r="B3465" i="1"/>
  <c r="A3465" i="1"/>
  <c r="C3467" i="1" l="1"/>
  <c r="B3466" i="1"/>
  <c r="A3466" i="1"/>
  <c r="C3468" i="1" l="1"/>
  <c r="B3467" i="1"/>
  <c r="A3467" i="1"/>
  <c r="C3469" i="1" l="1"/>
  <c r="B3468" i="1"/>
  <c r="A3468" i="1"/>
  <c r="C3470" i="1" l="1"/>
  <c r="B3469" i="1"/>
  <c r="A3469" i="1"/>
  <c r="C3471" i="1" l="1"/>
  <c r="B3470" i="1"/>
  <c r="A3470" i="1"/>
  <c r="C3472" i="1" l="1"/>
  <c r="B3471" i="1"/>
  <c r="A3471" i="1"/>
  <c r="C3473" i="1" l="1"/>
  <c r="B3472" i="1"/>
  <c r="A3472" i="1"/>
  <c r="C3474" i="1" l="1"/>
  <c r="B3473" i="1"/>
  <c r="A3473" i="1"/>
  <c r="C3475" i="1" l="1"/>
  <c r="B3474" i="1"/>
  <c r="A3474" i="1"/>
  <c r="C3476" i="1" l="1"/>
  <c r="B3475" i="1"/>
  <c r="A3475" i="1"/>
  <c r="C3477" i="1" l="1"/>
  <c r="B3476" i="1"/>
  <c r="A3476" i="1"/>
  <c r="C3478" i="1" l="1"/>
  <c r="B3477" i="1"/>
  <c r="A3477" i="1"/>
  <c r="C3479" i="1" l="1"/>
  <c r="B3478" i="1"/>
  <c r="A3478" i="1"/>
  <c r="C3480" i="1" l="1"/>
  <c r="B3479" i="1"/>
  <c r="A3479" i="1"/>
  <c r="C3481" i="1" l="1"/>
  <c r="B3480" i="1"/>
  <c r="A3480" i="1"/>
  <c r="C3482" i="1" l="1"/>
  <c r="B3481" i="1"/>
  <c r="A3481" i="1"/>
  <c r="C3483" i="1" l="1"/>
  <c r="B3482" i="1"/>
  <c r="A3482" i="1"/>
  <c r="C3484" i="1" l="1"/>
  <c r="B3483" i="1"/>
  <c r="A3483" i="1"/>
  <c r="C3485" i="1" l="1"/>
  <c r="B3484" i="1"/>
  <c r="A3484" i="1"/>
  <c r="C3486" i="1" l="1"/>
  <c r="B3485" i="1"/>
  <c r="A3485" i="1"/>
  <c r="C3487" i="1" l="1"/>
  <c r="B3486" i="1"/>
  <c r="A3486" i="1"/>
  <c r="C3488" i="1" l="1"/>
  <c r="B3487" i="1"/>
  <c r="A3487" i="1"/>
  <c r="C3489" i="1" l="1"/>
  <c r="B3488" i="1"/>
  <c r="A3488" i="1"/>
  <c r="C3490" i="1" l="1"/>
  <c r="B3489" i="1"/>
  <c r="A3489" i="1"/>
  <c r="C3491" i="1" l="1"/>
  <c r="B3490" i="1"/>
  <c r="A3490" i="1"/>
  <c r="C3492" i="1" l="1"/>
  <c r="B3491" i="1"/>
  <c r="A3491" i="1"/>
  <c r="C3493" i="1" l="1"/>
  <c r="B3492" i="1"/>
  <c r="A3492" i="1"/>
  <c r="C3494" i="1" l="1"/>
  <c r="B3493" i="1"/>
  <c r="A3493" i="1"/>
  <c r="C3495" i="1" l="1"/>
  <c r="A3495" i="1" s="1"/>
  <c r="B3494" i="1"/>
  <c r="A3494" i="1"/>
  <c r="B3495" i="1" l="1"/>
</calcChain>
</file>

<file path=xl/sharedStrings.xml><?xml version="1.0" encoding="utf-8"?>
<sst xmlns="http://schemas.openxmlformats.org/spreadsheetml/2006/main" count="51998" uniqueCount="6279">
  <si>
    <t>Év</t>
  </si>
  <si>
    <t>Hét</t>
  </si>
  <si>
    <t>5 találat (db)</t>
  </si>
  <si>
    <t>5 találat (Ft)</t>
  </si>
  <si>
    <t>4 találat (db)</t>
  </si>
  <si>
    <t>4 találat (Ft)</t>
  </si>
  <si>
    <t>3 találat (db)</t>
  </si>
  <si>
    <t>3 találat (Ft)</t>
  </si>
  <si>
    <t>2 találat (db)</t>
  </si>
  <si>
    <t>2 találat (Ft)</t>
  </si>
  <si>
    <t>40</t>
  </si>
  <si>
    <t>0</t>
  </si>
  <si>
    <t>0 Ft</t>
  </si>
  <si>
    <t>41</t>
  </si>
  <si>
    <t>1 082 595 Ft</t>
  </si>
  <si>
    <t>2590</t>
  </si>
  <si>
    <t>18 455 Ft</t>
  </si>
  <si>
    <t>64860</t>
  </si>
  <si>
    <t>1 920 Ft</t>
  </si>
  <si>
    <t>18</t>
  </si>
  <si>
    <t>33</t>
  </si>
  <si>
    <t>36</t>
  </si>
  <si>
    <t>48</t>
  </si>
  <si>
    <t>60</t>
  </si>
  <si>
    <t>39</t>
  </si>
  <si>
    <t>34</t>
  </si>
  <si>
    <t>1 333 000 Ft</t>
  </si>
  <si>
    <t>3015</t>
  </si>
  <si>
    <t>16 190 Ft</t>
  </si>
  <si>
    <t>80062</t>
  </si>
  <si>
    <t>1 590 Ft</t>
  </si>
  <si>
    <t>12</t>
  </si>
  <si>
    <t>22</t>
  </si>
  <si>
    <t>24</t>
  </si>
  <si>
    <t>49</t>
  </si>
  <si>
    <t>65</t>
  </si>
  <si>
    <t>38</t>
  </si>
  <si>
    <t>1 073 580 Ft</t>
  </si>
  <si>
    <t>3109</t>
  </si>
  <si>
    <t>15 245 Ft</t>
  </si>
  <si>
    <t>83372</t>
  </si>
  <si>
    <t>1 480 Ft</t>
  </si>
  <si>
    <t>3</t>
  </si>
  <si>
    <t>16</t>
  </si>
  <si>
    <t>21</t>
  </si>
  <si>
    <t>43</t>
  </si>
  <si>
    <t>37</t>
  </si>
  <si>
    <t>69</t>
  </si>
  <si>
    <t>649 190 Ft</t>
  </si>
  <si>
    <t>4583</t>
  </si>
  <si>
    <t>10 525 Ft</t>
  </si>
  <si>
    <t>102197</t>
  </si>
  <si>
    <t>1 230 Ft</t>
  </si>
  <si>
    <t>7</t>
  </si>
  <si>
    <t>15</t>
  </si>
  <si>
    <t>19</t>
  </si>
  <si>
    <t>71</t>
  </si>
  <si>
    <t>1 247 560 Ft</t>
  </si>
  <si>
    <t>2667</t>
  </si>
  <si>
    <t>17 130 Ft</t>
  </si>
  <si>
    <t>76998</t>
  </si>
  <si>
    <t>1 545 Ft</t>
  </si>
  <si>
    <t>10</t>
  </si>
  <si>
    <t>78</t>
  </si>
  <si>
    <t>35</t>
  </si>
  <si>
    <t>13</t>
  </si>
  <si>
    <t>3 157 465 Ft</t>
  </si>
  <si>
    <t>1471</t>
  </si>
  <si>
    <t>30 050 Ft</t>
  </si>
  <si>
    <t>48480</t>
  </si>
  <si>
    <t>2 375 Ft</t>
  </si>
  <si>
    <t>31</t>
  </si>
  <si>
    <t>67</t>
  </si>
  <si>
    <t>76</t>
  </si>
  <si>
    <t>26</t>
  </si>
  <si>
    <t>1 567 930 Ft</t>
  </si>
  <si>
    <t>2857</t>
  </si>
  <si>
    <t>15 365 Ft</t>
  </si>
  <si>
    <t>77776</t>
  </si>
  <si>
    <t>1 470 Ft</t>
  </si>
  <si>
    <t>32</t>
  </si>
  <si>
    <t>47</t>
  </si>
  <si>
    <t>59</t>
  </si>
  <si>
    <t>11</t>
  </si>
  <si>
    <t>3 576 780 Ft</t>
  </si>
  <si>
    <t>2127</t>
  </si>
  <si>
    <t>19 920 Ft</t>
  </si>
  <si>
    <t>61168</t>
  </si>
  <si>
    <t>1 805 Ft</t>
  </si>
  <si>
    <t>5</t>
  </si>
  <si>
    <t>17</t>
  </si>
  <si>
    <t>61</t>
  </si>
  <si>
    <t>68</t>
  </si>
  <si>
    <t>1 629 715 Ft</t>
  </si>
  <si>
    <t>1982</t>
  </si>
  <si>
    <t>23 090 Ft</t>
  </si>
  <si>
    <t>59501</t>
  </si>
  <si>
    <t>1 995 Ft</t>
  </si>
  <si>
    <t>42</t>
  </si>
  <si>
    <t>52</t>
  </si>
  <si>
    <t>2 263 450 Ft</t>
  </si>
  <si>
    <t>1724</t>
  </si>
  <si>
    <t>25 600 Ft</t>
  </si>
  <si>
    <t>54864</t>
  </si>
  <si>
    <t>2 105 Ft</t>
  </si>
  <si>
    <t>50</t>
  </si>
  <si>
    <t>75</t>
  </si>
  <si>
    <t>30</t>
  </si>
  <si>
    <t>1</t>
  </si>
  <si>
    <t>514 271 730 Ft</t>
  </si>
  <si>
    <t>2 738 595 Ft</t>
  </si>
  <si>
    <t>2931</t>
  </si>
  <si>
    <t>15 235 Ft</t>
  </si>
  <si>
    <t>81453</t>
  </si>
  <si>
    <t>1 425 Ft</t>
  </si>
  <si>
    <t>20</t>
  </si>
  <si>
    <t>29</t>
  </si>
  <si>
    <t>3 685 975 Ft</t>
  </si>
  <si>
    <t>1584</t>
  </si>
  <si>
    <t>27 925 Ft</t>
  </si>
  <si>
    <t>49981</t>
  </si>
  <si>
    <t>2 285 Ft</t>
  </si>
  <si>
    <t>51</t>
  </si>
  <si>
    <t>54</t>
  </si>
  <si>
    <t>62</t>
  </si>
  <si>
    <t>83</t>
  </si>
  <si>
    <t>28</t>
  </si>
  <si>
    <t>14</t>
  </si>
  <si>
    <t>2 958 305 Ft</t>
  </si>
  <si>
    <t>1416</t>
  </si>
  <si>
    <t>32 035 Ft</t>
  </si>
  <si>
    <t>50268</t>
  </si>
  <si>
    <t>2 355 Ft</t>
  </si>
  <si>
    <t>45</t>
  </si>
  <si>
    <t>56</t>
  </si>
  <si>
    <t>27</t>
  </si>
  <si>
    <t>186 831 310 Ft</t>
  </si>
  <si>
    <t>1 238 465 Ft</t>
  </si>
  <si>
    <t>2589</t>
  </si>
  <si>
    <t>17 290 Ft</t>
  </si>
  <si>
    <t>65633</t>
  </si>
  <si>
    <t>1 780 Ft</t>
  </si>
  <si>
    <t>44</t>
  </si>
  <si>
    <t>77</t>
  </si>
  <si>
    <t>356 118 440 Ft</t>
  </si>
  <si>
    <t>1 935 180 Ft</t>
  </si>
  <si>
    <t>1804</t>
  </si>
  <si>
    <t>23 550 Ft</t>
  </si>
  <si>
    <t>55646</t>
  </si>
  <si>
    <t>2 025 Ft</t>
  </si>
  <si>
    <t>57</t>
  </si>
  <si>
    <t>79</t>
  </si>
  <si>
    <t>25</t>
  </si>
  <si>
    <t>1 140 500 Ft</t>
  </si>
  <si>
    <t>2940</t>
  </si>
  <si>
    <t>14 870 Ft</t>
  </si>
  <si>
    <t>73721</t>
  </si>
  <si>
    <t>1 785 282 580 Ft</t>
  </si>
  <si>
    <t>1 493 620 Ft</t>
  </si>
  <si>
    <t>2705</t>
  </si>
  <si>
    <t>18 435 Ft</t>
  </si>
  <si>
    <t>78859</t>
  </si>
  <si>
    <t>1 650 Ft</t>
  </si>
  <si>
    <t>23</t>
  </si>
  <si>
    <t>1 080 255 Ft</t>
  </si>
  <si>
    <t>3318</t>
  </si>
  <si>
    <t>14 540 Ft</t>
  </si>
  <si>
    <t>83154</t>
  </si>
  <si>
    <t>4</t>
  </si>
  <si>
    <t>58</t>
  </si>
  <si>
    <t>1 784 615 Ft</t>
  </si>
  <si>
    <t>2315</t>
  </si>
  <si>
    <t>20 815 Ft</t>
  </si>
  <si>
    <t>65713</t>
  </si>
  <si>
    <t>1 900 Ft</t>
  </si>
  <si>
    <t>55</t>
  </si>
  <si>
    <t>1 098 955 Ft</t>
  </si>
  <si>
    <t>2216</t>
  </si>
  <si>
    <t>21 145 Ft</t>
  </si>
  <si>
    <t>61303</t>
  </si>
  <si>
    <t>2 030 Ft</t>
  </si>
  <si>
    <t>1 643 980 Ft</t>
  </si>
  <si>
    <t>2753</t>
  </si>
  <si>
    <t>17 465 Ft</t>
  </si>
  <si>
    <t>73943</t>
  </si>
  <si>
    <t>1 700 Ft</t>
  </si>
  <si>
    <t>90</t>
  </si>
  <si>
    <t>2 095 705 Ft</t>
  </si>
  <si>
    <t>2732</t>
  </si>
  <si>
    <t>19 175 Ft</t>
  </si>
  <si>
    <t>80020</t>
  </si>
  <si>
    <t>1 730 Ft</t>
  </si>
  <si>
    <t>46</t>
  </si>
  <si>
    <t>1 772 810 Ft</t>
  </si>
  <si>
    <t>2269</t>
  </si>
  <si>
    <t>21 230 Ft</t>
  </si>
  <si>
    <t>67724</t>
  </si>
  <si>
    <t>1 850 Ft</t>
  </si>
  <si>
    <t>9</t>
  </si>
  <si>
    <t>53</t>
  </si>
  <si>
    <t>70</t>
  </si>
  <si>
    <t>72</t>
  </si>
  <si>
    <t>3 373 820 Ft</t>
  </si>
  <si>
    <t>1596</t>
  </si>
  <si>
    <t>28 675 Ft</t>
  </si>
  <si>
    <t>49957</t>
  </si>
  <si>
    <t>2 405 Ft</t>
  </si>
  <si>
    <t>2</t>
  </si>
  <si>
    <t>88</t>
  </si>
  <si>
    <t>2 516 815 Ft</t>
  </si>
  <si>
    <t>1495</t>
  </si>
  <si>
    <t>31 220 Ft</t>
  </si>
  <si>
    <t>48975</t>
  </si>
  <si>
    <t>2 460 Ft</t>
  </si>
  <si>
    <t>64</t>
  </si>
  <si>
    <t>81</t>
  </si>
  <si>
    <t>3 424 730 Ft</t>
  </si>
  <si>
    <t>1906</t>
  </si>
  <si>
    <t>24 420 Ft</t>
  </si>
  <si>
    <t>64144</t>
  </si>
  <si>
    <t>1 925 Ft</t>
  </si>
  <si>
    <t>2 299 065 Ft</t>
  </si>
  <si>
    <t>1784</t>
  </si>
  <si>
    <t>26 820 Ft</t>
  </si>
  <si>
    <t>55723</t>
  </si>
  <si>
    <t>2 240 Ft</t>
  </si>
  <si>
    <t>283 944 725 Ft</t>
  </si>
  <si>
    <t>779 995 Ft</t>
  </si>
  <si>
    <t>4131</t>
  </si>
  <si>
    <t>11 740 Ft</t>
  </si>
  <si>
    <t>88847</t>
  </si>
  <si>
    <t>1 410 Ft</t>
  </si>
  <si>
    <t>8</t>
  </si>
  <si>
    <t>66</t>
  </si>
  <si>
    <t>2 435 275 Ft</t>
  </si>
  <si>
    <t>2601</t>
  </si>
  <si>
    <t>17 620 Ft</t>
  </si>
  <si>
    <t>71866</t>
  </si>
  <si>
    <t>1 690 Ft</t>
  </si>
  <si>
    <t>73</t>
  </si>
  <si>
    <t>2 365 805 Ft</t>
  </si>
  <si>
    <t>1556</t>
  </si>
  <si>
    <t>29 975 Ft</t>
  </si>
  <si>
    <t>53086</t>
  </si>
  <si>
    <t>2 290 Ft</t>
  </si>
  <si>
    <t>74</t>
  </si>
  <si>
    <t>84</t>
  </si>
  <si>
    <t>1 596 759 860 Ft</t>
  </si>
  <si>
    <t>63</t>
  </si>
  <si>
    <t>805 770 Ft</t>
  </si>
  <si>
    <t>3942</t>
  </si>
  <si>
    <t>13 995 Ft</t>
  </si>
  <si>
    <t>89864</t>
  </si>
  <si>
    <t>1 595 Ft</t>
  </si>
  <si>
    <t>1 200 050 Ft</t>
  </si>
  <si>
    <t>3151</t>
  </si>
  <si>
    <t>16 690 Ft</t>
  </si>
  <si>
    <t>78001</t>
  </si>
  <si>
    <t>1 770 Ft</t>
  </si>
  <si>
    <t>1 062 715 Ft</t>
  </si>
  <si>
    <t>3637</t>
  </si>
  <si>
    <t>14 025 Ft</t>
  </si>
  <si>
    <t>88347</t>
  </si>
  <si>
    <t>1 490 Ft</t>
  </si>
  <si>
    <t>3 920 170 Ft</t>
  </si>
  <si>
    <t>1936</t>
  </si>
  <si>
    <t>26 510 Ft</t>
  </si>
  <si>
    <t>58262</t>
  </si>
  <si>
    <t>2 275 Ft</t>
  </si>
  <si>
    <t>87</t>
  </si>
  <si>
    <t>6</t>
  </si>
  <si>
    <t>3 799 845 Ft</t>
  </si>
  <si>
    <t>1802</t>
  </si>
  <si>
    <t>28 660 Ft</t>
  </si>
  <si>
    <t>57291</t>
  </si>
  <si>
    <t>2 390 Ft</t>
  </si>
  <si>
    <t>5 228 580 Ft</t>
  </si>
  <si>
    <t>1599</t>
  </si>
  <si>
    <t>30 765 Ft</t>
  </si>
  <si>
    <t>57961</t>
  </si>
  <si>
    <t>2 250 Ft</t>
  </si>
  <si>
    <t>1 263 355 Ft</t>
  </si>
  <si>
    <t>2447</t>
  </si>
  <si>
    <t>19 790 Ft</t>
  </si>
  <si>
    <t>73537</t>
  </si>
  <si>
    <t>1 720 Ft</t>
  </si>
  <si>
    <t>1 831 955 Ft</t>
  </si>
  <si>
    <t>2934</t>
  </si>
  <si>
    <t>16 410 Ft</t>
  </si>
  <si>
    <t>74717</t>
  </si>
  <si>
    <t>3 348 134 835 Ft</t>
  </si>
  <si>
    <t>1 410 950 Ft</t>
  </si>
  <si>
    <t>3451</t>
  </si>
  <si>
    <t>18 935 Ft</t>
  </si>
  <si>
    <t>92100</t>
  </si>
  <si>
    <t>1 985 Ft</t>
  </si>
  <si>
    <t>1 634 645 Ft</t>
  </si>
  <si>
    <t>3297</t>
  </si>
  <si>
    <t>18 155 Ft</t>
  </si>
  <si>
    <t>93355</t>
  </si>
  <si>
    <t>1 670 Ft</t>
  </si>
  <si>
    <t>80</t>
  </si>
  <si>
    <t>2021</t>
  </si>
  <si>
    <t>1 260 675 Ft</t>
  </si>
  <si>
    <t>3192</t>
  </si>
  <si>
    <t>19 140 Ft</t>
  </si>
  <si>
    <t>87869</t>
  </si>
  <si>
    <t>1 815 Ft</t>
  </si>
  <si>
    <t>86</t>
  </si>
  <si>
    <t>2 054 765 Ft</t>
  </si>
  <si>
    <t>2962</t>
  </si>
  <si>
    <t>18 675 Ft</t>
  </si>
  <si>
    <t>83227</t>
  </si>
  <si>
    <t>1 735 Ft</t>
  </si>
  <si>
    <t>1 409 155 Ft</t>
  </si>
  <si>
    <t>2913</t>
  </si>
  <si>
    <t>19 275 Ft</t>
  </si>
  <si>
    <t>87549</t>
  </si>
  <si>
    <t>97</t>
  </si>
  <si>
    <t>521 470 Ft</t>
  </si>
  <si>
    <t>4955</t>
  </si>
  <si>
    <t>10 995 Ft</t>
  </si>
  <si>
    <t>105652</t>
  </si>
  <si>
    <t>1 345 Ft</t>
  </si>
  <si>
    <t>1 290 910 Ft</t>
  </si>
  <si>
    <t>3378</t>
  </si>
  <si>
    <t>16 050 Ft</t>
  </si>
  <si>
    <t>87660</t>
  </si>
  <si>
    <t>1 615 Ft</t>
  </si>
  <si>
    <t>2 581 140 Ft</t>
  </si>
  <si>
    <t>2458</t>
  </si>
  <si>
    <t>21 485 Ft</t>
  </si>
  <si>
    <t>74915</t>
  </si>
  <si>
    <t>1 840 Ft</t>
  </si>
  <si>
    <t>1 535 220 Ft</t>
  </si>
  <si>
    <t>3371</t>
  </si>
  <si>
    <t>15 695 Ft</t>
  </si>
  <si>
    <t>96304</t>
  </si>
  <si>
    <t>1 430 Ft</t>
  </si>
  <si>
    <t>1 856 995 Ft</t>
  </si>
  <si>
    <t>2486</t>
  </si>
  <si>
    <t>21 720 Ft</t>
  </si>
  <si>
    <t>69349</t>
  </si>
  <si>
    <t>1 800 290 Ft</t>
  </si>
  <si>
    <t>2444</t>
  </si>
  <si>
    <t>20 625 Ft</t>
  </si>
  <si>
    <t>69202</t>
  </si>
  <si>
    <t>1 580 455 Ft</t>
  </si>
  <si>
    <t>2733</t>
  </si>
  <si>
    <t>18 060 Ft</t>
  </si>
  <si>
    <t>77120</t>
  </si>
  <si>
    <t>1 831 265 Ft</t>
  </si>
  <si>
    <t>2498</t>
  </si>
  <si>
    <t>18 950 Ft</t>
  </si>
  <si>
    <t>72038</t>
  </si>
  <si>
    <t>1 715 Ft</t>
  </si>
  <si>
    <t>1 185 985 Ft</t>
  </si>
  <si>
    <t>2510</t>
  </si>
  <si>
    <t>20 355 Ft</t>
  </si>
  <si>
    <t>67519</t>
  </si>
  <si>
    <t>1 975 Ft</t>
  </si>
  <si>
    <t>2 110 360 Ft</t>
  </si>
  <si>
    <t>2384</t>
  </si>
  <si>
    <t>20 975 Ft</t>
  </si>
  <si>
    <t>67918</t>
  </si>
  <si>
    <t>2 020 510 Ft</t>
  </si>
  <si>
    <t>2238</t>
  </si>
  <si>
    <t>21 390 Ft</t>
  </si>
  <si>
    <t>63089</t>
  </si>
  <si>
    <t>1 980 Ft</t>
  </si>
  <si>
    <t>2 112 295 Ft</t>
  </si>
  <si>
    <t>1926</t>
  </si>
  <si>
    <t>24 805 Ft</t>
  </si>
  <si>
    <t>63107</t>
  </si>
  <si>
    <t>2 323 710 Ft</t>
  </si>
  <si>
    <t>1782</t>
  </si>
  <si>
    <t>26 680 Ft</t>
  </si>
  <si>
    <t>53759</t>
  </si>
  <si>
    <t>2 305 Ft</t>
  </si>
  <si>
    <t>89</t>
  </si>
  <si>
    <t>1 640 285 Ft</t>
  </si>
  <si>
    <t>2199</t>
  </si>
  <si>
    <t>22 555 Ft</t>
  </si>
  <si>
    <t>61584</t>
  </si>
  <si>
    <t>2 090 Ft</t>
  </si>
  <si>
    <t>882 520 Ft</t>
  </si>
  <si>
    <t>2621</t>
  </si>
  <si>
    <t>18 240 Ft</t>
  </si>
  <si>
    <t>62939</t>
  </si>
  <si>
    <t>1 489 680 Ft</t>
  </si>
  <si>
    <t>3511</t>
  </si>
  <si>
    <t>13 375 Ft</t>
  </si>
  <si>
    <t>91974</t>
  </si>
  <si>
    <t>1 325 Ft</t>
  </si>
  <si>
    <t>1 682 040 Ft</t>
  </si>
  <si>
    <t>2160</t>
  </si>
  <si>
    <t>21 240 Ft</t>
  </si>
  <si>
    <t>60959</t>
  </si>
  <si>
    <t>1 945 Ft</t>
  </si>
  <si>
    <t>1 592 355 Ft</t>
  </si>
  <si>
    <t>2420</t>
  </si>
  <si>
    <t>21 620 Ft</t>
  </si>
  <si>
    <t>71264</t>
  </si>
  <si>
    <t>1 915 Ft</t>
  </si>
  <si>
    <t>1 345 712 340 Ft</t>
  </si>
  <si>
    <t>914 585 Ft</t>
  </si>
  <si>
    <t>2968</t>
  </si>
  <si>
    <t>16 925 Ft</t>
  </si>
  <si>
    <t>74852</t>
  </si>
  <si>
    <t>1 750 Ft</t>
  </si>
  <si>
    <t>1 207 775 Ft</t>
  </si>
  <si>
    <t>1990</t>
  </si>
  <si>
    <t>24 185 Ft</t>
  </si>
  <si>
    <t>57972</t>
  </si>
  <si>
    <t>2 165 Ft</t>
  </si>
  <si>
    <t>2 365 230 Ft</t>
  </si>
  <si>
    <t>2661</t>
  </si>
  <si>
    <t>18 185 Ft</t>
  </si>
  <si>
    <t>63191</t>
  </si>
  <si>
    <t>2 645 375 Ft</t>
  </si>
  <si>
    <t>2070</t>
  </si>
  <si>
    <t>23 395 Ft</t>
  </si>
  <si>
    <t>60140</t>
  </si>
  <si>
    <t>2 100 Ft</t>
  </si>
  <si>
    <t>2 277 760 Ft</t>
  </si>
  <si>
    <t>2623</t>
  </si>
  <si>
    <t>18 755 Ft</t>
  </si>
  <si>
    <t>74513</t>
  </si>
  <si>
    <t>1 710 Ft</t>
  </si>
  <si>
    <t>2 109 125 Ft</t>
  </si>
  <si>
    <t>2197</t>
  </si>
  <si>
    <t>21 840 Ft</t>
  </si>
  <si>
    <t>62746</t>
  </si>
  <si>
    <t>2 000 Ft</t>
  </si>
  <si>
    <t>764 470 Ft</t>
  </si>
  <si>
    <t>3240</t>
  </si>
  <si>
    <t>14 360 Ft</t>
  </si>
  <si>
    <t>77085</t>
  </si>
  <si>
    <t>1 570 Ft</t>
  </si>
  <si>
    <t>3 905 760 Ft</t>
  </si>
  <si>
    <t>1623</t>
  </si>
  <si>
    <t>28 880 Ft</t>
  </si>
  <si>
    <t>46904</t>
  </si>
  <si>
    <t>2 580 Ft</t>
  </si>
  <si>
    <t>1 839 125 Ft</t>
  </si>
  <si>
    <t>2670</t>
  </si>
  <si>
    <t>18 105 Ft</t>
  </si>
  <si>
    <t>78542</t>
  </si>
  <si>
    <t>1 605 Ft</t>
  </si>
  <si>
    <t>1 408 698 525 Ft</t>
  </si>
  <si>
    <t>1 331 995 Ft</t>
  </si>
  <si>
    <t>3010</t>
  </si>
  <si>
    <t>17 155 Ft</t>
  </si>
  <si>
    <t>75637</t>
  </si>
  <si>
    <t>3 107 445 Ft</t>
  </si>
  <si>
    <t>1850</t>
  </si>
  <si>
    <t>27 135 Ft</t>
  </si>
  <si>
    <t>59698</t>
  </si>
  <si>
    <t>2 190 Ft</t>
  </si>
  <si>
    <t>1 376 405 Ft</t>
  </si>
  <si>
    <t>3041</t>
  </si>
  <si>
    <t>17 060 Ft</t>
  </si>
  <si>
    <t>78740</t>
  </si>
  <si>
    <t>1 432 775 Ft</t>
  </si>
  <si>
    <t>2122</t>
  </si>
  <si>
    <t>24 725 Ft</t>
  </si>
  <si>
    <t>67639</t>
  </si>
  <si>
    <t>2 020 Ft</t>
  </si>
  <si>
    <t>85</t>
  </si>
  <si>
    <t>1 636 490 Ft</t>
  </si>
  <si>
    <t>2479</t>
  </si>
  <si>
    <t>20 675 Ft</t>
  </si>
  <si>
    <t>74104</t>
  </si>
  <si>
    <t>1 795 Ft</t>
  </si>
  <si>
    <t>1 607 075 Ft</t>
  </si>
  <si>
    <t>2055</t>
  </si>
  <si>
    <t>22 875 Ft</t>
  </si>
  <si>
    <t>56021</t>
  </si>
  <si>
    <t>2 195 Ft</t>
  </si>
  <si>
    <t>1 533 190 Ft</t>
  </si>
  <si>
    <t>2360</t>
  </si>
  <si>
    <t>21 185 Ft</t>
  </si>
  <si>
    <t>72388</t>
  </si>
  <si>
    <t>2 482 440 Ft</t>
  </si>
  <si>
    <t>1467</t>
  </si>
  <si>
    <t>35 075 Ft</t>
  </si>
  <si>
    <t>52450</t>
  </si>
  <si>
    <t>2 535 Ft</t>
  </si>
  <si>
    <t>1 855 850 Ft</t>
  </si>
  <si>
    <t>2740</t>
  </si>
  <si>
    <t>17 805 Ft</t>
  </si>
  <si>
    <t>75361</t>
  </si>
  <si>
    <t>2 885 939 200 Ft</t>
  </si>
  <si>
    <t>1 399 525 Ft</t>
  </si>
  <si>
    <t>2821</t>
  </si>
  <si>
    <t>20 120 Ft</t>
  </si>
  <si>
    <t>75715</t>
  </si>
  <si>
    <t>1 990 Ft</t>
  </si>
  <si>
    <t>2 279 230 Ft</t>
  </si>
  <si>
    <t>2369</t>
  </si>
  <si>
    <t>23 970 Ft</t>
  </si>
  <si>
    <t>66142</t>
  </si>
  <si>
    <t>2 245 Ft</t>
  </si>
  <si>
    <t>2 507 875 Ft</t>
  </si>
  <si>
    <t>2466</t>
  </si>
  <si>
    <t>23 135 Ft</t>
  </si>
  <si>
    <t>68735</t>
  </si>
  <si>
    <t>2 170 Ft</t>
  </si>
  <si>
    <t>2 791 380 Ft</t>
  </si>
  <si>
    <t>1927</t>
  </si>
  <si>
    <t>30 180 Ft</t>
  </si>
  <si>
    <t>63381</t>
  </si>
  <si>
    <t>2 420 Ft</t>
  </si>
  <si>
    <t>1 167 605 Ft</t>
  </si>
  <si>
    <t>4338</t>
  </si>
  <si>
    <t>13 180 Ft</t>
  </si>
  <si>
    <t>101873</t>
  </si>
  <si>
    <t>1 480 765 Ft</t>
  </si>
  <si>
    <t>2785</t>
  </si>
  <si>
    <t>20 225 Ft</t>
  </si>
  <si>
    <t>73185</t>
  </si>
  <si>
    <t>2 012 470 Ft</t>
  </si>
  <si>
    <t>2767</t>
  </si>
  <si>
    <t>20 555 Ft</t>
  </si>
  <si>
    <t>83041</t>
  </si>
  <si>
    <t>2 703 085 Ft</t>
  </si>
  <si>
    <t>2243</t>
  </si>
  <si>
    <t>25 150 Ft</t>
  </si>
  <si>
    <t>70257</t>
  </si>
  <si>
    <t>2 110 Ft</t>
  </si>
  <si>
    <t>1 492 130 Ft</t>
  </si>
  <si>
    <t>3067</t>
  </si>
  <si>
    <t>17 770 Ft</t>
  </si>
  <si>
    <t>81475</t>
  </si>
  <si>
    <t>1 755 Ft</t>
  </si>
  <si>
    <t>102</t>
  </si>
  <si>
    <t>480 610 Ft</t>
  </si>
  <si>
    <t>6494</t>
  </si>
  <si>
    <t>8 235 Ft</t>
  </si>
  <si>
    <t>127484</t>
  </si>
  <si>
    <t>1 085 Ft</t>
  </si>
  <si>
    <t>1 476 095 Ft</t>
  </si>
  <si>
    <t>2520</t>
  </si>
  <si>
    <t>21 085 Ft</t>
  </si>
  <si>
    <t>68744</t>
  </si>
  <si>
    <t>560 965 Ft</t>
  </si>
  <si>
    <t>4869</t>
  </si>
  <si>
    <t>10 840 Ft</t>
  </si>
  <si>
    <t>103389</t>
  </si>
  <si>
    <t>1 355 Ft</t>
  </si>
  <si>
    <t>1 700 045 Ft</t>
  </si>
  <si>
    <t>2365</t>
  </si>
  <si>
    <t>21 795 Ft</t>
  </si>
  <si>
    <t>75060</t>
  </si>
  <si>
    <t>1 820 Ft</t>
  </si>
  <si>
    <t>2020</t>
  </si>
  <si>
    <t>2 441 725 Ft</t>
  </si>
  <si>
    <t>2279</t>
  </si>
  <si>
    <t>23 215 Ft</t>
  </si>
  <si>
    <t>67548</t>
  </si>
  <si>
    <t>2 050 Ft</t>
  </si>
  <si>
    <t>2 067 730 Ft</t>
  </si>
  <si>
    <t>2289</t>
  </si>
  <si>
    <t>20 550 Ft</t>
  </si>
  <si>
    <t>66201</t>
  </si>
  <si>
    <t>1 860 Ft</t>
  </si>
  <si>
    <t>3 959 964 415 Ft</t>
  </si>
  <si>
    <t>934 325 Ft</t>
  </si>
  <si>
    <t>5254</t>
  </si>
  <si>
    <t>12 640 Ft</t>
  </si>
  <si>
    <t>122711</t>
  </si>
  <si>
    <t>689 895 Ft</t>
  </si>
  <si>
    <t>4893</t>
  </si>
  <si>
    <t>13 210 Ft</t>
  </si>
  <si>
    <t>106942</t>
  </si>
  <si>
    <t>1 575 Ft</t>
  </si>
  <si>
    <t>781 150 Ft</t>
  </si>
  <si>
    <t>5460</t>
  </si>
  <si>
    <t>11 400 Ft</t>
  </si>
  <si>
    <t>122280</t>
  </si>
  <si>
    <t>1 599 670 Ft</t>
  </si>
  <si>
    <t>3410</t>
  </si>
  <si>
    <t>17 680 Ft</t>
  </si>
  <si>
    <t>83740</t>
  </si>
  <si>
    <t>1 875 Ft</t>
  </si>
  <si>
    <t>1 316 115 Ft</t>
  </si>
  <si>
    <t>3492</t>
  </si>
  <si>
    <t>17 455 Ft</t>
  </si>
  <si>
    <t>90086</t>
  </si>
  <si>
    <t>1 765 Ft</t>
  </si>
  <si>
    <t>1 533 055 Ft</t>
  </si>
  <si>
    <t>3707</t>
  </si>
  <si>
    <t>18 260 Ft</t>
  </si>
  <si>
    <t>107291</t>
  </si>
  <si>
    <t>1 645 Ft</t>
  </si>
  <si>
    <t>1 125 315 Ft</t>
  </si>
  <si>
    <t>3394</t>
  </si>
  <si>
    <t>17 495 Ft</t>
  </si>
  <si>
    <t>82317</t>
  </si>
  <si>
    <t>1 880 Ft</t>
  </si>
  <si>
    <t>5 322 625 Ft</t>
  </si>
  <si>
    <t>1958</t>
  </si>
  <si>
    <t>29 275 Ft</t>
  </si>
  <si>
    <t>76797</t>
  </si>
  <si>
    <t>2 120 500 Ft</t>
  </si>
  <si>
    <t>2818</t>
  </si>
  <si>
    <t>20 260 Ft</t>
  </si>
  <si>
    <t>89709</t>
  </si>
  <si>
    <t>1 660 Ft</t>
  </si>
  <si>
    <t>1 196 240 Ft</t>
  </si>
  <si>
    <t>3312</t>
  </si>
  <si>
    <t>17 505 Ft</t>
  </si>
  <si>
    <t>84938</t>
  </si>
  <si>
    <t>889 205 Ft</t>
  </si>
  <si>
    <t>4442</t>
  </si>
  <si>
    <t>12 720 Ft</t>
  </si>
  <si>
    <t>113248</t>
  </si>
  <si>
    <t>1 315 Ft</t>
  </si>
  <si>
    <t>1 772 490 Ft</t>
  </si>
  <si>
    <t>3187</t>
  </si>
  <si>
    <t>16 800 Ft</t>
  </si>
  <si>
    <t>75378</t>
  </si>
  <si>
    <t>82</t>
  </si>
  <si>
    <t>615 445 Ft</t>
  </si>
  <si>
    <t>2765</t>
  </si>
  <si>
    <t>19 840 Ft</t>
  </si>
  <si>
    <t>76280</t>
  </si>
  <si>
    <t>1 870 Ft</t>
  </si>
  <si>
    <t>959 100 Ft</t>
  </si>
  <si>
    <t>3614</t>
  </si>
  <si>
    <t>15 290 Ft</t>
  </si>
  <si>
    <t>90478</t>
  </si>
  <si>
    <t>2 862 020 Ft</t>
  </si>
  <si>
    <t>2018</t>
  </si>
  <si>
    <t>26 640 Ft</t>
  </si>
  <si>
    <t>65183</t>
  </si>
  <si>
    <t>2 238 145 Ft</t>
  </si>
  <si>
    <t>2371</t>
  </si>
  <si>
    <t>21 670 Ft</t>
  </si>
  <si>
    <t>73035</t>
  </si>
  <si>
    <t>1 845 Ft</t>
  </si>
  <si>
    <t>2 449 835 Ft</t>
  </si>
  <si>
    <t>1998</t>
  </si>
  <si>
    <t>25 415 Ft</t>
  </si>
  <si>
    <t>59944</t>
  </si>
  <si>
    <t>2 082 060 Ft</t>
  </si>
  <si>
    <t>2225</t>
  </si>
  <si>
    <t>22 460 Ft</t>
  </si>
  <si>
    <t>64365</t>
  </si>
  <si>
    <t>2 005 Ft</t>
  </si>
  <si>
    <t>822 690 Ft</t>
  </si>
  <si>
    <t>4101</t>
  </si>
  <si>
    <t>12 375 Ft</t>
  </si>
  <si>
    <t>99896</t>
  </si>
  <si>
    <t>2 613 395 Ft</t>
  </si>
  <si>
    <t>2268</t>
  </si>
  <si>
    <t>21 685 Ft</t>
  </si>
  <si>
    <t>72841</t>
  </si>
  <si>
    <t>1 790 Ft</t>
  </si>
  <si>
    <t>3 115 365 Ft</t>
  </si>
  <si>
    <t>2132</t>
  </si>
  <si>
    <t>22 405 Ft</t>
  </si>
  <si>
    <t>64862</t>
  </si>
  <si>
    <t>2 568 805 Ft</t>
  </si>
  <si>
    <t>1714</t>
  </si>
  <si>
    <t>27 905 Ft</t>
  </si>
  <si>
    <t>54840</t>
  </si>
  <si>
    <t>1 700 440 475 Ft</t>
  </si>
  <si>
    <t>2 202 785 Ft</t>
  </si>
  <si>
    <t>20 945 Ft</t>
  </si>
  <si>
    <t>74249</t>
  </si>
  <si>
    <t>1 970 Ft</t>
  </si>
  <si>
    <t>2 206 750 Ft</t>
  </si>
  <si>
    <t>3266</t>
  </si>
  <si>
    <t>16 785 Ft</t>
  </si>
  <si>
    <t>90612</t>
  </si>
  <si>
    <t>2 883 210 Ft</t>
  </si>
  <si>
    <t>1929</t>
  </si>
  <si>
    <t>26 425 Ft</t>
  </si>
  <si>
    <t>64200</t>
  </si>
  <si>
    <t>1 161 925 Ft</t>
  </si>
  <si>
    <t>2860</t>
  </si>
  <si>
    <t>18 045 Ft</t>
  </si>
  <si>
    <t>76311</t>
  </si>
  <si>
    <t>783 045 Ft</t>
  </si>
  <si>
    <t>4739</t>
  </si>
  <si>
    <t>10 845 Ft</t>
  </si>
  <si>
    <t>101542</t>
  </si>
  <si>
    <t>1 335 Ft</t>
  </si>
  <si>
    <t>1 553 310 Ft</t>
  </si>
  <si>
    <t>2580</t>
  </si>
  <si>
    <t>20 285 Ft</t>
  </si>
  <si>
    <t>72342</t>
  </si>
  <si>
    <t>1 716 520 Ft</t>
  </si>
  <si>
    <t>2410</t>
  </si>
  <si>
    <t>20 905 Ft</t>
  </si>
  <si>
    <t>67058</t>
  </si>
  <si>
    <t>1 955 Ft</t>
  </si>
  <si>
    <t>1 300 455 Ft</t>
  </si>
  <si>
    <t>2588</t>
  </si>
  <si>
    <t>19 115 Ft</t>
  </si>
  <si>
    <t>66194</t>
  </si>
  <si>
    <t>1 337 355 Ft</t>
  </si>
  <si>
    <t>2539</t>
  </si>
  <si>
    <t>19 465 Ft</t>
  </si>
  <si>
    <t>68630</t>
  </si>
  <si>
    <t>2 572 475 Ft</t>
  </si>
  <si>
    <t>1924</t>
  </si>
  <si>
    <t>26 255 Ft</t>
  </si>
  <si>
    <t>54758</t>
  </si>
  <si>
    <t>2 385 Ft</t>
  </si>
  <si>
    <t>391 793 080 Ft</t>
  </si>
  <si>
    <t>1 545 605 Ft</t>
  </si>
  <si>
    <t>1733</t>
  </si>
  <si>
    <t>29 190 Ft</t>
  </si>
  <si>
    <t>49078</t>
  </si>
  <si>
    <t>2 665 Ft</t>
  </si>
  <si>
    <t>4 328 840 Ft</t>
  </si>
  <si>
    <t>1480</t>
  </si>
  <si>
    <t>51493</t>
  </si>
  <si>
    <t>2 400 Ft</t>
  </si>
  <si>
    <t>846 015 625 Ft</t>
  </si>
  <si>
    <t>3 307 505 Ft</t>
  </si>
  <si>
    <t>1674</t>
  </si>
  <si>
    <t>30 295 Ft</t>
  </si>
  <si>
    <t>54143</t>
  </si>
  <si>
    <t>2 445 Ft</t>
  </si>
  <si>
    <t>2 704 955 Ft</t>
  </si>
  <si>
    <t>1851</t>
  </si>
  <si>
    <t>27 210 Ft</t>
  </si>
  <si>
    <t>60151</t>
  </si>
  <si>
    <t>2 185 Ft</t>
  </si>
  <si>
    <t>4 250 615 Ft</t>
  </si>
  <si>
    <t>1810</t>
  </si>
  <si>
    <t>28 295 Ft</t>
  </si>
  <si>
    <t>54638</t>
  </si>
  <si>
    <t>2 876 240 Ft</t>
  </si>
  <si>
    <t>1538</t>
  </si>
  <si>
    <t>32 770 Ft</t>
  </si>
  <si>
    <t>48294</t>
  </si>
  <si>
    <t>2 725 Ft</t>
  </si>
  <si>
    <t>6 431 516 010 Ft</t>
  </si>
  <si>
    <t>1 913 465 Ft</t>
  </si>
  <si>
    <t>3488</t>
  </si>
  <si>
    <t>24 220 Ft</t>
  </si>
  <si>
    <t>104123</t>
  </si>
  <si>
    <t>2 115 Ft</t>
  </si>
  <si>
    <t>3 071 930 Ft</t>
  </si>
  <si>
    <t>2493</t>
  </si>
  <si>
    <t>35 830 Ft</t>
  </si>
  <si>
    <t>88780</t>
  </si>
  <si>
    <t>2 625 Ft</t>
  </si>
  <si>
    <t>2 095 225 Ft</t>
  </si>
  <si>
    <t>5450</t>
  </si>
  <si>
    <t>20 700 Ft</t>
  </si>
  <si>
    <t>152366</t>
  </si>
  <si>
    <t>1 930 Ft</t>
  </si>
  <si>
    <t>3 648 470 Ft</t>
  </si>
  <si>
    <t>3914</t>
  </si>
  <si>
    <t>27 105 Ft</t>
  </si>
  <si>
    <t>125112</t>
  </si>
  <si>
    <t>2 210 Ft</t>
  </si>
  <si>
    <t>105</t>
  </si>
  <si>
    <t>952 080 Ft</t>
  </si>
  <si>
    <t>8033</t>
  </si>
  <si>
    <t>12 940 Ft</t>
  </si>
  <si>
    <t>208011</t>
  </si>
  <si>
    <t>2 496 635 Ft</t>
  </si>
  <si>
    <t>3839</t>
  </si>
  <si>
    <t>23 670 Ft</t>
  </si>
  <si>
    <t>115117</t>
  </si>
  <si>
    <t>2 095 Ft</t>
  </si>
  <si>
    <t>2 021 030 Ft</t>
  </si>
  <si>
    <t>3583</t>
  </si>
  <si>
    <t>24 050 Ft</t>
  </si>
  <si>
    <t>105717</t>
  </si>
  <si>
    <t>1 467 010 Ft</t>
  </si>
  <si>
    <t>4098</t>
  </si>
  <si>
    <t>19 730 Ft</t>
  </si>
  <si>
    <t>113633</t>
  </si>
  <si>
    <t>1 890 Ft</t>
  </si>
  <si>
    <t>2 009 445 Ft</t>
  </si>
  <si>
    <t>3946</t>
  </si>
  <si>
    <t>19 065 Ft</t>
  </si>
  <si>
    <t>110053</t>
  </si>
  <si>
    <t>661 245 Ft</t>
  </si>
  <si>
    <t>6824</t>
  </si>
  <si>
    <t>10 580 Ft</t>
  </si>
  <si>
    <t>149407</t>
  </si>
  <si>
    <t>1 285 Ft</t>
  </si>
  <si>
    <t>128</t>
  </si>
  <si>
    <t>528 295 Ft</t>
  </si>
  <si>
    <t>5998</t>
  </si>
  <si>
    <t>11 725 Ft</t>
  </si>
  <si>
    <t>127283</t>
  </si>
  <si>
    <t>1 465 Ft</t>
  </si>
  <si>
    <t>1 525 875 Ft</t>
  </si>
  <si>
    <t>2989</t>
  </si>
  <si>
    <t>22 830 Ft</t>
  </si>
  <si>
    <t>83854</t>
  </si>
  <si>
    <t>2 160 Ft</t>
  </si>
  <si>
    <t>706 570 Ft</t>
  </si>
  <si>
    <t>4944</t>
  </si>
  <si>
    <t>13 005 Ft</t>
  </si>
  <si>
    <t>115977</t>
  </si>
  <si>
    <t>1 450 Ft</t>
  </si>
  <si>
    <t>2019</t>
  </si>
  <si>
    <t>2 497 955 Ft</t>
  </si>
  <si>
    <t>1900</t>
  </si>
  <si>
    <t>33 655 Ft</t>
  </si>
  <si>
    <t>64099</t>
  </si>
  <si>
    <t>2 180 Ft</t>
  </si>
  <si>
    <t>2 181 950 Ft</t>
  </si>
  <si>
    <t>2567</t>
  </si>
  <si>
    <t>26 295 Ft</t>
  </si>
  <si>
    <t>81398</t>
  </si>
  <si>
    <t>1 023 155 Ft</t>
  </si>
  <si>
    <t>3709</t>
  </si>
  <si>
    <t>18 830 Ft</t>
  </si>
  <si>
    <t>91748</t>
  </si>
  <si>
    <t>1 665 Ft</t>
  </si>
  <si>
    <t>2 426 985 Ft</t>
  </si>
  <si>
    <t>2872</t>
  </si>
  <si>
    <t>21 635 Ft</t>
  </si>
  <si>
    <t>88499</t>
  </si>
  <si>
    <t>1 535 Ft</t>
  </si>
  <si>
    <t>1 143 120 Ft</t>
  </si>
  <si>
    <t>3594</t>
  </si>
  <si>
    <t>16 625 Ft</t>
  </si>
  <si>
    <t>92354</t>
  </si>
  <si>
    <t>1 415 Ft</t>
  </si>
  <si>
    <t>1 605 020 Ft</t>
  </si>
  <si>
    <t>2850</t>
  </si>
  <si>
    <t>21 025 Ft</t>
  </si>
  <si>
    <t>83273</t>
  </si>
  <si>
    <t>1 568 425 Ft</t>
  </si>
  <si>
    <t>3238</t>
  </si>
  <si>
    <t>92691</t>
  </si>
  <si>
    <t>1 460 Ft</t>
  </si>
  <si>
    <t>1 109 555 Ft</t>
  </si>
  <si>
    <t>4134</t>
  </si>
  <si>
    <t>14 600 Ft</t>
  </si>
  <si>
    <t>102129</t>
  </si>
  <si>
    <t>1 295 Ft</t>
  </si>
  <si>
    <t>1 656 205 Ft</t>
  </si>
  <si>
    <t>2668</t>
  </si>
  <si>
    <t>21 190 Ft</t>
  </si>
  <si>
    <t>86715</t>
  </si>
  <si>
    <t>1 859 510 Ft</t>
  </si>
  <si>
    <t>2443</t>
  </si>
  <si>
    <t>23 545 Ft</t>
  </si>
  <si>
    <t>70794</t>
  </si>
  <si>
    <t>1 775 Ft</t>
  </si>
  <si>
    <t>747 190 Ft</t>
  </si>
  <si>
    <t>4702</t>
  </si>
  <si>
    <t>12 715 Ft</t>
  </si>
  <si>
    <t>101559</t>
  </si>
  <si>
    <t>1 290 Ft</t>
  </si>
  <si>
    <t>2 161 330 Ft</t>
  </si>
  <si>
    <t>2889</t>
  </si>
  <si>
    <t>20 750 Ft</t>
  </si>
  <si>
    <t>83545</t>
  </si>
  <si>
    <t>1 797 045 Ft</t>
  </si>
  <si>
    <t>2257</t>
  </si>
  <si>
    <t>25 480 Ft</t>
  </si>
  <si>
    <t>66812</t>
  </si>
  <si>
    <t>1 885 Ft</t>
  </si>
  <si>
    <t>3 778 065 Ft</t>
  </si>
  <si>
    <t>2195</t>
  </si>
  <si>
    <t>25 705 Ft</t>
  </si>
  <si>
    <t>64871</t>
  </si>
  <si>
    <t>2 628 560 Ft</t>
  </si>
  <si>
    <t>29 115 Ft</t>
  </si>
  <si>
    <t>57296</t>
  </si>
  <si>
    <t>2 140 Ft</t>
  </si>
  <si>
    <t>2 877 880 Ft</t>
  </si>
  <si>
    <t>1766</t>
  </si>
  <si>
    <t>36 505 Ft</t>
  </si>
  <si>
    <t>62273</t>
  </si>
  <si>
    <t>2 265 Ft</t>
  </si>
  <si>
    <t>981 215 Ft</t>
  </si>
  <si>
    <t>4961</t>
  </si>
  <si>
    <t>11 390 Ft</t>
  </si>
  <si>
    <t>101828</t>
  </si>
  <si>
    <t>1 215 Ft</t>
  </si>
  <si>
    <t>5 398 600 Ft</t>
  </si>
  <si>
    <t>1705</t>
  </si>
  <si>
    <t>30 395 Ft</t>
  </si>
  <si>
    <t>61942</t>
  </si>
  <si>
    <t>1 830 Ft</t>
  </si>
  <si>
    <t>1 604 515 Ft</t>
  </si>
  <si>
    <t>2964</t>
  </si>
  <si>
    <t>17 325 Ft</t>
  </si>
  <si>
    <t>81714</t>
  </si>
  <si>
    <t>1 375 Ft</t>
  </si>
  <si>
    <t>5 709 920 Ft</t>
  </si>
  <si>
    <t>1827</t>
  </si>
  <si>
    <t>30 005 Ft</t>
  </si>
  <si>
    <t>60335</t>
  </si>
  <si>
    <t>3 552 690 Ft</t>
  </si>
  <si>
    <t>2043</t>
  </si>
  <si>
    <t>25 970 Ft</t>
  </si>
  <si>
    <t>63637</t>
  </si>
  <si>
    <t>1 825 Ft</t>
  </si>
  <si>
    <t>2 094 955 Ft</t>
  </si>
  <si>
    <t>2602</t>
  </si>
  <si>
    <t>19 755 Ft</t>
  </si>
  <si>
    <t>75034</t>
  </si>
  <si>
    <t>1 500 Ft</t>
  </si>
  <si>
    <t>2 384 650 Ft</t>
  </si>
  <si>
    <t>2115</t>
  </si>
  <si>
    <t>24 055 Ft</t>
  </si>
  <si>
    <t>63270</t>
  </si>
  <si>
    <t>1 760 Ft</t>
  </si>
  <si>
    <t>1 559 640 Ft</t>
  </si>
  <si>
    <t>2911</t>
  </si>
  <si>
    <t>17 715 Ft</t>
  </si>
  <si>
    <t>85871</t>
  </si>
  <si>
    <t>1 005 805 Ft</t>
  </si>
  <si>
    <t>3772</t>
  </si>
  <si>
    <t>14 220 Ft</t>
  </si>
  <si>
    <t>96948</t>
  </si>
  <si>
    <t>1 210 Ft</t>
  </si>
  <si>
    <t>2 166 530 Ft</t>
  </si>
  <si>
    <t>2310</t>
  </si>
  <si>
    <t>22 010 Ft</t>
  </si>
  <si>
    <t>66809</t>
  </si>
  <si>
    <t>1 154 615 510 Ft</t>
  </si>
  <si>
    <t>650 510 Ft</t>
  </si>
  <si>
    <t>4986</t>
  </si>
  <si>
    <t>105724</t>
  </si>
  <si>
    <t>1 135 Ft</t>
  </si>
  <si>
    <t>1 309 040 Ft</t>
  </si>
  <si>
    <t>3454</t>
  </si>
  <si>
    <t>15 765 Ft</t>
  </si>
  <si>
    <t>90518</t>
  </si>
  <si>
    <t>1 655 700 Ft</t>
  </si>
  <si>
    <t>2487</t>
  </si>
  <si>
    <t>22 015 Ft</t>
  </si>
  <si>
    <t>71240</t>
  </si>
  <si>
    <t>1 680 Ft</t>
  </si>
  <si>
    <t>2 699 135 Ft</t>
  </si>
  <si>
    <t>1793</t>
  </si>
  <si>
    <t>30 510 Ft</t>
  </si>
  <si>
    <t>57866</t>
  </si>
  <si>
    <t>2 070 Ft</t>
  </si>
  <si>
    <t>1 819 380 Ft</t>
  </si>
  <si>
    <t>2497</t>
  </si>
  <si>
    <t>20 985 Ft</t>
  </si>
  <si>
    <t>74266</t>
  </si>
  <si>
    <t>1 558 880 Ft</t>
  </si>
  <si>
    <t>2953</t>
  </si>
  <si>
    <t>18 020 Ft</t>
  </si>
  <si>
    <t>76348</t>
  </si>
  <si>
    <t>1 525 Ft</t>
  </si>
  <si>
    <t>1 496 290 Ft</t>
  </si>
  <si>
    <t>3069</t>
  </si>
  <si>
    <t>18 200 Ft</t>
  </si>
  <si>
    <t>82578</t>
  </si>
  <si>
    <t>2 281 700 Ft</t>
  </si>
  <si>
    <t>2253</t>
  </si>
  <si>
    <t>24 845 Ft</t>
  </si>
  <si>
    <t>66872</t>
  </si>
  <si>
    <t>1 865 265 Ft</t>
  </si>
  <si>
    <t>23 255 Ft</t>
  </si>
  <si>
    <t>68400</t>
  </si>
  <si>
    <t>2 948 070 Ft</t>
  </si>
  <si>
    <t>2016</t>
  </si>
  <si>
    <t>26 515 Ft</t>
  </si>
  <si>
    <t>70300</t>
  </si>
  <si>
    <t>4 194 319 530 Ft</t>
  </si>
  <si>
    <t>1 732 680 Ft</t>
  </si>
  <si>
    <t>4097</t>
  </si>
  <si>
    <t>123044</t>
  </si>
  <si>
    <t>1 886 015 Ft</t>
  </si>
  <si>
    <t>4432</t>
  </si>
  <si>
    <t>21 335 Ft</t>
  </si>
  <si>
    <t>129240</t>
  </si>
  <si>
    <t>1 600 Ft</t>
  </si>
  <si>
    <t>2 628 580 Ft</t>
  </si>
  <si>
    <t>3504</t>
  </si>
  <si>
    <t>25 605 Ft</t>
  </si>
  <si>
    <t>113939</t>
  </si>
  <si>
    <t>1 725 Ft</t>
  </si>
  <si>
    <t>1 246 710 Ft</t>
  </si>
  <si>
    <t>4478</t>
  </si>
  <si>
    <t>18 710 Ft</t>
  </si>
  <si>
    <t>121441</t>
  </si>
  <si>
    <t>1 510 Ft</t>
  </si>
  <si>
    <t>879 555 Ft</t>
  </si>
  <si>
    <t>6525</t>
  </si>
  <si>
    <t>12 655 Ft</t>
  </si>
  <si>
    <t>152208</t>
  </si>
  <si>
    <t>1 185 Ft</t>
  </si>
  <si>
    <t>1 353 690 Ft</t>
  </si>
  <si>
    <t>5435</t>
  </si>
  <si>
    <t>15 410 Ft</t>
  </si>
  <si>
    <t>139732</t>
  </si>
  <si>
    <t>1 310 Ft</t>
  </si>
  <si>
    <t>1 514 515 Ft</t>
  </si>
  <si>
    <t>5528</t>
  </si>
  <si>
    <t>14 905 Ft</t>
  </si>
  <si>
    <t>147024</t>
  </si>
  <si>
    <t>1 225 Ft</t>
  </si>
  <si>
    <t>1 534 100 Ft</t>
  </si>
  <si>
    <t>2966</t>
  </si>
  <si>
    <t>25 930 Ft</t>
  </si>
  <si>
    <t>84771</t>
  </si>
  <si>
    <t>1 396 675 Ft</t>
  </si>
  <si>
    <t>3704</t>
  </si>
  <si>
    <t>20 515 Ft</t>
  </si>
  <si>
    <t>107556</t>
  </si>
  <si>
    <t>2 787 525 Ft</t>
  </si>
  <si>
    <t>2485</t>
  </si>
  <si>
    <t>31 110 Ft</t>
  </si>
  <si>
    <t>95180</t>
  </si>
  <si>
    <t>101</t>
  </si>
  <si>
    <t>700 340 Ft</t>
  </si>
  <si>
    <t>6329</t>
  </si>
  <si>
    <t>11 920 Ft</t>
  </si>
  <si>
    <t>133587</t>
  </si>
  <si>
    <t>1 235 Ft</t>
  </si>
  <si>
    <t>981 835 Ft</t>
  </si>
  <si>
    <t>4956</t>
  </si>
  <si>
    <t>14 370 Ft</t>
  </si>
  <si>
    <t>111953</t>
  </si>
  <si>
    <t>1 390 Ft</t>
  </si>
  <si>
    <t>1 506 625 Ft</t>
  </si>
  <si>
    <t>28 005 Ft</t>
  </si>
  <si>
    <t>74812</t>
  </si>
  <si>
    <t>1 658 750 Ft</t>
  </si>
  <si>
    <t>3723</t>
  </si>
  <si>
    <t>17 585 Ft</t>
  </si>
  <si>
    <t>99859</t>
  </si>
  <si>
    <t>1 435 Ft</t>
  </si>
  <si>
    <t>1 135 060 Ft</t>
  </si>
  <si>
    <t>3601</t>
  </si>
  <si>
    <t>17 145 Ft</t>
  </si>
  <si>
    <t>98836</t>
  </si>
  <si>
    <t>1 365 Ft</t>
  </si>
  <si>
    <t>968 565 Ft</t>
  </si>
  <si>
    <t>3906</t>
  </si>
  <si>
    <t>14 020 Ft</t>
  </si>
  <si>
    <t>94578</t>
  </si>
  <si>
    <t>1 265 Ft</t>
  </si>
  <si>
    <t>752 240 Ft</t>
  </si>
  <si>
    <t>4252</t>
  </si>
  <si>
    <t>13 400 Ft</t>
  </si>
  <si>
    <t>103885</t>
  </si>
  <si>
    <t>1 200 Ft</t>
  </si>
  <si>
    <t>2 019 215 Ft</t>
  </si>
  <si>
    <t>2708</t>
  </si>
  <si>
    <t>21 475 Ft</t>
  </si>
  <si>
    <t>1 635 Ft</t>
  </si>
  <si>
    <t>672 875 Ft</t>
  </si>
  <si>
    <t>5141</t>
  </si>
  <si>
    <t>11 310 Ft</t>
  </si>
  <si>
    <t>112476</t>
  </si>
  <si>
    <t>1 130 Ft</t>
  </si>
  <si>
    <t>1 797 005 Ft</t>
  </si>
  <si>
    <t>2828</t>
  </si>
  <si>
    <t>20 335 Ft</t>
  </si>
  <si>
    <t>76602</t>
  </si>
  <si>
    <t>1 640 Ft</t>
  </si>
  <si>
    <t>1 323 055 Ft</t>
  </si>
  <si>
    <t>2918</t>
  </si>
  <si>
    <t>17 895 Ft</t>
  </si>
  <si>
    <t>74651</t>
  </si>
  <si>
    <t>1 530 Ft</t>
  </si>
  <si>
    <t>1 047 310 Ft</t>
  </si>
  <si>
    <t>3324</t>
  </si>
  <si>
    <t>15 460 Ft</t>
  </si>
  <si>
    <t>87482</t>
  </si>
  <si>
    <t>2 385 350 Ft</t>
  </si>
  <si>
    <t>2086</t>
  </si>
  <si>
    <t>25 615 Ft</t>
  </si>
  <si>
    <t>73362</t>
  </si>
  <si>
    <t>2 033 855 Ft</t>
  </si>
  <si>
    <t>2566</t>
  </si>
  <si>
    <t>20 290 Ft</t>
  </si>
  <si>
    <t>80330</t>
  </si>
  <si>
    <t>1 420 Ft</t>
  </si>
  <si>
    <t>6 568 585 Ft</t>
  </si>
  <si>
    <t>1169</t>
  </si>
  <si>
    <t>41 955 Ft</t>
  </si>
  <si>
    <t>49189</t>
  </si>
  <si>
    <t>1 117 295 Ft</t>
  </si>
  <si>
    <t>3374</t>
  </si>
  <si>
    <t>14 480 Ft</t>
  </si>
  <si>
    <t>86076</t>
  </si>
  <si>
    <t>1 240 Ft</t>
  </si>
  <si>
    <t>539 380 Ft</t>
  </si>
  <si>
    <t>5010</t>
  </si>
  <si>
    <t>10 105 Ft</t>
  </si>
  <si>
    <t>100094</t>
  </si>
  <si>
    <t>1 105 Ft</t>
  </si>
  <si>
    <t>1 165 300 Ft</t>
  </si>
  <si>
    <t>2861</t>
  </si>
  <si>
    <t>18 245 Ft</t>
  </si>
  <si>
    <t>72894</t>
  </si>
  <si>
    <t>1 565 Ft</t>
  </si>
  <si>
    <t>1 294 830 Ft</t>
  </si>
  <si>
    <t>3164</t>
  </si>
  <si>
    <t>15 715 Ft</t>
  </si>
  <si>
    <t>79744</t>
  </si>
  <si>
    <t>917 925 Ft</t>
  </si>
  <si>
    <t>3053</t>
  </si>
  <si>
    <t>82841</t>
  </si>
  <si>
    <t>1 846 186 825 Ft</t>
  </si>
  <si>
    <t>2 156 195 Ft</t>
  </si>
  <si>
    <t>2766</t>
  </si>
  <si>
    <t>20 790 Ft</t>
  </si>
  <si>
    <t>80865</t>
  </si>
  <si>
    <t>1 555 Ft</t>
  </si>
  <si>
    <t>1 592 600 Ft</t>
  </si>
  <si>
    <t>2615</t>
  </si>
  <si>
    <t>22 085 Ft</t>
  </si>
  <si>
    <t>72302</t>
  </si>
  <si>
    <t>1 745 Ft</t>
  </si>
  <si>
    <t>946 870 Ft</t>
  </si>
  <si>
    <t>3967</t>
  </si>
  <si>
    <t>14 005 Ft</t>
  </si>
  <si>
    <t>101483</t>
  </si>
  <si>
    <t>1 195 Ft</t>
  </si>
  <si>
    <t>1 327 780 Ft</t>
  </si>
  <si>
    <t>2933</t>
  </si>
  <si>
    <t>18 350 Ft</t>
  </si>
  <si>
    <t>76163</t>
  </si>
  <si>
    <t>3 316 030 Ft</t>
  </si>
  <si>
    <t>1869</t>
  </si>
  <si>
    <t>28 390 Ft</t>
  </si>
  <si>
    <t>65065</t>
  </si>
  <si>
    <t>1 785 Ft</t>
  </si>
  <si>
    <t>1 495 330 Ft</t>
  </si>
  <si>
    <t>3284</t>
  </si>
  <si>
    <t>17 000 Ft</t>
  </si>
  <si>
    <t>90840</t>
  </si>
  <si>
    <t>842 830 Ft</t>
  </si>
  <si>
    <t>3794</t>
  </si>
  <si>
    <t>17 090 Ft</t>
  </si>
  <si>
    <t>85480</t>
  </si>
  <si>
    <t>875 865 Ft</t>
  </si>
  <si>
    <t>15 930 Ft</t>
  </si>
  <si>
    <t>82234</t>
  </si>
  <si>
    <t>3 431 260 Ft</t>
  </si>
  <si>
    <t>1519</t>
  </si>
  <si>
    <t>33 735 Ft</t>
  </si>
  <si>
    <t>56747</t>
  </si>
  <si>
    <t>1 861 980 Ft</t>
  </si>
  <si>
    <t>3154</t>
  </si>
  <si>
    <t>16 375 Ft</t>
  </si>
  <si>
    <t>89431</t>
  </si>
  <si>
    <t>855 715 Ft</t>
  </si>
  <si>
    <t>4789</t>
  </si>
  <si>
    <t>12 580 Ft</t>
  </si>
  <si>
    <t>104253</t>
  </si>
  <si>
    <t>1 137 705 Ft</t>
  </si>
  <si>
    <t>2776</t>
  </si>
  <si>
    <t>18 800 Ft</t>
  </si>
  <si>
    <t>74587</t>
  </si>
  <si>
    <t>1 862 920 Ft</t>
  </si>
  <si>
    <t>3255</t>
  </si>
  <si>
    <t>17 095 Ft</t>
  </si>
  <si>
    <t>79779</t>
  </si>
  <si>
    <t>2 866 745 Ft</t>
  </si>
  <si>
    <t>25 940 Ft</t>
  </si>
  <si>
    <t>67394</t>
  </si>
  <si>
    <t>5 389 970 Ft</t>
  </si>
  <si>
    <t>1406</t>
  </si>
  <si>
    <t>36 800 Ft</t>
  </si>
  <si>
    <t>53472</t>
  </si>
  <si>
    <t>2 865 Ft</t>
  </si>
  <si>
    <t>1 889 950 Ft</t>
  </si>
  <si>
    <t>2405</t>
  </si>
  <si>
    <t>20 955 Ft</t>
  </si>
  <si>
    <t>71412</t>
  </si>
  <si>
    <t>1 667 298 070 Ft</t>
  </si>
  <si>
    <t>972 880 Ft</t>
  </si>
  <si>
    <t>4044</t>
  </si>
  <si>
    <t>14 625 Ft</t>
  </si>
  <si>
    <t>105597</t>
  </si>
  <si>
    <t>2 616 725 Ft</t>
  </si>
  <si>
    <t>2252</t>
  </si>
  <si>
    <t>26 030 Ft</t>
  </si>
  <si>
    <t>68249</t>
  </si>
  <si>
    <t>3 176 815 Ft</t>
  </si>
  <si>
    <t>2865</t>
  </si>
  <si>
    <t>20 105 Ft</t>
  </si>
  <si>
    <t>84152</t>
  </si>
  <si>
    <t>1 495 Ft</t>
  </si>
  <si>
    <t>1 890 800 Ft</t>
  </si>
  <si>
    <t>2939</t>
  </si>
  <si>
    <t>19 900 Ft</t>
  </si>
  <si>
    <t>85124</t>
  </si>
  <si>
    <t>1 505 Ft</t>
  </si>
  <si>
    <t>897 395 Ft</t>
  </si>
  <si>
    <t>4154</t>
  </si>
  <si>
    <t>13 135 Ft</t>
  </si>
  <si>
    <t>97329</t>
  </si>
  <si>
    <t>837 555 Ft</t>
  </si>
  <si>
    <t>112402</t>
  </si>
  <si>
    <t>1 250 Ft</t>
  </si>
  <si>
    <t>1 612 125 Ft</t>
  </si>
  <si>
    <t>4325</t>
  </si>
  <si>
    <t>14 710 Ft</t>
  </si>
  <si>
    <t>106768</t>
  </si>
  <si>
    <t>1 305 Ft</t>
  </si>
  <si>
    <t>1 084 695 Ft</t>
  </si>
  <si>
    <t>3589</t>
  </si>
  <si>
    <t>16 765 Ft</t>
  </si>
  <si>
    <t>95849</t>
  </si>
  <si>
    <t>2 719 175 Ft</t>
  </si>
  <si>
    <t>1778</t>
  </si>
  <si>
    <t>29 365 Ft</t>
  </si>
  <si>
    <t>60226</t>
  </si>
  <si>
    <t>1 895 Ft</t>
  </si>
  <si>
    <t>1 610 610 Ft</t>
  </si>
  <si>
    <t>3197</t>
  </si>
  <si>
    <t>16 120 Ft</t>
  </si>
  <si>
    <t>87492</t>
  </si>
  <si>
    <t>1 845 470 Ft</t>
  </si>
  <si>
    <t>2399</t>
  </si>
  <si>
    <t>66046</t>
  </si>
  <si>
    <t>1 695 Ft</t>
  </si>
  <si>
    <t>1 746 055 Ft</t>
  </si>
  <si>
    <t>2363</t>
  </si>
  <si>
    <t>22 070 Ft</t>
  </si>
  <si>
    <t>73705</t>
  </si>
  <si>
    <t>1 550 Ft</t>
  </si>
  <si>
    <t>4 847 945 Ft</t>
  </si>
  <si>
    <t>1575</t>
  </si>
  <si>
    <t>32 835 Ft</t>
  </si>
  <si>
    <t>57271</t>
  </si>
  <si>
    <t>2 887 835 Ft</t>
  </si>
  <si>
    <t>1669</t>
  </si>
  <si>
    <t>29 530 Ft</t>
  </si>
  <si>
    <t>53537</t>
  </si>
  <si>
    <t>2 015 Ft</t>
  </si>
  <si>
    <t>906 255 450 Ft</t>
  </si>
  <si>
    <t>1 805 920 Ft</t>
  </si>
  <si>
    <t>3212</t>
  </si>
  <si>
    <t>16 790 Ft</t>
  </si>
  <si>
    <t>1 380 Ft</t>
  </si>
  <si>
    <t>4 798 280 Ft</t>
  </si>
  <si>
    <t>1836</t>
  </si>
  <si>
    <t>30 665 Ft</t>
  </si>
  <si>
    <t>67673</t>
  </si>
  <si>
    <t>4 686 610 Ft</t>
  </si>
  <si>
    <t>1514</t>
  </si>
  <si>
    <t>36 320 Ft</t>
  </si>
  <si>
    <t>62884</t>
  </si>
  <si>
    <t>1 595 770 Ft</t>
  </si>
  <si>
    <t>2683</t>
  </si>
  <si>
    <t>19 665 Ft</t>
  </si>
  <si>
    <t>74773</t>
  </si>
  <si>
    <t>3 771 920 Ft</t>
  </si>
  <si>
    <t>2126</t>
  </si>
  <si>
    <t>24 600 Ft</t>
  </si>
  <si>
    <t>63219</t>
  </si>
  <si>
    <t>1 810 Ft</t>
  </si>
  <si>
    <t>1 761 680 Ft</t>
  </si>
  <si>
    <t>2663</t>
  </si>
  <si>
    <t>19 760 Ft</t>
  </si>
  <si>
    <t>82764</t>
  </si>
  <si>
    <t>1 713 405 Ft</t>
  </si>
  <si>
    <t>24 540 Ft</t>
  </si>
  <si>
    <t>62840</t>
  </si>
  <si>
    <t>1 529 010 Ft</t>
  </si>
  <si>
    <t>2809</t>
  </si>
  <si>
    <t>18 000 Ft</t>
  </si>
  <si>
    <t>72216</t>
  </si>
  <si>
    <t>2017</t>
  </si>
  <si>
    <t>687 070 585 Ft</t>
  </si>
  <si>
    <t>1 191 295 Ft</t>
  </si>
  <si>
    <t>3899</t>
  </si>
  <si>
    <t>14 665 Ft</t>
  </si>
  <si>
    <t>94092</t>
  </si>
  <si>
    <t>1 330 Ft</t>
  </si>
  <si>
    <t>3 148 780 Ft</t>
  </si>
  <si>
    <t>1870</t>
  </si>
  <si>
    <t>30 535 Ft</t>
  </si>
  <si>
    <t>66420</t>
  </si>
  <si>
    <t>2 083 960 Ft</t>
  </si>
  <si>
    <t>2401</t>
  </si>
  <si>
    <t>22 220 Ft</t>
  </si>
  <si>
    <t>69609</t>
  </si>
  <si>
    <t>1 675 Ft</t>
  </si>
  <si>
    <t>1 513 440 Ft</t>
  </si>
  <si>
    <t>2745</t>
  </si>
  <si>
    <t>19 405 Ft</t>
  </si>
  <si>
    <t>70825</t>
  </si>
  <si>
    <t>1 652 385 Ft</t>
  </si>
  <si>
    <t>3194</t>
  </si>
  <si>
    <t>16 005 Ft</t>
  </si>
  <si>
    <t>89369</t>
  </si>
  <si>
    <t>2 405 205 Ft</t>
  </si>
  <si>
    <t>20 875 Ft</t>
  </si>
  <si>
    <t>72851</t>
  </si>
  <si>
    <t>1 540 Ft</t>
  </si>
  <si>
    <t>1 428 694 065 Ft</t>
  </si>
  <si>
    <t>2 172 945 Ft</t>
  </si>
  <si>
    <t>2433</t>
  </si>
  <si>
    <t>25 720 Ft</t>
  </si>
  <si>
    <t>74987</t>
  </si>
  <si>
    <t>1 623 870 Ft</t>
  </si>
  <si>
    <t>3022</t>
  </si>
  <si>
    <t>20 635 Ft</t>
  </si>
  <si>
    <t>84922</t>
  </si>
  <si>
    <t>820 705 Ft</t>
  </si>
  <si>
    <t>3413</t>
  </si>
  <si>
    <t>16 930 Ft</t>
  </si>
  <si>
    <t>82598</t>
  </si>
  <si>
    <t>1 548 235 Ft</t>
  </si>
  <si>
    <t>24 640 Ft</t>
  </si>
  <si>
    <t>64103</t>
  </si>
  <si>
    <t>1 172 440 Ft</t>
  </si>
  <si>
    <t>2672</t>
  </si>
  <si>
    <t>21 060 Ft</t>
  </si>
  <si>
    <t>72381</t>
  </si>
  <si>
    <t>1 153 560 Ft</t>
  </si>
  <si>
    <t>3858</t>
  </si>
  <si>
    <t>15 630 Ft</t>
  </si>
  <si>
    <t>94133</t>
  </si>
  <si>
    <t>1 400 Ft</t>
  </si>
  <si>
    <t>2 498 745 Ft</t>
  </si>
  <si>
    <t>2106</t>
  </si>
  <si>
    <t>25 310 Ft</t>
  </si>
  <si>
    <t>65976</t>
  </si>
  <si>
    <t>4 430 005 Ft</t>
  </si>
  <si>
    <t>1626</t>
  </si>
  <si>
    <t>31 965 Ft</t>
  </si>
  <si>
    <t>58139</t>
  </si>
  <si>
    <t>2 587 980 Ft</t>
  </si>
  <si>
    <t>2112</t>
  </si>
  <si>
    <t>24 835 Ft</t>
  </si>
  <si>
    <t>60124</t>
  </si>
  <si>
    <t>1 910 Ft</t>
  </si>
  <si>
    <t>4 679 010 Ft</t>
  </si>
  <si>
    <t>2052</t>
  </si>
  <si>
    <t>26 755 Ft</t>
  </si>
  <si>
    <t>63976</t>
  </si>
  <si>
    <t>703 030 Ft</t>
  </si>
  <si>
    <t>4181</t>
  </si>
  <si>
    <t>12 735 Ft</t>
  </si>
  <si>
    <t>89310</t>
  </si>
  <si>
    <t>2 989 110 Ft</t>
  </si>
  <si>
    <t>1751</t>
  </si>
  <si>
    <t>29 135 Ft</t>
  </si>
  <si>
    <t>57057</t>
  </si>
  <si>
    <t>3 024 303 035 Ft</t>
  </si>
  <si>
    <t>3 203 900 Ft</t>
  </si>
  <si>
    <t>2317</t>
  </si>
  <si>
    <t>29 500 Ft</t>
  </si>
  <si>
    <t>78419</t>
  </si>
  <si>
    <t>1 905 Ft</t>
  </si>
  <si>
    <t>130</t>
  </si>
  <si>
    <t>487 575 Ft</t>
  </si>
  <si>
    <t>7674</t>
  </si>
  <si>
    <t>8 810 Ft</t>
  </si>
  <si>
    <t>160229</t>
  </si>
  <si>
    <t>925 Ft</t>
  </si>
  <si>
    <t>2 163 310 Ft</t>
  </si>
  <si>
    <t>3360</t>
  </si>
  <si>
    <t>19 915 Ft</t>
  </si>
  <si>
    <t>95800</t>
  </si>
  <si>
    <t>1 148 295 Ft</t>
  </si>
  <si>
    <t>4485</t>
  </si>
  <si>
    <t>14 200 Ft</t>
  </si>
  <si>
    <t>114226</t>
  </si>
  <si>
    <t>1 220 Ft</t>
  </si>
  <si>
    <t>6 556 185 Ft</t>
  </si>
  <si>
    <t>1974</t>
  </si>
  <si>
    <t>31 885 Ft</t>
  </si>
  <si>
    <t>68127</t>
  </si>
  <si>
    <t>4 831 440 Ft</t>
  </si>
  <si>
    <t>1768</t>
  </si>
  <si>
    <t>34 980 Ft</t>
  </si>
  <si>
    <t>64020</t>
  </si>
  <si>
    <t>1 114 215 Ft</t>
  </si>
  <si>
    <t>4051</t>
  </si>
  <si>
    <t>15 550 Ft</t>
  </si>
  <si>
    <t>99666</t>
  </si>
  <si>
    <t>1 385 Ft</t>
  </si>
  <si>
    <t>891 425 Ft</t>
  </si>
  <si>
    <t>3965</t>
  </si>
  <si>
    <t>15 350 Ft</t>
  </si>
  <si>
    <t>93535</t>
  </si>
  <si>
    <t>1 058 905 Ft</t>
  </si>
  <si>
    <t>3008</t>
  </si>
  <si>
    <t>19 525 Ft</t>
  </si>
  <si>
    <t>82816</t>
  </si>
  <si>
    <t>1 475 940 Ft</t>
  </si>
  <si>
    <t>3209</t>
  </si>
  <si>
    <t>18 150 Ft</t>
  </si>
  <si>
    <t>89678</t>
  </si>
  <si>
    <t>1 865 175 Ft</t>
  </si>
  <si>
    <t>3144</t>
  </si>
  <si>
    <t>19 615 Ft</t>
  </si>
  <si>
    <t>83772</t>
  </si>
  <si>
    <t>1 610 Ft</t>
  </si>
  <si>
    <t>3 288 740 Ft</t>
  </si>
  <si>
    <t>2294</t>
  </si>
  <si>
    <t>25 995 Ft</t>
  </si>
  <si>
    <t>74116</t>
  </si>
  <si>
    <t>2 147 045 Ft</t>
  </si>
  <si>
    <t>2831</t>
  </si>
  <si>
    <t>76682</t>
  </si>
  <si>
    <t>1 659 520 Ft</t>
  </si>
  <si>
    <t>3018</t>
  </si>
  <si>
    <t>18 770 Ft</t>
  </si>
  <si>
    <t>82209</t>
  </si>
  <si>
    <t>3 113 255 Ft</t>
  </si>
  <si>
    <t>1617</t>
  </si>
  <si>
    <t>34 915 Ft</t>
  </si>
  <si>
    <t>62757</t>
  </si>
  <si>
    <t>1 598 070 Ft</t>
  </si>
  <si>
    <t>3094</t>
  </si>
  <si>
    <t>19 285 Ft</t>
  </si>
  <si>
    <t>92772</t>
  </si>
  <si>
    <t>1 405 Ft</t>
  </si>
  <si>
    <t>2 197 915 Ft</t>
  </si>
  <si>
    <t>2368</t>
  </si>
  <si>
    <t>23 760 Ft</t>
  </si>
  <si>
    <t>73282</t>
  </si>
  <si>
    <t>2 988 055 Ft</t>
  </si>
  <si>
    <t>2441</t>
  </si>
  <si>
    <t>22 195 Ft</t>
  </si>
  <si>
    <t>75080</t>
  </si>
  <si>
    <t>1 580 Ft</t>
  </si>
  <si>
    <t>2 466 690 Ft</t>
  </si>
  <si>
    <t>2000</t>
  </si>
  <si>
    <t>26 310 Ft</t>
  </si>
  <si>
    <t>67509</t>
  </si>
  <si>
    <t>1 705 Ft</t>
  </si>
  <si>
    <t>2 508 940 Ft</t>
  </si>
  <si>
    <t>1565</t>
  </si>
  <si>
    <t>35 910 Ft</t>
  </si>
  <si>
    <t>51560</t>
  </si>
  <si>
    <t>1 029 430 Ft</t>
  </si>
  <si>
    <t>2665</t>
  </si>
  <si>
    <t>20 600 Ft</t>
  </si>
  <si>
    <t>68755</t>
  </si>
  <si>
    <t>1 439 890 Ft</t>
  </si>
  <si>
    <t>2979</t>
  </si>
  <si>
    <t>17 530 Ft</t>
  </si>
  <si>
    <t>82401</t>
  </si>
  <si>
    <t>2 298 325 Ft</t>
  </si>
  <si>
    <t>2349</t>
  </si>
  <si>
    <t>24 005 Ft</t>
  </si>
  <si>
    <t>81846</t>
  </si>
  <si>
    <t>2 319 805 Ft</t>
  </si>
  <si>
    <t>2323</t>
  </si>
  <si>
    <t>24 500 Ft</t>
  </si>
  <si>
    <t>75510</t>
  </si>
  <si>
    <t>1 902 805 560 Ft</t>
  </si>
  <si>
    <t>2 249 765 Ft</t>
  </si>
  <si>
    <t>3863</t>
  </si>
  <si>
    <t>19 880 Ft</t>
  </si>
  <si>
    <t>112661</t>
  </si>
  <si>
    <t>1 969 560 Ft</t>
  </si>
  <si>
    <t>3634</t>
  </si>
  <si>
    <t>17 920 Ft</t>
  </si>
  <si>
    <t>105866</t>
  </si>
  <si>
    <t>1 636 895 Ft</t>
  </si>
  <si>
    <t>3519</t>
  </si>
  <si>
    <t>17 860 Ft</t>
  </si>
  <si>
    <t>106065</t>
  </si>
  <si>
    <t>3 560 010 Ft</t>
  </si>
  <si>
    <t>1574</t>
  </si>
  <si>
    <t>41 015 Ft</t>
  </si>
  <si>
    <t>59749</t>
  </si>
  <si>
    <t>2 365 Ft</t>
  </si>
  <si>
    <t>740 025 Ft</t>
  </si>
  <si>
    <t>5521</t>
  </si>
  <si>
    <t>11 580 Ft</t>
  </si>
  <si>
    <t>139154</t>
  </si>
  <si>
    <t>1 005 Ft</t>
  </si>
  <si>
    <t>3 941 810 Ft</t>
  </si>
  <si>
    <t>29 185 Ft</t>
  </si>
  <si>
    <t>67431</t>
  </si>
  <si>
    <t>1 122 000 Ft</t>
  </si>
  <si>
    <t>5324</t>
  </si>
  <si>
    <t>10 790 Ft</t>
  </si>
  <si>
    <t>119333</t>
  </si>
  <si>
    <t>1 055 Ft</t>
  </si>
  <si>
    <t>1 823 190 Ft</t>
  </si>
  <si>
    <t>2273</t>
  </si>
  <si>
    <t>24 810 Ft</t>
  </si>
  <si>
    <t>68098</t>
  </si>
  <si>
    <t>1 870 930 Ft</t>
  </si>
  <si>
    <t>3580</t>
  </si>
  <si>
    <t>17 280 Ft</t>
  </si>
  <si>
    <t>105191</t>
  </si>
  <si>
    <t>1 192 020 Ft</t>
  </si>
  <si>
    <t>3434</t>
  </si>
  <si>
    <t>15 920 Ft</t>
  </si>
  <si>
    <t>88562</t>
  </si>
  <si>
    <t>1 350 Ft</t>
  </si>
  <si>
    <t>1 845 885 Ft</t>
  </si>
  <si>
    <t>2709</t>
  </si>
  <si>
    <t>23 260 Ft</t>
  </si>
  <si>
    <t>83890</t>
  </si>
  <si>
    <t>2 845 225 Ft</t>
  </si>
  <si>
    <t>2120</t>
  </si>
  <si>
    <t>24 335 Ft</t>
  </si>
  <si>
    <t>61966</t>
  </si>
  <si>
    <t>5 000 815 Ft</t>
  </si>
  <si>
    <t>1610</t>
  </si>
  <si>
    <t>33 130 Ft</t>
  </si>
  <si>
    <t>61802</t>
  </si>
  <si>
    <t>1 425 650 Ft</t>
  </si>
  <si>
    <t>19 985 Ft</t>
  </si>
  <si>
    <t>73057</t>
  </si>
  <si>
    <t>3 732 370 Ft</t>
  </si>
  <si>
    <t>2230</t>
  </si>
  <si>
    <t>23 210 Ft</t>
  </si>
  <si>
    <t>72263</t>
  </si>
  <si>
    <t>892 375 285 Ft</t>
  </si>
  <si>
    <t>2 867 950 Ft</t>
  </si>
  <si>
    <t>2082</t>
  </si>
  <si>
    <t>26 450 Ft</t>
  </si>
  <si>
    <t>67633</t>
  </si>
  <si>
    <t>871 040 Ft</t>
  </si>
  <si>
    <t>5274</t>
  </si>
  <si>
    <t>10 745 Ft</t>
  </si>
  <si>
    <t>124209</t>
  </si>
  <si>
    <t>1 000 Ft</t>
  </si>
  <si>
    <t>1 262 915 Ft</t>
  </si>
  <si>
    <t>3333</t>
  </si>
  <si>
    <t>16 975 Ft</t>
  </si>
  <si>
    <t>87464</t>
  </si>
  <si>
    <t>1 723 080 Ft</t>
  </si>
  <si>
    <t>2559</t>
  </si>
  <si>
    <t>76094</t>
  </si>
  <si>
    <t>2 199 735 Ft</t>
  </si>
  <si>
    <t>1967</t>
  </si>
  <si>
    <t>27 235 Ft</t>
  </si>
  <si>
    <t>63735</t>
  </si>
  <si>
    <t>1 374 070 Ft</t>
  </si>
  <si>
    <t>2803</t>
  </si>
  <si>
    <t>19 205 Ft</t>
  </si>
  <si>
    <t>72848</t>
  </si>
  <si>
    <t>1 054 195 Ft</t>
  </si>
  <si>
    <t>3051</t>
  </si>
  <si>
    <t>18 290 Ft</t>
  </si>
  <si>
    <t>81082</t>
  </si>
  <si>
    <t>1 340 Ft</t>
  </si>
  <si>
    <t>1 450 860 Ft</t>
  </si>
  <si>
    <t>3193</t>
  </si>
  <si>
    <t>16 840 Ft</t>
  </si>
  <si>
    <t>81843</t>
  </si>
  <si>
    <t>1 275 Ft</t>
  </si>
  <si>
    <t>2 531 650 Ft</t>
  </si>
  <si>
    <t>2214</t>
  </si>
  <si>
    <t>23 005 Ft</t>
  </si>
  <si>
    <t>68892</t>
  </si>
  <si>
    <t>538 536 140 Ft</t>
  </si>
  <si>
    <t>2 064 845 Ft</t>
  </si>
  <si>
    <t>2544</t>
  </si>
  <si>
    <t>73287</t>
  </si>
  <si>
    <t>721 245 Ft</t>
  </si>
  <si>
    <t>4054</t>
  </si>
  <si>
    <t>13 940 Ft</t>
  </si>
  <si>
    <t>96620</t>
  </si>
  <si>
    <t>1 948 020 Ft</t>
  </si>
  <si>
    <t>2271</t>
  </si>
  <si>
    <t>24 520 Ft</t>
  </si>
  <si>
    <t>71904</t>
  </si>
  <si>
    <t>838 020 Ft</t>
  </si>
  <si>
    <t>3941</t>
  </si>
  <si>
    <t>13 510 Ft</t>
  </si>
  <si>
    <t>98414</t>
  </si>
  <si>
    <t>1 050 Ft</t>
  </si>
  <si>
    <t>1 042 055 Ft</t>
  </si>
  <si>
    <t>2700</t>
  </si>
  <si>
    <t>73192</t>
  </si>
  <si>
    <t>7 880 110 Ft</t>
  </si>
  <si>
    <t>1131</t>
  </si>
  <si>
    <t>44 265 Ft</t>
  </si>
  <si>
    <t>46062</t>
  </si>
  <si>
    <t>573 765 355 Ft</t>
  </si>
  <si>
    <t>1 407 460 Ft</t>
  </si>
  <si>
    <t>4358</t>
  </si>
  <si>
    <t>13 680 Ft</t>
  </si>
  <si>
    <t>116994</t>
  </si>
  <si>
    <t>990 Ft</t>
  </si>
  <si>
    <t>2 413 885 Ft</t>
  </si>
  <si>
    <t>2445</t>
  </si>
  <si>
    <t>23 000 Ft</t>
  </si>
  <si>
    <t>80415</t>
  </si>
  <si>
    <t>1 360 Ft</t>
  </si>
  <si>
    <t>2 489 370 Ft</t>
  </si>
  <si>
    <t>1987</t>
  </si>
  <si>
    <t>27 855 Ft</t>
  </si>
  <si>
    <t>64433</t>
  </si>
  <si>
    <t>4 631 210 Ft</t>
  </si>
  <si>
    <t>1605</t>
  </si>
  <si>
    <t>33 605 Ft</t>
  </si>
  <si>
    <t>54209</t>
  </si>
  <si>
    <t>1 935 Ft</t>
  </si>
  <si>
    <t>4 041 000 Ft</t>
  </si>
  <si>
    <t>1732</t>
  </si>
  <si>
    <t>32 115 Ft</t>
  </si>
  <si>
    <t>59733</t>
  </si>
  <si>
    <t>3 431 790 Ft</t>
  </si>
  <si>
    <t>1862</t>
  </si>
  <si>
    <t>29 270 Ft</t>
  </si>
  <si>
    <t>60128</t>
  </si>
  <si>
    <t>356 532 130 Ft</t>
  </si>
  <si>
    <t>216</t>
  </si>
  <si>
    <t>255 160 Ft</t>
  </si>
  <si>
    <t>8671</t>
  </si>
  <si>
    <t>6 730 Ft</t>
  </si>
  <si>
    <t>136140</t>
  </si>
  <si>
    <t>835 Ft</t>
  </si>
  <si>
    <t>1 894 895 Ft</t>
  </si>
  <si>
    <t>3277</t>
  </si>
  <si>
    <t>17 755 Ft</t>
  </si>
  <si>
    <t>80563</t>
  </si>
  <si>
    <t>2 572 455 Ft</t>
  </si>
  <si>
    <t>3019</t>
  </si>
  <si>
    <t>19 850 Ft</t>
  </si>
  <si>
    <t>81331</t>
  </si>
  <si>
    <t>1 135 310 Ft</t>
  </si>
  <si>
    <t>3979</t>
  </si>
  <si>
    <t>109198</t>
  </si>
  <si>
    <t>1 090 Ft</t>
  </si>
  <si>
    <t>1 204 000 Ft</t>
  </si>
  <si>
    <t>1940</t>
  </si>
  <si>
    <t>29 570 Ft</t>
  </si>
  <si>
    <t>61830</t>
  </si>
  <si>
    <t>1 574 275 Ft</t>
  </si>
  <si>
    <t>3080</t>
  </si>
  <si>
    <t>18 400 Ft</t>
  </si>
  <si>
    <t>85366</t>
  </si>
  <si>
    <t>2 898 540 Ft</t>
  </si>
  <si>
    <t>2494</t>
  </si>
  <si>
    <t>23 380 Ft</t>
  </si>
  <si>
    <t>82121</t>
  </si>
  <si>
    <t>1 335 815 Ft</t>
  </si>
  <si>
    <t>3078</t>
  </si>
  <si>
    <t>21 595 Ft</t>
  </si>
  <si>
    <t>90641</t>
  </si>
  <si>
    <t>1 962 430 Ft</t>
  </si>
  <si>
    <t>2619</t>
  </si>
  <si>
    <t>21 420 Ft</t>
  </si>
  <si>
    <t>76790</t>
  </si>
  <si>
    <t>2 589 425 Ft</t>
  </si>
  <si>
    <t>2009</t>
  </si>
  <si>
    <t>27 295 Ft</t>
  </si>
  <si>
    <t>68627</t>
  </si>
  <si>
    <t>867 925 Ft</t>
  </si>
  <si>
    <t>4222</t>
  </si>
  <si>
    <t>12 840 Ft</t>
  </si>
  <si>
    <t>90446</t>
  </si>
  <si>
    <t>1 165 Ft</t>
  </si>
  <si>
    <t>783 562 710 Ft</t>
  </si>
  <si>
    <t>1 400 670 Ft</t>
  </si>
  <si>
    <t>3494</t>
  </si>
  <si>
    <t>17 825 Ft</t>
  </si>
  <si>
    <t>91530</t>
  </si>
  <si>
    <t>1 048 870 Ft</t>
  </si>
  <si>
    <t>15 080 Ft</t>
  </si>
  <si>
    <t>100024</t>
  </si>
  <si>
    <t>1 275 090 Ft</t>
  </si>
  <si>
    <t>3017</t>
  </si>
  <si>
    <t>18 795 Ft</t>
  </si>
  <si>
    <t>89284</t>
  </si>
  <si>
    <t>2 312 945 Ft</t>
  </si>
  <si>
    <t>23 835 Ft</t>
  </si>
  <si>
    <t>68958</t>
  </si>
  <si>
    <t>1 655 Ft</t>
  </si>
  <si>
    <t>1 273 500 Ft</t>
  </si>
  <si>
    <t>3342</t>
  </si>
  <si>
    <t>16 945 Ft</t>
  </si>
  <si>
    <t>84873</t>
  </si>
  <si>
    <t>1 498 460 Ft</t>
  </si>
  <si>
    <t>3048</t>
  </si>
  <si>
    <t>19 780 Ft</t>
  </si>
  <si>
    <t>79578</t>
  </si>
  <si>
    <t>1 475 Ft</t>
  </si>
  <si>
    <t>2 506 310 Ft</t>
  </si>
  <si>
    <t>1742</t>
  </si>
  <si>
    <t>33 515 Ft</t>
  </si>
  <si>
    <t>61425</t>
  </si>
  <si>
    <t>2 033 510 Ft</t>
  </si>
  <si>
    <t>3115</t>
  </si>
  <si>
    <t>17 970 Ft</t>
  </si>
  <si>
    <t>81826</t>
  </si>
  <si>
    <t>467 849 960 Ft</t>
  </si>
  <si>
    <t>2 595 460 Ft</t>
  </si>
  <si>
    <t>2904</t>
  </si>
  <si>
    <t>20 820 Ft</t>
  </si>
  <si>
    <t>86952</t>
  </si>
  <si>
    <t>2 039 795 Ft</t>
  </si>
  <si>
    <t>3344</t>
  </si>
  <si>
    <t>18 730 Ft</t>
  </si>
  <si>
    <t>1 910 065 Ft</t>
  </si>
  <si>
    <t>2955</t>
  </si>
  <si>
    <t>20 530 Ft</t>
  </si>
  <si>
    <t>86050</t>
  </si>
  <si>
    <t>1 370 Ft</t>
  </si>
  <si>
    <t>3 384 925 Ft</t>
  </si>
  <si>
    <t>1729</t>
  </si>
  <si>
    <t>33 165 Ft</t>
  </si>
  <si>
    <t>60555</t>
  </si>
  <si>
    <t>1 496 723 740 Ft</t>
  </si>
  <si>
    <t>1 481 290 Ft</t>
  </si>
  <si>
    <t>3797</t>
  </si>
  <si>
    <t>19 000 Ft</t>
  </si>
  <si>
    <t>107680</t>
  </si>
  <si>
    <t>1 909 780 Ft</t>
  </si>
  <si>
    <t>3963</t>
  </si>
  <si>
    <t>18 370 Ft</t>
  </si>
  <si>
    <t>119122</t>
  </si>
  <si>
    <t>1 455 Ft</t>
  </si>
  <si>
    <t>2 442 905 Ft</t>
  </si>
  <si>
    <t>2916</t>
  </si>
  <si>
    <t>22 175 Ft</t>
  </si>
  <si>
    <t>88545</t>
  </si>
  <si>
    <t>2015</t>
  </si>
  <si>
    <t>1 330 075 Ft</t>
  </si>
  <si>
    <t>3612</t>
  </si>
  <si>
    <t>19 105 Ft</t>
  </si>
  <si>
    <t>99691</t>
  </si>
  <si>
    <t>943 155 Ft</t>
  </si>
  <si>
    <t>4354</t>
  </si>
  <si>
    <t>13 760 Ft</t>
  </si>
  <si>
    <t>110681</t>
  </si>
  <si>
    <t>2 873 360 Ft</t>
  </si>
  <si>
    <t>29 580 Ft</t>
  </si>
  <si>
    <t>76293</t>
  </si>
  <si>
    <t>2 477 585 Ft</t>
  </si>
  <si>
    <t>2346</t>
  </si>
  <si>
    <t>26 835 Ft</t>
  </si>
  <si>
    <t>77042</t>
  </si>
  <si>
    <t>1 099 160 Ft</t>
  </si>
  <si>
    <t>3810</t>
  </si>
  <si>
    <t>96456</t>
  </si>
  <si>
    <t>1 245 Ft</t>
  </si>
  <si>
    <t>2 670 505 Ft</t>
  </si>
  <si>
    <t>2403</t>
  </si>
  <si>
    <t>24 710 Ft</t>
  </si>
  <si>
    <t>75831</t>
  </si>
  <si>
    <t>2 478 740 Ft</t>
  </si>
  <si>
    <t>2515</t>
  </si>
  <si>
    <t>24 000 Ft</t>
  </si>
  <si>
    <t>69459</t>
  </si>
  <si>
    <t>2 088 280 Ft</t>
  </si>
  <si>
    <t>3514</t>
  </si>
  <si>
    <t>20 765 Ft</t>
  </si>
  <si>
    <t>102154</t>
  </si>
  <si>
    <t>1 585 Ft</t>
  </si>
  <si>
    <t>2 973 970 Ft</t>
  </si>
  <si>
    <t>34 905 Ft</t>
  </si>
  <si>
    <t>64445</t>
  </si>
  <si>
    <t>1 970 280 Ft</t>
  </si>
  <si>
    <t>21 170 Ft</t>
  </si>
  <si>
    <t>76792</t>
  </si>
  <si>
    <t>892 550 Ft</t>
  </si>
  <si>
    <t>3073</t>
  </si>
  <si>
    <t>17 835 Ft</t>
  </si>
  <si>
    <t>1 786 189 915 Ft</t>
  </si>
  <si>
    <t>747 435 Ft</t>
  </si>
  <si>
    <t>6310</t>
  </si>
  <si>
    <t>11 035 Ft</t>
  </si>
  <si>
    <t>141579</t>
  </si>
  <si>
    <t>955 Ft</t>
  </si>
  <si>
    <t>1 548 785 Ft</t>
  </si>
  <si>
    <t>3202</t>
  </si>
  <si>
    <t>21 510 Ft</t>
  </si>
  <si>
    <t>83934</t>
  </si>
  <si>
    <t>1 409 885 Ft</t>
  </si>
  <si>
    <t>4599</t>
  </si>
  <si>
    <t>14 280 Ft</t>
  </si>
  <si>
    <t>116302</t>
  </si>
  <si>
    <t>1 100 Ft</t>
  </si>
  <si>
    <t>3 206 220 Ft</t>
  </si>
  <si>
    <t>2124</t>
  </si>
  <si>
    <t>30 370 Ft</t>
  </si>
  <si>
    <t>74209</t>
  </si>
  <si>
    <t>903 325 Ft</t>
  </si>
  <si>
    <t>4400</t>
  </si>
  <si>
    <t>15 215 Ft</t>
  </si>
  <si>
    <t>103387</t>
  </si>
  <si>
    <t>1 260 Ft</t>
  </si>
  <si>
    <t>2 129 870 Ft</t>
  </si>
  <si>
    <t>2737</t>
  </si>
  <si>
    <t>24 720 Ft</t>
  </si>
  <si>
    <t>83686</t>
  </si>
  <si>
    <t>2 708 425 Ft</t>
  </si>
  <si>
    <t>2287</t>
  </si>
  <si>
    <t>27 585 Ft</t>
  </si>
  <si>
    <t>72332</t>
  </si>
  <si>
    <t>2 127 820 Ft</t>
  </si>
  <si>
    <t>2900</t>
  </si>
  <si>
    <t>85643</t>
  </si>
  <si>
    <t>2 440 620 Ft</t>
  </si>
  <si>
    <t>27 515 Ft</t>
  </si>
  <si>
    <t>69909</t>
  </si>
  <si>
    <t>1 682 700 Ft</t>
  </si>
  <si>
    <t>3440</t>
  </si>
  <si>
    <t>17 610 Ft</t>
  </si>
  <si>
    <t>98464</t>
  </si>
  <si>
    <t>2 015 925 Ft</t>
  </si>
  <si>
    <t>2437</t>
  </si>
  <si>
    <t>24 525 Ft</t>
  </si>
  <si>
    <t>78307</t>
  </si>
  <si>
    <t>1 485 Ft</t>
  </si>
  <si>
    <t>2 137 970 Ft</t>
  </si>
  <si>
    <t>2696</t>
  </si>
  <si>
    <t>21 830 Ft</t>
  </si>
  <si>
    <t>79316</t>
  </si>
  <si>
    <t>1 445 Ft</t>
  </si>
  <si>
    <t>1 299 130 Ft</t>
  </si>
  <si>
    <t>2727</t>
  </si>
  <si>
    <t>78300</t>
  </si>
  <si>
    <t>1 487 680 Ft</t>
  </si>
  <si>
    <t>3562</t>
  </si>
  <si>
    <t>16 805 Ft</t>
  </si>
  <si>
    <t>104090</t>
  </si>
  <si>
    <t>1 120 Ft</t>
  </si>
  <si>
    <t>1 743 280 Ft</t>
  </si>
  <si>
    <t>19 075 Ft</t>
  </si>
  <si>
    <t>94999</t>
  </si>
  <si>
    <t>4 532 965 Ft</t>
  </si>
  <si>
    <t>1373</t>
  </si>
  <si>
    <t>41 950 Ft</t>
  </si>
  <si>
    <t>53345</t>
  </si>
  <si>
    <t>1 238 660 Ft</t>
  </si>
  <si>
    <t>3084</t>
  </si>
  <si>
    <t>88754</t>
  </si>
  <si>
    <t>157 018 845 Ft</t>
  </si>
  <si>
    <t>2 005 680 Ft</t>
  </si>
  <si>
    <t>2664</t>
  </si>
  <si>
    <t>23 120 Ft</t>
  </si>
  <si>
    <t>82801</t>
  </si>
  <si>
    <t>1 094 305 Ft</t>
  </si>
  <si>
    <t>4336</t>
  </si>
  <si>
    <t>14 695 Ft</t>
  </si>
  <si>
    <t>114733</t>
  </si>
  <si>
    <t>1 080 Ft</t>
  </si>
  <si>
    <t>3 506 065 Ft</t>
  </si>
  <si>
    <t>2008</t>
  </si>
  <si>
    <t>31 430 Ft</t>
  </si>
  <si>
    <t>69579</t>
  </si>
  <si>
    <t>5 049 127 895 Ft</t>
  </si>
  <si>
    <t>2 165 720 Ft</t>
  </si>
  <si>
    <t>5533</t>
  </si>
  <si>
    <t>21 550 Ft</t>
  </si>
  <si>
    <t>162929</t>
  </si>
  <si>
    <t>1 715 340 Ft</t>
  </si>
  <si>
    <t>5929</t>
  </si>
  <si>
    <t>19 605 Ft</t>
  </si>
  <si>
    <t>163245</t>
  </si>
  <si>
    <t>1 348 730 Ft</t>
  </si>
  <si>
    <t>7766</t>
  </si>
  <si>
    <t>205116</t>
  </si>
  <si>
    <t>1 089 310 Ft</t>
  </si>
  <si>
    <t>6831</t>
  </si>
  <si>
    <t>16 380 Ft</t>
  </si>
  <si>
    <t>169939</t>
  </si>
  <si>
    <t>1 280 Ft</t>
  </si>
  <si>
    <t>2 756 855 Ft</t>
  </si>
  <si>
    <t>3870</t>
  </si>
  <si>
    <t>27 155 Ft</t>
  </si>
  <si>
    <t>127720</t>
  </si>
  <si>
    <t>2 726 480 Ft</t>
  </si>
  <si>
    <t>27 370 Ft</t>
  </si>
  <si>
    <t>118692</t>
  </si>
  <si>
    <t>1 860 415 Ft</t>
  </si>
  <si>
    <t>4725</t>
  </si>
  <si>
    <t>22 095 Ft</t>
  </si>
  <si>
    <t>139425</t>
  </si>
  <si>
    <t>1 279 280 Ft</t>
  </si>
  <si>
    <t>6592</t>
  </si>
  <si>
    <t>175066</t>
  </si>
  <si>
    <t>2 116 875 Ft</t>
  </si>
  <si>
    <t>5244</t>
  </si>
  <si>
    <t>20 090 Ft</t>
  </si>
  <si>
    <t>147278</t>
  </si>
  <si>
    <t>2 727 040 Ft</t>
  </si>
  <si>
    <t>4573</t>
  </si>
  <si>
    <t>21 470 Ft</t>
  </si>
  <si>
    <t>132409</t>
  </si>
  <si>
    <t>1 620 735 Ft</t>
  </si>
  <si>
    <t>4613</t>
  </si>
  <si>
    <t>20 830 Ft</t>
  </si>
  <si>
    <t>129754</t>
  </si>
  <si>
    <t>1 440 Ft</t>
  </si>
  <si>
    <t>1 738 025 Ft</t>
  </si>
  <si>
    <t>5030</t>
  </si>
  <si>
    <t>20 490 Ft</t>
  </si>
  <si>
    <t>147747</t>
  </si>
  <si>
    <t>1 845 210 Ft</t>
  </si>
  <si>
    <t>6190</t>
  </si>
  <si>
    <t>14 520 Ft</t>
  </si>
  <si>
    <t>167385</t>
  </si>
  <si>
    <t>1 045 Ft</t>
  </si>
  <si>
    <t>1 578 995 Ft</t>
  </si>
  <si>
    <t>5018</t>
  </si>
  <si>
    <t>16 325 Ft</t>
  </si>
  <si>
    <t>140271</t>
  </si>
  <si>
    <t>3 376 465 Ft</t>
  </si>
  <si>
    <t>2923</t>
  </si>
  <si>
    <t>26 910 Ft</t>
  </si>
  <si>
    <t>99358</t>
  </si>
  <si>
    <t>2 327 085 Ft</t>
  </si>
  <si>
    <t>3149</t>
  </si>
  <si>
    <t>26 605 Ft</t>
  </si>
  <si>
    <t>96715</t>
  </si>
  <si>
    <t>1 685 Ft</t>
  </si>
  <si>
    <t>921 545 Ft</t>
  </si>
  <si>
    <t>5074</t>
  </si>
  <si>
    <t>14 425 Ft</t>
  </si>
  <si>
    <t>121485</t>
  </si>
  <si>
    <t>1 170 Ft</t>
  </si>
  <si>
    <t>1 544 615 Ft</t>
  </si>
  <si>
    <t>3970</t>
  </si>
  <si>
    <t>106323</t>
  </si>
  <si>
    <t>2 851 625 Ft</t>
  </si>
  <si>
    <t>3105</t>
  </si>
  <si>
    <t>23 340 Ft</t>
  </si>
  <si>
    <t>102267</t>
  </si>
  <si>
    <t>2 496 165 Ft</t>
  </si>
  <si>
    <t>2951</t>
  </si>
  <si>
    <t>25 080 Ft</t>
  </si>
  <si>
    <t>91268</t>
  </si>
  <si>
    <t>135</t>
  </si>
  <si>
    <t>460 425 Ft</t>
  </si>
  <si>
    <t>8683</t>
  </si>
  <si>
    <t>7 580 Ft</t>
  </si>
  <si>
    <t>164999</t>
  </si>
  <si>
    <t>775 Ft</t>
  </si>
  <si>
    <t>6 127 020 Ft</t>
  </si>
  <si>
    <t>1881</t>
  </si>
  <si>
    <t>34 490 Ft</t>
  </si>
  <si>
    <t>65981</t>
  </si>
  <si>
    <t>2014</t>
  </si>
  <si>
    <t>1 988 390 Ft</t>
  </si>
  <si>
    <t>3275</t>
  </si>
  <si>
    <t>18 645 Ft</t>
  </si>
  <si>
    <t>97256</t>
  </si>
  <si>
    <t>2 326 960 Ft</t>
  </si>
  <si>
    <t>2901</t>
  </si>
  <si>
    <t>22 080 Ft</t>
  </si>
  <si>
    <t>98340</t>
  </si>
  <si>
    <t>2 015 140 Ft</t>
  </si>
  <si>
    <t>3236</t>
  </si>
  <si>
    <t>120714</t>
  </si>
  <si>
    <t>1 030 Ft</t>
  </si>
  <si>
    <t>183</t>
  </si>
  <si>
    <t>321 410 Ft</t>
  </si>
  <si>
    <t>8435</t>
  </si>
  <si>
    <t>7 385 Ft</t>
  </si>
  <si>
    <t>154649</t>
  </si>
  <si>
    <t>785 Ft</t>
  </si>
  <si>
    <t>1 277 295 Ft</t>
  </si>
  <si>
    <t>2812</t>
  </si>
  <si>
    <t>21 160 Ft</t>
  </si>
  <si>
    <t>75936</t>
  </si>
  <si>
    <t>91</t>
  </si>
  <si>
    <t>618 250 Ft</t>
  </si>
  <si>
    <t>4139</t>
  </si>
  <si>
    <t>14 390 Ft</t>
  </si>
  <si>
    <t>90485</t>
  </si>
  <si>
    <t>1 167 555 Ft</t>
  </si>
  <si>
    <t>3912</t>
  </si>
  <si>
    <t>15 485 Ft</t>
  </si>
  <si>
    <t>103212</t>
  </si>
  <si>
    <t>1 140 Ft</t>
  </si>
  <si>
    <t>3 960 320 Ft</t>
  </si>
  <si>
    <t>1964</t>
  </si>
  <si>
    <t>29 890 Ft</t>
  </si>
  <si>
    <t>63537</t>
  </si>
  <si>
    <t>2 593 950 Ft</t>
  </si>
  <si>
    <t>1968</t>
  </si>
  <si>
    <t>55876</t>
  </si>
  <si>
    <t>1 101 905 Ft</t>
  </si>
  <si>
    <t>3055</t>
  </si>
  <si>
    <t>17 950 Ft</t>
  </si>
  <si>
    <t>79286</t>
  </si>
  <si>
    <t>2 374 635 Ft</t>
  </si>
  <si>
    <t>2388</t>
  </si>
  <si>
    <t>24 215 Ft</t>
  </si>
  <si>
    <t>77794</t>
  </si>
  <si>
    <t>2 647 925 Ft</t>
  </si>
  <si>
    <t>2262</t>
  </si>
  <si>
    <t>73096</t>
  </si>
  <si>
    <t>1 241 620 Ft</t>
  </si>
  <si>
    <t>4009</t>
  </si>
  <si>
    <t>14 100 Ft</t>
  </si>
  <si>
    <t>102739</t>
  </si>
  <si>
    <t>1 070 Ft</t>
  </si>
  <si>
    <t>2 101 530 Ft</t>
  </si>
  <si>
    <t>3393</t>
  </si>
  <si>
    <t>16 395 Ft</t>
  </si>
  <si>
    <t>83169</t>
  </si>
  <si>
    <t>1 300 Ft</t>
  </si>
  <si>
    <t>100</t>
  </si>
  <si>
    <t>529 215 Ft</t>
  </si>
  <si>
    <t>5748</t>
  </si>
  <si>
    <t>9 750 Ft</t>
  </si>
  <si>
    <t>116451</t>
  </si>
  <si>
    <t>935 Ft</t>
  </si>
  <si>
    <t>2 428 080 Ft</t>
  </si>
  <si>
    <t>2394</t>
  </si>
  <si>
    <t>23 625 Ft</t>
  </si>
  <si>
    <t>76973</t>
  </si>
  <si>
    <t>387 392 635 Ft</t>
  </si>
  <si>
    <t>793 275 Ft</t>
  </si>
  <si>
    <t>4717</t>
  </si>
  <si>
    <t>12 465 Ft</t>
  </si>
  <si>
    <t>104031</t>
  </si>
  <si>
    <t>2 599 165 Ft</t>
  </si>
  <si>
    <t>3000</t>
  </si>
  <si>
    <t>19 265 Ft</t>
  </si>
  <si>
    <t>90999</t>
  </si>
  <si>
    <t>1 444 205 Ft</t>
  </si>
  <si>
    <t>3044</t>
  </si>
  <si>
    <t>18 585 Ft</t>
  </si>
  <si>
    <t>77213</t>
  </si>
  <si>
    <t>2 332 290 Ft</t>
  </si>
  <si>
    <t>2632</t>
  </si>
  <si>
    <t>22 520 Ft</t>
  </si>
  <si>
    <t>77170</t>
  </si>
  <si>
    <t>97 974 140 Ft</t>
  </si>
  <si>
    <t>1 291 130 Ft</t>
  </si>
  <si>
    <t>2713</t>
  </si>
  <si>
    <t>75043</t>
  </si>
  <si>
    <t>192 866 270 Ft</t>
  </si>
  <si>
    <t>3 443 595 Ft</t>
  </si>
  <si>
    <t>1707</t>
  </si>
  <si>
    <t>34 175 Ft</t>
  </si>
  <si>
    <t>61199</t>
  </si>
  <si>
    <t>1 855 Ft</t>
  </si>
  <si>
    <t>1 178 115 Ft</t>
  </si>
  <si>
    <t>3991</t>
  </si>
  <si>
    <t>14 380 Ft</t>
  </si>
  <si>
    <t>98165</t>
  </si>
  <si>
    <t>2 049 176 095 Ft</t>
  </si>
  <si>
    <t>182</t>
  </si>
  <si>
    <t>417 300 Ft</t>
  </si>
  <si>
    <t>9571</t>
  </si>
  <si>
    <t>8 400 Ft</t>
  </si>
  <si>
    <t>180194</t>
  </si>
  <si>
    <t>870 Ft</t>
  </si>
  <si>
    <t>1 500 895 Ft</t>
  </si>
  <si>
    <t>4999</t>
  </si>
  <si>
    <t>16 215 Ft</t>
  </si>
  <si>
    <t>125770</t>
  </si>
  <si>
    <t>1 255 Ft</t>
  </si>
  <si>
    <t>4 341 245 Ft</t>
  </si>
  <si>
    <t>29 825 Ft</t>
  </si>
  <si>
    <t>86073</t>
  </si>
  <si>
    <t>1 637 025 Ft</t>
  </si>
  <si>
    <t>3481</t>
  </si>
  <si>
    <t>20 415 Ft</t>
  </si>
  <si>
    <t>100099</t>
  </si>
  <si>
    <t>1 766 980 Ft</t>
  </si>
  <si>
    <t>3909</t>
  </si>
  <si>
    <t>18 190 Ft</t>
  </si>
  <si>
    <t>114356</t>
  </si>
  <si>
    <t>839 870 Ft</t>
  </si>
  <si>
    <t>6612</t>
  </si>
  <si>
    <t>11 565 Ft</t>
  </si>
  <si>
    <t>146558</t>
  </si>
  <si>
    <t>1 015 Ft</t>
  </si>
  <si>
    <t>2 185 270 Ft</t>
  </si>
  <si>
    <t>3366</t>
  </si>
  <si>
    <t>20 620 Ft</t>
  </si>
  <si>
    <t>107450</t>
  </si>
  <si>
    <t>1 861 765 Ft</t>
  </si>
  <si>
    <t>3310</t>
  </si>
  <si>
    <t>20 250 Ft</t>
  </si>
  <si>
    <t>95982</t>
  </si>
  <si>
    <t>2 656 565 Ft</t>
  </si>
  <si>
    <t>66919</t>
  </si>
  <si>
    <t>1 784 205 Ft</t>
  </si>
  <si>
    <t>3177</t>
  </si>
  <si>
    <t>21 405 Ft</t>
  </si>
  <si>
    <t>97164</t>
  </si>
  <si>
    <t>1 625 590 Ft</t>
  </si>
  <si>
    <t>4235</t>
  </si>
  <si>
    <t>15 445 Ft</t>
  </si>
  <si>
    <t>99919</t>
  </si>
  <si>
    <t>115</t>
  </si>
  <si>
    <t>511 905 Ft</t>
  </si>
  <si>
    <t>7611</t>
  </si>
  <si>
    <t>8 190 Ft</t>
  </si>
  <si>
    <t>150973</t>
  </si>
  <si>
    <t>805 Ft</t>
  </si>
  <si>
    <t>1 553 935 Ft</t>
  </si>
  <si>
    <t>3201</t>
  </si>
  <si>
    <t>20 045 Ft</t>
  </si>
  <si>
    <t>90415</t>
  </si>
  <si>
    <t>3 358 825 Ft</t>
  </si>
  <si>
    <t>2278</t>
  </si>
  <si>
    <t>29 665 Ft</t>
  </si>
  <si>
    <t>75707</t>
  </si>
  <si>
    <t>997 505 Ft</t>
  </si>
  <si>
    <t>4127</t>
  </si>
  <si>
    <t>15 610 Ft</t>
  </si>
  <si>
    <t>102077</t>
  </si>
  <si>
    <t>1 571 065 Ft</t>
  </si>
  <si>
    <t>3672</t>
  </si>
  <si>
    <t>16 760 Ft</t>
  </si>
  <si>
    <t>96333</t>
  </si>
  <si>
    <t>2 117 515 Ft</t>
  </si>
  <si>
    <t>2992</t>
  </si>
  <si>
    <t>20 235 Ft</t>
  </si>
  <si>
    <t>90296</t>
  </si>
  <si>
    <t>4 096 490 Ft</t>
  </si>
  <si>
    <t>30 090 Ft</t>
  </si>
  <si>
    <t>79691</t>
  </si>
  <si>
    <t>3 054 187 380 Ft</t>
  </si>
  <si>
    <t>1 237 115 Ft</t>
  </si>
  <si>
    <t>5276</t>
  </si>
  <si>
    <t>18 870 Ft</t>
  </si>
  <si>
    <t>145265</t>
  </si>
  <si>
    <t>1 022 810 Ft</t>
  </si>
  <si>
    <t>6348</t>
  </si>
  <si>
    <t>15 525 Ft</t>
  </si>
  <si>
    <t>152010</t>
  </si>
  <si>
    <t>2 378 085 Ft</t>
  </si>
  <si>
    <t>4544</t>
  </si>
  <si>
    <t>20 505 Ft</t>
  </si>
  <si>
    <t>133927</t>
  </si>
  <si>
    <t>3 240 680 Ft</t>
  </si>
  <si>
    <t>30 435 Ft</t>
  </si>
  <si>
    <t>95853</t>
  </si>
  <si>
    <t>95</t>
  </si>
  <si>
    <t>947 880 Ft</t>
  </si>
  <si>
    <t>6194</t>
  </si>
  <si>
    <t>15 395 Ft</t>
  </si>
  <si>
    <t>149779</t>
  </si>
  <si>
    <t>1 316 505 Ft</t>
  </si>
  <si>
    <t>4975</t>
  </si>
  <si>
    <t>18 775 Ft</t>
  </si>
  <si>
    <t>134377</t>
  </si>
  <si>
    <t>1 973 875 Ft</t>
  </si>
  <si>
    <t>4161</t>
  </si>
  <si>
    <t>115343</t>
  </si>
  <si>
    <t>1 767 310 Ft</t>
  </si>
  <si>
    <t>4056</t>
  </si>
  <si>
    <t>129862</t>
  </si>
  <si>
    <t>1 205 Ft</t>
  </si>
  <si>
    <t>1 707 190 Ft</t>
  </si>
  <si>
    <t>4104</t>
  </si>
  <si>
    <t>18 940 Ft</t>
  </si>
  <si>
    <t>106783</t>
  </si>
  <si>
    <t>1 418 035 Ft</t>
  </si>
  <si>
    <t>3198</t>
  </si>
  <si>
    <t>22 065 Ft</t>
  </si>
  <si>
    <t>96564</t>
  </si>
  <si>
    <t>3 498 315 Ft</t>
  </si>
  <si>
    <t>3195</t>
  </si>
  <si>
    <t>22 030 Ft</t>
  </si>
  <si>
    <t>96986</t>
  </si>
  <si>
    <t>2013</t>
  </si>
  <si>
    <t>104</t>
  </si>
  <si>
    <t>589 840 Ft</t>
  </si>
  <si>
    <t>5523</t>
  </si>
  <si>
    <t>11 760 Ft</t>
  </si>
  <si>
    <t>116449</t>
  </si>
  <si>
    <t>1 008 920 Ft</t>
  </si>
  <si>
    <t>4777</t>
  </si>
  <si>
    <t>14 310 Ft</t>
  </si>
  <si>
    <t>106543</t>
  </si>
  <si>
    <t>2 239 455 Ft</t>
  </si>
  <si>
    <t>2263</t>
  </si>
  <si>
    <t>31 435 Ft</t>
  </si>
  <si>
    <t>72227</t>
  </si>
  <si>
    <t>2 672 755 Ft</t>
  </si>
  <si>
    <t>2853</t>
  </si>
  <si>
    <t>22 815 Ft</t>
  </si>
  <si>
    <t>82405</t>
  </si>
  <si>
    <t>1 946 110 Ft</t>
  </si>
  <si>
    <t>2653</t>
  </si>
  <si>
    <t>23 300 Ft</t>
  </si>
  <si>
    <t>81460</t>
  </si>
  <si>
    <t>1 856 330 Ft</t>
  </si>
  <si>
    <t>3089</t>
  </si>
  <si>
    <t>19 725 Ft</t>
  </si>
  <si>
    <t>91240</t>
  </si>
  <si>
    <t>1 238 140 Ft</t>
  </si>
  <si>
    <t>4295</t>
  </si>
  <si>
    <t>14 650 Ft</t>
  </si>
  <si>
    <t>110897</t>
  </si>
  <si>
    <t>3 882 380 Ft</t>
  </si>
  <si>
    <t>2066</t>
  </si>
  <si>
    <t>29 845 Ft</t>
  </si>
  <si>
    <t>66343</t>
  </si>
  <si>
    <t>3 869 865 Ft</t>
  </si>
  <si>
    <t>1922</t>
  </si>
  <si>
    <t>64769</t>
  </si>
  <si>
    <t>1 536 060 Ft</t>
  </si>
  <si>
    <t>3086</t>
  </si>
  <si>
    <t>18 445 Ft</t>
  </si>
  <si>
    <t>88522</t>
  </si>
  <si>
    <t>1 153 450 Ft</t>
  </si>
  <si>
    <t>16 675 Ft</t>
  </si>
  <si>
    <t>96449</t>
  </si>
  <si>
    <t>3 603 745 Ft</t>
  </si>
  <si>
    <t>1833</t>
  </si>
  <si>
    <t>33 305 Ft</t>
  </si>
  <si>
    <t>68604</t>
  </si>
  <si>
    <t>1 338 445 Ft</t>
  </si>
  <si>
    <t>3602</t>
  </si>
  <si>
    <t>16 130 Ft</t>
  </si>
  <si>
    <t>96725</t>
  </si>
  <si>
    <t>2 579 245 Ft</t>
  </si>
  <si>
    <t>2237</t>
  </si>
  <si>
    <t>25 635 Ft</t>
  </si>
  <si>
    <t>71925</t>
  </si>
  <si>
    <t>3 087 029 290 Ft</t>
  </si>
  <si>
    <t>1 608 215 Ft</t>
  </si>
  <si>
    <t>5222</t>
  </si>
  <si>
    <t>19 565 Ft</t>
  </si>
  <si>
    <t>149604</t>
  </si>
  <si>
    <t>2 770 035 Ft</t>
  </si>
  <si>
    <t>4878</t>
  </si>
  <si>
    <t>21 645 Ft</t>
  </si>
  <si>
    <t>141482</t>
  </si>
  <si>
    <t>2 612 380 Ft</t>
  </si>
  <si>
    <t>3029</t>
  </si>
  <si>
    <t>31 050 Ft</t>
  </si>
  <si>
    <t>106497</t>
  </si>
  <si>
    <t>1 204 835 Ft</t>
  </si>
  <si>
    <t>5369</t>
  </si>
  <si>
    <t>17 110 Ft</t>
  </si>
  <si>
    <t>134420</t>
  </si>
  <si>
    <t>1 460 575 Ft</t>
  </si>
  <si>
    <t>5280</t>
  </si>
  <si>
    <t>16 110 Ft</t>
  </si>
  <si>
    <t>138169</t>
  </si>
  <si>
    <t>1 293 085 Ft</t>
  </si>
  <si>
    <t>5784</t>
  </si>
  <si>
    <t>16 335 Ft</t>
  </si>
  <si>
    <t>152325</t>
  </si>
  <si>
    <t>2 002 915 Ft</t>
  </si>
  <si>
    <t>3235</t>
  </si>
  <si>
    <t>26 220 Ft</t>
  </si>
  <si>
    <t>101440</t>
  </si>
  <si>
    <t>1 625 Ft</t>
  </si>
  <si>
    <t>6 513 545 Ft</t>
  </si>
  <si>
    <t>2152</t>
  </si>
  <si>
    <t>35 255 Ft</t>
  </si>
  <si>
    <t>74477</t>
  </si>
  <si>
    <t>2 393 025 Ft</t>
  </si>
  <si>
    <t>2370</t>
  </si>
  <si>
    <t>29 935 Ft</t>
  </si>
  <si>
    <t>72821</t>
  </si>
  <si>
    <t>1 339 140 Ft</t>
  </si>
  <si>
    <t>3298</t>
  </si>
  <si>
    <t>21 495 Ft</t>
  </si>
  <si>
    <t>88232</t>
  </si>
  <si>
    <t>1 560 Ft</t>
  </si>
  <si>
    <t>879 990 Ft</t>
  </si>
  <si>
    <t>5446</t>
  </si>
  <si>
    <t>135416</t>
  </si>
  <si>
    <t>1 958 260 Ft</t>
  </si>
  <si>
    <t>2509</t>
  </si>
  <si>
    <t>26 445 Ft</t>
  </si>
  <si>
    <t>76371</t>
  </si>
  <si>
    <t>2 423 855 Ft</t>
  </si>
  <si>
    <t>23 695 Ft</t>
  </si>
  <si>
    <t>80811</t>
  </si>
  <si>
    <t>1 202 810 Ft</t>
  </si>
  <si>
    <t>3843</t>
  </si>
  <si>
    <t>16 570 Ft</t>
  </si>
  <si>
    <t>100336</t>
  </si>
  <si>
    <t>2 600 995 Ft</t>
  </si>
  <si>
    <t>3031</t>
  </si>
  <si>
    <t>21 805 Ft</t>
  </si>
  <si>
    <t>91514</t>
  </si>
  <si>
    <t>901 810 Ft</t>
  </si>
  <si>
    <t>3888</t>
  </si>
  <si>
    <t>15 965 Ft</t>
  </si>
  <si>
    <t>100432</t>
  </si>
  <si>
    <t>1 822 160 Ft</t>
  </si>
  <si>
    <t>2836</t>
  </si>
  <si>
    <t>21 090 Ft</t>
  </si>
  <si>
    <t>84605</t>
  </si>
  <si>
    <t>2 621 100 Ft</t>
  </si>
  <si>
    <t>2514</t>
  </si>
  <si>
    <t>23 185 Ft</t>
  </si>
  <si>
    <t>83643</t>
  </si>
  <si>
    <t>1 170 195 Ft</t>
  </si>
  <si>
    <t>3886</t>
  </si>
  <si>
    <t>15 940 Ft</t>
  </si>
  <si>
    <t>92455</t>
  </si>
  <si>
    <t>3 085 470 Ft</t>
  </si>
  <si>
    <t>2334</t>
  </si>
  <si>
    <t>25 195 Ft</t>
  </si>
  <si>
    <t>70337</t>
  </si>
  <si>
    <t>1 263 835 Ft</t>
  </si>
  <si>
    <t>2880</t>
  </si>
  <si>
    <t>19 050 Ft</t>
  </si>
  <si>
    <t>77836</t>
  </si>
  <si>
    <t>2 719 140 Ft</t>
  </si>
  <si>
    <t>1971</t>
  </si>
  <si>
    <t>27 755 Ft</t>
  </si>
  <si>
    <t>66849</t>
  </si>
  <si>
    <t>1 281 990 Ft</t>
  </si>
  <si>
    <t>2948</t>
  </si>
  <si>
    <t>18 880 Ft</t>
  </si>
  <si>
    <t>80349</t>
  </si>
  <si>
    <t>3 981 370 Ft</t>
  </si>
  <si>
    <t>2054</t>
  </si>
  <si>
    <t>28 735 Ft</t>
  </si>
  <si>
    <t>67645</t>
  </si>
  <si>
    <t>2 161 905 Ft</t>
  </si>
  <si>
    <t>2038</t>
  </si>
  <si>
    <t>26 955 Ft</t>
  </si>
  <si>
    <t>65536</t>
  </si>
  <si>
    <t>1 630 Ft</t>
  </si>
  <si>
    <t>1 644 285 Ft</t>
  </si>
  <si>
    <t>3470</t>
  </si>
  <si>
    <t>16 055 Ft</t>
  </si>
  <si>
    <t>94357</t>
  </si>
  <si>
    <t>1 150 Ft</t>
  </si>
  <si>
    <t>1 200 965 310 Ft</t>
  </si>
  <si>
    <t>1 292 725 Ft</t>
  </si>
  <si>
    <t>4077</t>
  </si>
  <si>
    <t>17 120 Ft</t>
  </si>
  <si>
    <t>98283</t>
  </si>
  <si>
    <t>1 044 400 Ft</t>
  </si>
  <si>
    <t>4892</t>
  </si>
  <si>
    <t>13 790 Ft</t>
  </si>
  <si>
    <t>120380</t>
  </si>
  <si>
    <t>1 371 185 Ft</t>
  </si>
  <si>
    <t>3844</t>
  </si>
  <si>
    <t>17 750 Ft</t>
  </si>
  <si>
    <t>105135</t>
  </si>
  <si>
    <t>980 230 Ft</t>
  </si>
  <si>
    <t>4555</t>
  </si>
  <si>
    <t>13 670 Ft</t>
  </si>
  <si>
    <t>108672</t>
  </si>
  <si>
    <t>1 115 Ft</t>
  </si>
  <si>
    <t>2 493 745 Ft</t>
  </si>
  <si>
    <t>2523</t>
  </si>
  <si>
    <t>24 070 Ft</t>
  </si>
  <si>
    <t>91674</t>
  </si>
  <si>
    <t>1 275 935 Ft</t>
  </si>
  <si>
    <t>4748</t>
  </si>
  <si>
    <t>13 660 Ft</t>
  </si>
  <si>
    <t>119257</t>
  </si>
  <si>
    <t>1 833 285 Ft</t>
  </si>
  <si>
    <t>2719</t>
  </si>
  <si>
    <t>22 130 Ft</t>
  </si>
  <si>
    <t>75619</t>
  </si>
  <si>
    <t>518 535 Ft</t>
  </si>
  <si>
    <t>6254</t>
  </si>
  <si>
    <t>8 955 Ft</t>
  </si>
  <si>
    <t>129054</t>
  </si>
  <si>
    <t>845 Ft</t>
  </si>
  <si>
    <t>1 018 395 Ft</t>
  </si>
  <si>
    <t>4292</t>
  </si>
  <si>
    <t>13 065 Ft</t>
  </si>
  <si>
    <t>100847</t>
  </si>
  <si>
    <t>1 543 365 Ft</t>
  </si>
  <si>
    <t>3578</t>
  </si>
  <si>
    <t>15 530 Ft</t>
  </si>
  <si>
    <t>93551</t>
  </si>
  <si>
    <t>1 155 Ft</t>
  </si>
  <si>
    <t>1 327 045 Ft</t>
  </si>
  <si>
    <t>3103</t>
  </si>
  <si>
    <t>19 470 Ft</t>
  </si>
  <si>
    <t>88656</t>
  </si>
  <si>
    <t>1 415 181 595 Ft</t>
  </si>
  <si>
    <t>1 939 390 Ft</t>
  </si>
  <si>
    <t>3385</t>
  </si>
  <si>
    <t>19 410 Ft</t>
  </si>
  <si>
    <t>93135</t>
  </si>
  <si>
    <t>2012</t>
  </si>
  <si>
    <t>1 785 600 Ft</t>
  </si>
  <si>
    <t>2945</t>
  </si>
  <si>
    <t>23 110 Ft</t>
  </si>
  <si>
    <t>82960</t>
  </si>
  <si>
    <t>1 835 Ft</t>
  </si>
  <si>
    <t>1 021 470 Ft</t>
  </si>
  <si>
    <t>16 745 Ft</t>
  </si>
  <si>
    <t>107513</t>
  </si>
  <si>
    <t>2 767 885 Ft</t>
  </si>
  <si>
    <t>2125</t>
  </si>
  <si>
    <t>30 340 Ft</t>
  </si>
  <si>
    <t>73504</t>
  </si>
  <si>
    <t>1 615 880 Ft</t>
  </si>
  <si>
    <t>34 220 Ft</t>
  </si>
  <si>
    <t>66291</t>
  </si>
  <si>
    <t>1 006 670 Ft</t>
  </si>
  <si>
    <t>3484</t>
  </si>
  <si>
    <t>17 440 Ft</t>
  </si>
  <si>
    <t>88141</t>
  </si>
  <si>
    <t>3 142 000 Ft</t>
  </si>
  <si>
    <t>2432</t>
  </si>
  <si>
    <t>24 625 Ft</t>
  </si>
  <si>
    <t>74837</t>
  </si>
  <si>
    <t>2 236 790 Ft</t>
  </si>
  <si>
    <t>2572</t>
  </si>
  <si>
    <t>23 020 Ft</t>
  </si>
  <si>
    <t>76918</t>
  </si>
  <si>
    <t>1 020 520 Ft</t>
  </si>
  <si>
    <t>15 685 Ft</t>
  </si>
  <si>
    <t>99240</t>
  </si>
  <si>
    <t>738 885 Ft</t>
  </si>
  <si>
    <t>5006</t>
  </si>
  <si>
    <t>10 940 Ft</t>
  </si>
  <si>
    <t>113936</t>
  </si>
  <si>
    <t>1 154 975 Ft</t>
  </si>
  <si>
    <t>3682</t>
  </si>
  <si>
    <t>14 615 Ft</t>
  </si>
  <si>
    <t>85494</t>
  </si>
  <si>
    <t>1 780 410 Ft</t>
  </si>
  <si>
    <t>1871</t>
  </si>
  <si>
    <t>30 225 Ft</t>
  </si>
  <si>
    <t>74016</t>
  </si>
  <si>
    <t>1 918 450 Ft</t>
  </si>
  <si>
    <t>2557</t>
  </si>
  <si>
    <t>23 040 Ft</t>
  </si>
  <si>
    <t>76507</t>
  </si>
  <si>
    <t>2 215 025 Ft</t>
  </si>
  <si>
    <t>2637</t>
  </si>
  <si>
    <t>20 455 Ft</t>
  </si>
  <si>
    <t>79178</t>
  </si>
  <si>
    <t>772 148 640 Ft</t>
  </si>
  <si>
    <t>1 104 375 Ft</t>
  </si>
  <si>
    <t>3666</t>
  </si>
  <si>
    <t>15 950 Ft</t>
  </si>
  <si>
    <t>92652</t>
  </si>
  <si>
    <t>1 574 155 Ft</t>
  </si>
  <si>
    <t>3233</t>
  </si>
  <si>
    <t>88219</t>
  </si>
  <si>
    <t>3 880 670 Ft</t>
  </si>
  <si>
    <t>65181</t>
  </si>
  <si>
    <t>1 237 955 Ft</t>
  </si>
  <si>
    <t>92393</t>
  </si>
  <si>
    <t>4 797 205 Ft</t>
  </si>
  <si>
    <t>1491</t>
  </si>
  <si>
    <t>37 475 Ft</t>
  </si>
  <si>
    <t>57449</t>
  </si>
  <si>
    <t>4 313 725 Ft</t>
  </si>
  <si>
    <t>23 365 Ft</t>
  </si>
  <si>
    <t>77624</t>
  </si>
  <si>
    <t>1 316 475 Ft</t>
  </si>
  <si>
    <t>3093</t>
  </si>
  <si>
    <t>18 475 Ft</t>
  </si>
  <si>
    <t>86499</t>
  </si>
  <si>
    <t>3 113 740 Ft</t>
  </si>
  <si>
    <t>2496</t>
  </si>
  <si>
    <t>23 775 Ft</t>
  </si>
  <si>
    <t>82893</t>
  </si>
  <si>
    <t>709 556 535 Ft</t>
  </si>
  <si>
    <t>1 369 405 Ft</t>
  </si>
  <si>
    <t>3216</t>
  </si>
  <si>
    <t>86492</t>
  </si>
  <si>
    <t>1 614 650 Ft</t>
  </si>
  <si>
    <t>2996</t>
  </si>
  <si>
    <t>19 970 Ft</t>
  </si>
  <si>
    <t>90394</t>
  </si>
  <si>
    <t>2 207 860 Ft</t>
  </si>
  <si>
    <t>3658</t>
  </si>
  <si>
    <t>16 615 Ft</t>
  </si>
  <si>
    <t>101268</t>
  </si>
  <si>
    <t>2 938 155 Ft</t>
  </si>
  <si>
    <t>81847</t>
  </si>
  <si>
    <t>2 274 725 Ft</t>
  </si>
  <si>
    <t>2379</t>
  </si>
  <si>
    <t>24 300 Ft</t>
  </si>
  <si>
    <t>72903</t>
  </si>
  <si>
    <t>2 116 750 Ft</t>
  </si>
  <si>
    <t>2339</t>
  </si>
  <si>
    <t>24 915 Ft</t>
  </si>
  <si>
    <t>82221</t>
  </si>
  <si>
    <t>1 523 825 Ft</t>
  </si>
  <si>
    <t>17 595 Ft</t>
  </si>
  <si>
    <t>90960</t>
  </si>
  <si>
    <t>2 057 602 470 Ft</t>
  </si>
  <si>
    <t>1 587 555 Ft</t>
  </si>
  <si>
    <t>5615</t>
  </si>
  <si>
    <t>20 060 Ft</t>
  </si>
  <si>
    <t>157973</t>
  </si>
  <si>
    <t>2 752 115 Ft</t>
  </si>
  <si>
    <t>5498</t>
  </si>
  <si>
    <t>20 670 Ft</t>
  </si>
  <si>
    <t>168644</t>
  </si>
  <si>
    <t>2 186 345 Ft</t>
  </si>
  <si>
    <t>4376</t>
  </si>
  <si>
    <t>23 805 Ft</t>
  </si>
  <si>
    <t>129733</t>
  </si>
  <si>
    <t>1 792 355 Ft</t>
  </si>
  <si>
    <t>5715</t>
  </si>
  <si>
    <t>18 265 Ft</t>
  </si>
  <si>
    <t>157546</t>
  </si>
  <si>
    <t>1 127 870 Ft</t>
  </si>
  <si>
    <t>6569</t>
  </si>
  <si>
    <t>15 270 Ft</t>
  </si>
  <si>
    <t>161858</t>
  </si>
  <si>
    <t>2 541 315 Ft</t>
  </si>
  <si>
    <t>4644</t>
  </si>
  <si>
    <t>22 595 Ft</t>
  </si>
  <si>
    <t>149645</t>
  </si>
  <si>
    <t>2 201 815 Ft</t>
  </si>
  <si>
    <t>4124</t>
  </si>
  <si>
    <t>22 610 Ft</t>
  </si>
  <si>
    <t>127375</t>
  </si>
  <si>
    <t>1 298 805 Ft</t>
  </si>
  <si>
    <t>6061</t>
  </si>
  <si>
    <t>15 430 Ft</t>
  </si>
  <si>
    <t>147097</t>
  </si>
  <si>
    <t>3 212 715 Ft</t>
  </si>
  <si>
    <t>3271</t>
  </si>
  <si>
    <t>29 120 Ft</t>
  </si>
  <si>
    <t>111034</t>
  </si>
  <si>
    <t>1 998 695 Ft</t>
  </si>
  <si>
    <t>4042</t>
  </si>
  <si>
    <t>25 655 Ft</t>
  </si>
  <si>
    <t>134464</t>
  </si>
  <si>
    <t>4 306 380 Ft</t>
  </si>
  <si>
    <t>2794</t>
  </si>
  <si>
    <t>34 270 Ft</t>
  </si>
  <si>
    <t>94438</t>
  </si>
  <si>
    <t>2 396 700 Ft</t>
  </si>
  <si>
    <t>3951</t>
  </si>
  <si>
    <t>23 765 Ft</t>
  </si>
  <si>
    <t>121736</t>
  </si>
  <si>
    <t>2 104 755 Ft</t>
  </si>
  <si>
    <t>3962</t>
  </si>
  <si>
    <t>21 935 Ft</t>
  </si>
  <si>
    <t>125652</t>
  </si>
  <si>
    <t>1 764 310 Ft</t>
  </si>
  <si>
    <t>3597</t>
  </si>
  <si>
    <t>22 850 Ft</t>
  </si>
  <si>
    <t>108791</t>
  </si>
  <si>
    <t>1 945 810 Ft</t>
  </si>
  <si>
    <t>3671</t>
  </si>
  <si>
    <t>22 450 Ft</t>
  </si>
  <si>
    <t>103629</t>
  </si>
  <si>
    <t>1 593 475 Ft</t>
  </si>
  <si>
    <t>19 200 Ft</t>
  </si>
  <si>
    <t>115633</t>
  </si>
  <si>
    <t>2 510 100 Ft</t>
  </si>
  <si>
    <t>3152</t>
  </si>
  <si>
    <t>24 455 Ft</t>
  </si>
  <si>
    <t>104206</t>
  </si>
  <si>
    <t>1 645 995 Ft</t>
  </si>
  <si>
    <t>4245</t>
  </si>
  <si>
    <t>17 245 Ft</t>
  </si>
  <si>
    <t>114130</t>
  </si>
  <si>
    <t>7 636 755 Ft</t>
  </si>
  <si>
    <t>1754</t>
  </si>
  <si>
    <t>41 490 Ft</t>
  </si>
  <si>
    <t>66765</t>
  </si>
  <si>
    <t>2 120 Ft</t>
  </si>
  <si>
    <t>1 622 215 Ft</t>
  </si>
  <si>
    <t>3754</t>
  </si>
  <si>
    <t>18 300 Ft</t>
  </si>
  <si>
    <t>102901</t>
  </si>
  <si>
    <t>108</t>
  </si>
  <si>
    <t>604 185 Ft</t>
  </si>
  <si>
    <t>6317</t>
  </si>
  <si>
    <t>10 935 Ft</t>
  </si>
  <si>
    <t>134355</t>
  </si>
  <si>
    <t>2 929 435 Ft</t>
  </si>
  <si>
    <t>2626</t>
  </si>
  <si>
    <t>83456</t>
  </si>
  <si>
    <t>1 520 Ft</t>
  </si>
  <si>
    <t>2 459 350 Ft</t>
  </si>
  <si>
    <t>2837</t>
  </si>
  <si>
    <t>25 700 Ft</t>
  </si>
  <si>
    <t>85851</t>
  </si>
  <si>
    <t>2 649 905 Ft</t>
  </si>
  <si>
    <t>2144</t>
  </si>
  <si>
    <t>28 790 Ft</t>
  </si>
  <si>
    <t>75194</t>
  </si>
  <si>
    <t>2011</t>
  </si>
  <si>
    <t>1 126 815 Ft</t>
  </si>
  <si>
    <t>4470</t>
  </si>
  <si>
    <t>15 750 Ft</t>
  </si>
  <si>
    <t>115434</t>
  </si>
  <si>
    <t>1 324 670 Ft</t>
  </si>
  <si>
    <t>3727</t>
  </si>
  <si>
    <t>16 180 Ft</t>
  </si>
  <si>
    <t>96475</t>
  </si>
  <si>
    <t>2 053 860 Ft</t>
  </si>
  <si>
    <t>2249</t>
  </si>
  <si>
    <t>26 110 Ft</t>
  </si>
  <si>
    <t>73117</t>
  </si>
  <si>
    <t>816 710 Ft</t>
  </si>
  <si>
    <t>3841</t>
  </si>
  <si>
    <t>14 860 Ft</t>
  </si>
  <si>
    <t>89502</t>
  </si>
  <si>
    <t>1 277 475 Ft</t>
  </si>
  <si>
    <t>3432</t>
  </si>
  <si>
    <t>16 160 Ft</t>
  </si>
  <si>
    <t>90940</t>
  </si>
  <si>
    <t>1 100 160 Ft</t>
  </si>
  <si>
    <t>3091</t>
  </si>
  <si>
    <t>17 335 Ft</t>
  </si>
  <si>
    <t>79649</t>
  </si>
  <si>
    <t>1 935 227 645 Ft</t>
  </si>
  <si>
    <t>1 014 915 Ft</t>
  </si>
  <si>
    <t>4633</t>
  </si>
  <si>
    <t>18 090 Ft</t>
  </si>
  <si>
    <t>120816</t>
  </si>
  <si>
    <t>2 137 200 Ft</t>
  </si>
  <si>
    <t>3983</t>
  </si>
  <si>
    <t>21 590 Ft</t>
  </si>
  <si>
    <t>121699</t>
  </si>
  <si>
    <t>1 419 560 Ft</t>
  </si>
  <si>
    <t>4663</t>
  </si>
  <si>
    <t>15 150 Ft</t>
  </si>
  <si>
    <t>120814</t>
  </si>
  <si>
    <t>1 183 240 Ft</t>
  </si>
  <si>
    <t>3605</t>
  </si>
  <si>
    <t>19 460 Ft</t>
  </si>
  <si>
    <t>104620</t>
  </si>
  <si>
    <t>1 723 440 Ft</t>
  </si>
  <si>
    <t>98962</t>
  </si>
  <si>
    <t>2 412 215 Ft</t>
  </si>
  <si>
    <t>3356</t>
  </si>
  <si>
    <t>99144</t>
  </si>
  <si>
    <t>1 635 115 Ft</t>
  </si>
  <si>
    <t>3409</t>
  </si>
  <si>
    <t>20 315 Ft</t>
  </si>
  <si>
    <t>89535</t>
  </si>
  <si>
    <t>2 502 700 Ft</t>
  </si>
  <si>
    <t>2976</t>
  </si>
  <si>
    <t>21 370 Ft</t>
  </si>
  <si>
    <t>96774</t>
  </si>
  <si>
    <t>1 239 510 Ft</t>
  </si>
  <si>
    <t>4610</t>
  </si>
  <si>
    <t>13 380 Ft</t>
  </si>
  <si>
    <t>114520</t>
  </si>
  <si>
    <t>1 736 870 Ft</t>
  </si>
  <si>
    <t>2389</t>
  </si>
  <si>
    <t>25 405 Ft</t>
  </si>
  <si>
    <t>67063</t>
  </si>
  <si>
    <t>1 191 975 Ft</t>
  </si>
  <si>
    <t>22 395 Ft</t>
  </si>
  <si>
    <t>71024</t>
  </si>
  <si>
    <t>1 204 285 Ft</t>
  </si>
  <si>
    <t>3490</t>
  </si>
  <si>
    <t>99556</t>
  </si>
  <si>
    <t>1 145 Ft</t>
  </si>
  <si>
    <t>2 835 555 Ft</t>
  </si>
  <si>
    <t>1709</t>
  </si>
  <si>
    <t>33 380 Ft</t>
  </si>
  <si>
    <t>54586</t>
  </si>
  <si>
    <t>4 912 460 Ft</t>
  </si>
  <si>
    <t>1798</t>
  </si>
  <si>
    <t>28 930 Ft</t>
  </si>
  <si>
    <t>59008</t>
  </si>
  <si>
    <t>2 226 850 Ft</t>
  </si>
  <si>
    <t>2436</t>
  </si>
  <si>
    <t>25 165 Ft</t>
  </si>
  <si>
    <t>77536</t>
  </si>
  <si>
    <t>2 336 885 Ft</t>
  </si>
  <si>
    <t>3052</t>
  </si>
  <si>
    <t>82400</t>
  </si>
  <si>
    <t>2 087 170 Ft</t>
  </si>
  <si>
    <t>1897</t>
  </si>
  <si>
    <t>27 960 Ft</t>
  </si>
  <si>
    <t>58240</t>
  </si>
  <si>
    <t>1 266 290 Ft</t>
  </si>
  <si>
    <t>2553</t>
  </si>
  <si>
    <t>20 480 Ft</t>
  </si>
  <si>
    <t>68639</t>
  </si>
  <si>
    <t>458 625 055 Ft</t>
  </si>
  <si>
    <t>1 368 315 Ft</t>
  </si>
  <si>
    <t>2631</t>
  </si>
  <si>
    <t>76263</t>
  </si>
  <si>
    <t>4 372 665 Ft</t>
  </si>
  <si>
    <t>1629</t>
  </si>
  <si>
    <t>34 105 Ft</t>
  </si>
  <si>
    <t>54546</t>
  </si>
  <si>
    <t>3 452 430 Ft</t>
  </si>
  <si>
    <t>22 435 Ft</t>
  </si>
  <si>
    <t>71975</t>
  </si>
  <si>
    <t>1 827 520 Ft</t>
  </si>
  <si>
    <t>70331</t>
  </si>
  <si>
    <t>1 277 355 Ft</t>
  </si>
  <si>
    <t>2902</t>
  </si>
  <si>
    <t>18 640 Ft</t>
  </si>
  <si>
    <t>76860</t>
  </si>
  <si>
    <t>1 934 388 935 Ft</t>
  </si>
  <si>
    <t>1 622 515 Ft</t>
  </si>
  <si>
    <t>5110</t>
  </si>
  <si>
    <t>17 820 Ft</t>
  </si>
  <si>
    <t>139808</t>
  </si>
  <si>
    <t>2 409 085 Ft</t>
  </si>
  <si>
    <t>4253</t>
  </si>
  <si>
    <t>19 190 Ft</t>
  </si>
  <si>
    <t>128532</t>
  </si>
  <si>
    <t>830 850 Ft</t>
  </si>
  <si>
    <t>5524</t>
  </si>
  <si>
    <t>14 175 Ft</t>
  </si>
  <si>
    <t>130215</t>
  </si>
  <si>
    <t>2 186 250 Ft</t>
  </si>
  <si>
    <t>3633</t>
  </si>
  <si>
    <t>21 665 Ft</t>
  </si>
  <si>
    <t>106956</t>
  </si>
  <si>
    <t>4 261 865 Ft</t>
  </si>
  <si>
    <t>3157</t>
  </si>
  <si>
    <t>28 590 Ft</t>
  </si>
  <si>
    <t>105976</t>
  </si>
  <si>
    <t>1 497 105 Ft</t>
  </si>
  <si>
    <t>4276</t>
  </si>
  <si>
    <t>17 795 Ft</t>
  </si>
  <si>
    <t>119338</t>
  </si>
  <si>
    <t>5 511 230 Ft</t>
  </si>
  <si>
    <t>1943</t>
  </si>
  <si>
    <t>36 040 Ft</t>
  </si>
  <si>
    <t>70218</t>
  </si>
  <si>
    <t>1 940 Ft</t>
  </si>
  <si>
    <t>921 500 Ft</t>
  </si>
  <si>
    <t>4756</t>
  </si>
  <si>
    <t>14 975 Ft</t>
  </si>
  <si>
    <t>123573</t>
  </si>
  <si>
    <t>6 085 425 Ft</t>
  </si>
  <si>
    <t>1688</t>
  </si>
  <si>
    <t>38 170 Ft</t>
  </si>
  <si>
    <t>62912</t>
  </si>
  <si>
    <t>2 260 960 Ft</t>
  </si>
  <si>
    <t>2899</t>
  </si>
  <si>
    <t>22 295 Ft</t>
  </si>
  <si>
    <t>82936</t>
  </si>
  <si>
    <t>1 515 Ft</t>
  </si>
  <si>
    <t>1 770 770 Ft</t>
  </si>
  <si>
    <t>3231</t>
  </si>
  <si>
    <t>17 990 Ft</t>
  </si>
  <si>
    <t>90962</t>
  </si>
  <si>
    <t>5 227 725 Ft</t>
  </si>
  <si>
    <t>1756</t>
  </si>
  <si>
    <t>31 520 Ft</t>
  </si>
  <si>
    <t>59785</t>
  </si>
  <si>
    <t>1 800 Ft</t>
  </si>
  <si>
    <t>2 366 700 Ft</t>
  </si>
  <si>
    <t>1908</t>
  </si>
  <si>
    <t>27 580 Ft</t>
  </si>
  <si>
    <t>62103</t>
  </si>
  <si>
    <t>2 521 610 Ft</t>
  </si>
  <si>
    <t>2926</t>
  </si>
  <si>
    <t>20 075 Ft</t>
  </si>
  <si>
    <t>85493</t>
  </si>
  <si>
    <t>2 261 585 Ft</t>
  </si>
  <si>
    <t>1917</t>
  </si>
  <si>
    <t>27 480 Ft</t>
  </si>
  <si>
    <t>69166</t>
  </si>
  <si>
    <t>1 517 470 Ft</t>
  </si>
  <si>
    <t>3218</t>
  </si>
  <si>
    <t>15 975 Ft</t>
  </si>
  <si>
    <t>81903</t>
  </si>
  <si>
    <t>1 872 880 Ft</t>
  </si>
  <si>
    <t>2425</t>
  </si>
  <si>
    <t>21 260 Ft</t>
  </si>
  <si>
    <t>62456</t>
  </si>
  <si>
    <t>556 859 255 Ft</t>
  </si>
  <si>
    <t>750 625 Ft</t>
  </si>
  <si>
    <t>4620</t>
  </si>
  <si>
    <t>13 420 Ft</t>
  </si>
  <si>
    <t>107879</t>
  </si>
  <si>
    <t>1 904 060 Ft</t>
  </si>
  <si>
    <t>22 635 Ft</t>
  </si>
  <si>
    <t>76829</t>
  </si>
  <si>
    <t>1 068 760 Ft</t>
  </si>
  <si>
    <t>3881</t>
  </si>
  <si>
    <t>13 705 Ft</t>
  </si>
  <si>
    <t>93680</t>
  </si>
  <si>
    <t>2 684 685 Ft</t>
  </si>
  <si>
    <t>1612</t>
  </si>
  <si>
    <t>33 505 Ft</t>
  </si>
  <si>
    <t>57243</t>
  </si>
  <si>
    <t>1 678 430 Ft</t>
  </si>
  <si>
    <t>3183</t>
  </si>
  <si>
    <t>18 425 Ft</t>
  </si>
  <si>
    <t>89842</t>
  </si>
  <si>
    <t>1 270 Ft</t>
  </si>
  <si>
    <t>1 138 755 Ft</t>
  </si>
  <si>
    <t>18 980 Ft</t>
  </si>
  <si>
    <t>68153</t>
  </si>
  <si>
    <t>2010</t>
  </si>
  <si>
    <t>874 276 330 Ft</t>
  </si>
  <si>
    <t>1 534 290 Ft</t>
  </si>
  <si>
    <t>3396</t>
  </si>
  <si>
    <t>20 570 Ft</t>
  </si>
  <si>
    <t>100313</t>
  </si>
  <si>
    <t>2 238 530 Ft</t>
  </si>
  <si>
    <t>2815</t>
  </si>
  <si>
    <t>82320</t>
  </si>
  <si>
    <t>1 175 Ft</t>
  </si>
  <si>
    <t>2 558 480 Ft</t>
  </si>
  <si>
    <t>2058</t>
  </si>
  <si>
    <t>25 010 Ft</t>
  </si>
  <si>
    <t>70447</t>
  </si>
  <si>
    <t>728 050 Ft</t>
  </si>
  <si>
    <t>4682</t>
  </si>
  <si>
    <t>11 030 Ft</t>
  </si>
  <si>
    <t>98864</t>
  </si>
  <si>
    <t>1 951 005 Ft</t>
  </si>
  <si>
    <t>19 750 Ft</t>
  </si>
  <si>
    <t>71851</t>
  </si>
  <si>
    <t>4 556 430 Ft</t>
  </si>
  <si>
    <t>1505</t>
  </si>
  <si>
    <t>32 055 Ft</t>
  </si>
  <si>
    <t>57288</t>
  </si>
  <si>
    <t>3 244 805 Ft</t>
  </si>
  <si>
    <t>1539</t>
  </si>
  <si>
    <t>31 255 Ft</t>
  </si>
  <si>
    <t>59420</t>
  </si>
  <si>
    <t>1 205 780 Ft</t>
  </si>
  <si>
    <t>19 330 Ft</t>
  </si>
  <si>
    <t>74120</t>
  </si>
  <si>
    <t>2 569 935 Ft</t>
  </si>
  <si>
    <t>23 810 Ft</t>
  </si>
  <si>
    <t>59969</t>
  </si>
  <si>
    <t>77 415 030 Ft</t>
  </si>
  <si>
    <t>1 566 735 Ft</t>
  </si>
  <si>
    <t>3045</t>
  </si>
  <si>
    <t>15 255 Ft</t>
  </si>
  <si>
    <t>78623</t>
  </si>
  <si>
    <t>758 449 445 Ft</t>
  </si>
  <si>
    <t>2 199 810 Ft</t>
  </si>
  <si>
    <t>20 020 Ft</t>
  </si>
  <si>
    <t>77471</t>
  </si>
  <si>
    <t>1 254 220 Ft</t>
  </si>
  <si>
    <t>3176</t>
  </si>
  <si>
    <t>16 305 Ft</t>
  </si>
  <si>
    <t>85773</t>
  </si>
  <si>
    <t>1 698 160 Ft</t>
  </si>
  <si>
    <t>2364</t>
  </si>
  <si>
    <t>22 820 Ft</t>
  </si>
  <si>
    <t>74594</t>
  </si>
  <si>
    <t>291</t>
  </si>
  <si>
    <t>164 020 Ft</t>
  </si>
  <si>
    <t>5983</t>
  </si>
  <si>
    <t>8 445 Ft</t>
  </si>
  <si>
    <t>126043</t>
  </si>
  <si>
    <t>780 Ft</t>
  </si>
  <si>
    <t>4 233 945 Ft</t>
  </si>
  <si>
    <t>1423</t>
  </si>
  <si>
    <t>34 655 Ft</t>
  </si>
  <si>
    <t>56550</t>
  </si>
  <si>
    <t>929 485 Ft</t>
  </si>
  <si>
    <t>4329</t>
  </si>
  <si>
    <t>11 595 Ft</t>
  </si>
  <si>
    <t>102909</t>
  </si>
  <si>
    <t>950 Ft</t>
  </si>
  <si>
    <t>1 420 660 Ft</t>
  </si>
  <si>
    <t>3302</t>
  </si>
  <si>
    <t>16 400 Ft</t>
  </si>
  <si>
    <t>89597</t>
  </si>
  <si>
    <t>1 435 095 Ft</t>
  </si>
  <si>
    <t>2938</t>
  </si>
  <si>
    <t>16 550 Ft</t>
  </si>
  <si>
    <t>72044</t>
  </si>
  <si>
    <t>899 170 Ft</t>
  </si>
  <si>
    <t>3733</t>
  </si>
  <si>
    <t>12 750 Ft</t>
  </si>
  <si>
    <t>94556</t>
  </si>
  <si>
    <t>980 Ft</t>
  </si>
  <si>
    <t>176 310 200 Ft</t>
  </si>
  <si>
    <t>452 850 Ft</t>
  </si>
  <si>
    <t>6376</t>
  </si>
  <si>
    <t>7 595 Ft</t>
  </si>
  <si>
    <t>130751</t>
  </si>
  <si>
    <t>720 Ft</t>
  </si>
  <si>
    <t>2 579 575 Ft</t>
  </si>
  <si>
    <t>29 145 Ft</t>
  </si>
  <si>
    <t>68981</t>
  </si>
  <si>
    <t>339 938 885 Ft</t>
  </si>
  <si>
    <t>775 715 Ft</t>
  </si>
  <si>
    <t>5001</t>
  </si>
  <si>
    <t>10 345 Ft</t>
  </si>
  <si>
    <t>109211</t>
  </si>
  <si>
    <t>920 Ft</t>
  </si>
  <si>
    <t>707 450 Ft</t>
  </si>
  <si>
    <t>4178</t>
  </si>
  <si>
    <t>12 190 Ft</t>
  </si>
  <si>
    <t>103537</t>
  </si>
  <si>
    <t>885 510 Ft</t>
  </si>
  <si>
    <t>3551</t>
  </si>
  <si>
    <t>14 260 Ft</t>
  </si>
  <si>
    <t>93596</t>
  </si>
  <si>
    <t>1 993 250 Ft</t>
  </si>
  <si>
    <t>21 015 Ft</t>
  </si>
  <si>
    <t>67766</t>
  </si>
  <si>
    <t>87 586 035 Ft</t>
  </si>
  <si>
    <t>1 306 110 Ft</t>
  </si>
  <si>
    <t>3288</t>
  </si>
  <si>
    <t>15 985 Ft</t>
  </si>
  <si>
    <t>88185</t>
  </si>
  <si>
    <t>1 160 Ft</t>
  </si>
  <si>
    <t>3 177 138 790 Ft</t>
  </si>
  <si>
    <t>1 531 390 Ft</t>
  </si>
  <si>
    <t>7074</t>
  </si>
  <si>
    <t>13 755 Ft</t>
  </si>
  <si>
    <t>183291</t>
  </si>
  <si>
    <t>1 182 320 Ft</t>
  </si>
  <si>
    <t>6169</t>
  </si>
  <si>
    <t>15 425 Ft</t>
  </si>
  <si>
    <t>163377</t>
  </si>
  <si>
    <t>1 182 065 Ft</t>
  </si>
  <si>
    <t>5145</t>
  </si>
  <si>
    <t>16 540 Ft</t>
  </si>
  <si>
    <t>133855</t>
  </si>
  <si>
    <t>2 696 265 Ft</t>
  </si>
  <si>
    <t>2829</t>
  </si>
  <si>
    <t>30 275 Ft</t>
  </si>
  <si>
    <t>95050</t>
  </si>
  <si>
    <t>2 268 765 Ft</t>
  </si>
  <si>
    <t>20 265 Ft</t>
  </si>
  <si>
    <t>120561</t>
  </si>
  <si>
    <t>1 401 300 Ft</t>
  </si>
  <si>
    <t>5234</t>
  </si>
  <si>
    <t>14 455 Ft</t>
  </si>
  <si>
    <t>149301</t>
  </si>
  <si>
    <t>985 Ft</t>
  </si>
  <si>
    <t>1 050 575 Ft</t>
  </si>
  <si>
    <t>4894</t>
  </si>
  <si>
    <t>15 455 Ft</t>
  </si>
  <si>
    <t>131329</t>
  </si>
  <si>
    <t>2 808 640 Ft</t>
  </si>
  <si>
    <t>3047</t>
  </si>
  <si>
    <t>24 400 Ft</t>
  </si>
  <si>
    <t>98137</t>
  </si>
  <si>
    <t>1 690 925 Ft</t>
  </si>
  <si>
    <t>3020</t>
  </si>
  <si>
    <t>24 900 Ft</t>
  </si>
  <si>
    <t>96949</t>
  </si>
  <si>
    <t>2 143 520 Ft</t>
  </si>
  <si>
    <t>2768</t>
  </si>
  <si>
    <t>22 140 Ft</t>
  </si>
  <si>
    <t>82677</t>
  </si>
  <si>
    <t>1 401 045 Ft</t>
  </si>
  <si>
    <t>4372</t>
  </si>
  <si>
    <t>121534</t>
  </si>
  <si>
    <t>1 259 600 Ft</t>
  </si>
  <si>
    <t>4007</t>
  </si>
  <si>
    <t>17 310 Ft</t>
  </si>
  <si>
    <t>105629</t>
  </si>
  <si>
    <t>98</t>
  </si>
  <si>
    <t>707 820 Ft</t>
  </si>
  <si>
    <t>7124</t>
  </si>
  <si>
    <t>10 310 Ft</t>
  </si>
  <si>
    <t>143705</t>
  </si>
  <si>
    <t>995 Ft</t>
  </si>
  <si>
    <t>1 792 665 Ft</t>
  </si>
  <si>
    <t>3746</t>
  </si>
  <si>
    <t>101905</t>
  </si>
  <si>
    <t>1 319 710 Ft</t>
  </si>
  <si>
    <t>4174</t>
  </si>
  <si>
    <t>15 400 Ft</t>
  </si>
  <si>
    <t>112080</t>
  </si>
  <si>
    <t>3 528 745 Ft</t>
  </si>
  <si>
    <t>2329</t>
  </si>
  <si>
    <t>27 270 Ft</t>
  </si>
  <si>
    <t>78217</t>
  </si>
  <si>
    <t>1 634 640 Ft</t>
  </si>
  <si>
    <t>3348</t>
  </si>
  <si>
    <t>20 680 Ft</t>
  </si>
  <si>
    <t>97098</t>
  </si>
  <si>
    <t>2 081 815 Ft</t>
  </si>
  <si>
    <t>70806</t>
  </si>
  <si>
    <t>934 715 Ft</t>
  </si>
  <si>
    <t>4592</t>
  </si>
  <si>
    <t>12 500 Ft</t>
  </si>
  <si>
    <t>105946</t>
  </si>
  <si>
    <t>1 297 905 Ft</t>
  </si>
  <si>
    <t>4411</t>
  </si>
  <si>
    <t>13 085 Ft</t>
  </si>
  <si>
    <t>116377</t>
  </si>
  <si>
    <t>965 Ft</t>
  </si>
  <si>
    <t>917 840 Ft</t>
  </si>
  <si>
    <t>4964</t>
  </si>
  <si>
    <t>11 550 Ft</t>
  </si>
  <si>
    <t>123633</t>
  </si>
  <si>
    <t>900 Ft</t>
  </si>
  <si>
    <t>2 127 600 Ft</t>
  </si>
  <si>
    <t>2802</t>
  </si>
  <si>
    <t>17 690 Ft</t>
  </si>
  <si>
    <t>84187</t>
  </si>
  <si>
    <t>872 955 Ft</t>
  </si>
  <si>
    <t>14 435 Ft</t>
  </si>
  <si>
    <t>93447</t>
  </si>
  <si>
    <t>1 836 135 Ft</t>
  </si>
  <si>
    <t>3066</t>
  </si>
  <si>
    <t>15 220 Ft</t>
  </si>
  <si>
    <t>93853</t>
  </si>
  <si>
    <t>1 457 275 Ft</t>
  </si>
  <si>
    <t>2947</t>
  </si>
  <si>
    <t>16 230 Ft</t>
  </si>
  <si>
    <t>80928</t>
  </si>
  <si>
    <t>774 605 Ft</t>
  </si>
  <si>
    <t>4393</t>
  </si>
  <si>
    <t>121950</t>
  </si>
  <si>
    <t>825 Ft</t>
  </si>
  <si>
    <t>1 452 590 Ft</t>
  </si>
  <si>
    <t>2658</t>
  </si>
  <si>
    <t>18 515 Ft</t>
  </si>
  <si>
    <t>83637</t>
  </si>
  <si>
    <t>1 217 620 Ft</t>
  </si>
  <si>
    <t>14 235 Ft</t>
  </si>
  <si>
    <t>79039</t>
  </si>
  <si>
    <t>1 113 190 Ft</t>
  </si>
  <si>
    <t>3005</t>
  </si>
  <si>
    <t>85948</t>
  </si>
  <si>
    <t>156 900 265 Ft</t>
  </si>
  <si>
    <t>723 095 Ft</t>
  </si>
  <si>
    <t>4013</t>
  </si>
  <si>
    <t>11 830 Ft</t>
  </si>
  <si>
    <t>98571</t>
  </si>
  <si>
    <t>2 754 900 Ft</t>
  </si>
  <si>
    <t>19 185 Ft</t>
  </si>
  <si>
    <t>73201</t>
  </si>
  <si>
    <t>50 999 020 Ft</t>
  </si>
  <si>
    <t>555 795 Ft</t>
  </si>
  <si>
    <t>4726</t>
  </si>
  <si>
    <t>9 715 Ft</t>
  </si>
  <si>
    <t>104010</t>
  </si>
  <si>
    <t>860 Ft</t>
  </si>
  <si>
    <t>4 816 245 Ft</t>
  </si>
  <si>
    <t>1299</t>
  </si>
  <si>
    <t>35 330 Ft</t>
  </si>
  <si>
    <t>50594</t>
  </si>
  <si>
    <t>335 213 315 Ft</t>
  </si>
  <si>
    <t>2 315 765 Ft</t>
  </si>
  <si>
    <t>2272</t>
  </si>
  <si>
    <t>25 900 Ft</t>
  </si>
  <si>
    <t>75490</t>
  </si>
  <si>
    <t>1 270 525 Ft</t>
  </si>
  <si>
    <t>3179</t>
  </si>
  <si>
    <t>87216</t>
  </si>
  <si>
    <t>828 315 Ft</t>
  </si>
  <si>
    <t>3242</t>
  </si>
  <si>
    <t>14 610 Ft</t>
  </si>
  <si>
    <t>88313</t>
  </si>
  <si>
    <t>1 045 425 Ft</t>
  </si>
  <si>
    <t>3476</t>
  </si>
  <si>
    <t>102340</t>
  </si>
  <si>
    <t>885 Ft</t>
  </si>
  <si>
    <t>85 235 500 Ft</t>
  </si>
  <si>
    <t>1 006 250 Ft</t>
  </si>
  <si>
    <t>4234</t>
  </si>
  <si>
    <t>12 080 Ft</t>
  </si>
  <si>
    <t>110806</t>
  </si>
  <si>
    <t>895 Ft</t>
  </si>
  <si>
    <t>2 189 049 755 Ft</t>
  </si>
  <si>
    <t>1 288 960 Ft</t>
  </si>
  <si>
    <t>4822</t>
  </si>
  <si>
    <t>16 135 Ft</t>
  </si>
  <si>
    <t>136891</t>
  </si>
  <si>
    <t>1 178 705 Ft</t>
  </si>
  <si>
    <t>5086</t>
  </si>
  <si>
    <t>14 970 Ft</t>
  </si>
  <si>
    <t>141551</t>
  </si>
  <si>
    <t>815 680 Ft</t>
  </si>
  <si>
    <t>5991</t>
  </si>
  <si>
    <t>12 540 Ft</t>
  </si>
  <si>
    <t>146434</t>
  </si>
  <si>
    <t>1 074 465 Ft</t>
  </si>
  <si>
    <t>5152</t>
  </si>
  <si>
    <t>13 690 Ft</t>
  </si>
  <si>
    <t>143337</t>
  </si>
  <si>
    <t>125</t>
  </si>
  <si>
    <t>557 105 Ft</t>
  </si>
  <si>
    <t>7153</t>
  </si>
  <si>
    <t>162510</t>
  </si>
  <si>
    <t>880 Ft</t>
  </si>
  <si>
    <t>763 055 Ft</t>
  </si>
  <si>
    <t>6367</t>
  </si>
  <si>
    <t>10 785 Ft</t>
  </si>
  <si>
    <t>152836</t>
  </si>
  <si>
    <t>875 Ft</t>
  </si>
  <si>
    <t>592 130 Ft</t>
  </si>
  <si>
    <t>6889</t>
  </si>
  <si>
    <t>9 830 Ft</t>
  </si>
  <si>
    <t>160506</t>
  </si>
  <si>
    <t>820 Ft</t>
  </si>
  <si>
    <t>1 166 255 Ft</t>
  </si>
  <si>
    <t>4811</t>
  </si>
  <si>
    <t>12 575 Ft</t>
  </si>
  <si>
    <t>122115</t>
  </si>
  <si>
    <t>2 588 005 Ft</t>
  </si>
  <si>
    <t>3245</t>
  </si>
  <si>
    <t>21 955 Ft</t>
  </si>
  <si>
    <t>106525</t>
  </si>
  <si>
    <t>1 082 055 Ft</t>
  </si>
  <si>
    <t>4939</t>
  </si>
  <si>
    <t>13 220 Ft</t>
  </si>
  <si>
    <t>119143</t>
  </si>
  <si>
    <t>1 065 Ft</t>
  </si>
  <si>
    <t>92</t>
  </si>
  <si>
    <t>619 815 Ft</t>
  </si>
  <si>
    <t>5191</t>
  </si>
  <si>
    <t>11 630 Ft</t>
  </si>
  <si>
    <t>121931</t>
  </si>
  <si>
    <t>1 121 105 Ft</t>
  </si>
  <si>
    <t>3173</t>
  </si>
  <si>
    <t>92162</t>
  </si>
  <si>
    <t>1 116 235 Ft</t>
  </si>
  <si>
    <t>4168</t>
  </si>
  <si>
    <t>13 045 Ft</t>
  </si>
  <si>
    <t>105840</t>
  </si>
  <si>
    <t>1 326 075 Ft</t>
  </si>
  <si>
    <t>17 205 Ft</t>
  </si>
  <si>
    <t>92062</t>
  </si>
  <si>
    <t>2 315 250 Ft</t>
  </si>
  <si>
    <t>2599</t>
  </si>
  <si>
    <t>19 810 Ft</t>
  </si>
  <si>
    <t>80976</t>
  </si>
  <si>
    <t>561 445 Ft</t>
  </si>
  <si>
    <t>5496</t>
  </si>
  <si>
    <t>8 980 Ft</t>
  </si>
  <si>
    <t>132151</t>
  </si>
  <si>
    <t>725 Ft</t>
  </si>
  <si>
    <t>2 090 895 Ft</t>
  </si>
  <si>
    <t>2701</t>
  </si>
  <si>
    <t>18 030 Ft</t>
  </si>
  <si>
    <t>94017</t>
  </si>
  <si>
    <t>704 680 Ft</t>
  </si>
  <si>
    <t>4185</t>
  </si>
  <si>
    <t>11 945 Ft</t>
  </si>
  <si>
    <t>102215</t>
  </si>
  <si>
    <t>2 674 540 Ft</t>
  </si>
  <si>
    <t>2354</t>
  </si>
  <si>
    <t>19 250 Ft</t>
  </si>
  <si>
    <t>71895</t>
  </si>
  <si>
    <t>1 945 755 Ft</t>
  </si>
  <si>
    <t>22 525 Ft</t>
  </si>
  <si>
    <t>66382</t>
  </si>
  <si>
    <t>663 920 Ft</t>
  </si>
  <si>
    <t>4450</t>
  </si>
  <si>
    <t>10 110 Ft</t>
  </si>
  <si>
    <t>110366</t>
  </si>
  <si>
    <t>795 Ft</t>
  </si>
  <si>
    <t>2 424 850 Ft</t>
  </si>
  <si>
    <t>1903</t>
  </si>
  <si>
    <t>24 285 Ft</t>
  </si>
  <si>
    <t>64497</t>
  </si>
  <si>
    <t>1 395 Ft</t>
  </si>
  <si>
    <t>1 149 746 950 Ft</t>
  </si>
  <si>
    <t>943 125 Ft</t>
  </si>
  <si>
    <t>3806</t>
  </si>
  <si>
    <t>15 480 Ft</t>
  </si>
  <si>
    <t>107978</t>
  </si>
  <si>
    <t>1 060 Ft</t>
  </si>
  <si>
    <t>1 386 135 Ft</t>
  </si>
  <si>
    <t>4180</t>
  </si>
  <si>
    <t>13 340 Ft</t>
  </si>
  <si>
    <t>109353</t>
  </si>
  <si>
    <t>2 582 560 Ft</t>
  </si>
  <si>
    <t>2419</t>
  </si>
  <si>
    <t>23 740 Ft</t>
  </si>
  <si>
    <t>86480</t>
  </si>
  <si>
    <t>1 129 170 Ft</t>
  </si>
  <si>
    <t>4105</t>
  </si>
  <si>
    <t>12 815 Ft</t>
  </si>
  <si>
    <t>107358</t>
  </si>
  <si>
    <t>93</t>
  </si>
  <si>
    <t>570 170 Ft</t>
  </si>
  <si>
    <t>10 545 Ft</t>
  </si>
  <si>
    <t>134731</t>
  </si>
  <si>
    <t>810 Ft</t>
  </si>
  <si>
    <t>1 288 265 Ft</t>
  </si>
  <si>
    <t>4001</t>
  </si>
  <si>
    <t>12 615 Ft</t>
  </si>
  <si>
    <t>111568</t>
  </si>
  <si>
    <t>1 793 660 Ft</t>
  </si>
  <si>
    <t>2484</t>
  </si>
  <si>
    <t>20 645 Ft</t>
  </si>
  <si>
    <t>75949</t>
  </si>
  <si>
    <t>1 931 555 Ft</t>
  </si>
  <si>
    <t>2224</t>
  </si>
  <si>
    <t>70576</t>
  </si>
  <si>
    <t>2 270 330 Ft</t>
  </si>
  <si>
    <t>2242</t>
  </si>
  <si>
    <t>25 735 Ft</t>
  </si>
  <si>
    <t>88176</t>
  </si>
  <si>
    <t>1 148 085 Ft</t>
  </si>
  <si>
    <t>3184</t>
  </si>
  <si>
    <t>83510</t>
  </si>
  <si>
    <t>2 034 805 Ft</t>
  </si>
  <si>
    <t>2373</t>
  </si>
  <si>
    <t>19 975 Ft</t>
  </si>
  <si>
    <t>79204</t>
  </si>
  <si>
    <t>655 720 Ft</t>
  </si>
  <si>
    <t>5084</t>
  </si>
  <si>
    <t>9 425 Ft</t>
  </si>
  <si>
    <t>117054</t>
  </si>
  <si>
    <t>561 990 Ft</t>
  </si>
  <si>
    <t>5235</t>
  </si>
  <si>
    <t>10 800 Ft</t>
  </si>
  <si>
    <t>118796</t>
  </si>
  <si>
    <t>870 050 995 Ft</t>
  </si>
  <si>
    <t>1 031 055 Ft</t>
  </si>
  <si>
    <t>4700</t>
  </si>
  <si>
    <t>12 310 Ft</t>
  </si>
  <si>
    <t>113428</t>
  </si>
  <si>
    <t>1 765 385 Ft</t>
  </si>
  <si>
    <t>3935</t>
  </si>
  <si>
    <t>14 250 Ft</t>
  </si>
  <si>
    <t>107046</t>
  </si>
  <si>
    <t>1 020 Ft</t>
  </si>
  <si>
    <t>2 516 895 Ft</t>
  </si>
  <si>
    <t>2581</t>
  </si>
  <si>
    <t>82073</t>
  </si>
  <si>
    <t>1 235 085 Ft</t>
  </si>
  <si>
    <t>2838</t>
  </si>
  <si>
    <t>18 430 Ft</t>
  </si>
  <si>
    <t>76633</t>
  </si>
  <si>
    <t>1 804 730 Ft</t>
  </si>
  <si>
    <t>90167</t>
  </si>
  <si>
    <t>1 235 215 Ft</t>
  </si>
  <si>
    <t>12 985 Ft</t>
  </si>
  <si>
    <t>102574</t>
  </si>
  <si>
    <t>915 Ft</t>
  </si>
  <si>
    <t>1 610 810 Ft</t>
  </si>
  <si>
    <t>77890</t>
  </si>
  <si>
    <t>1 930 915 Ft</t>
  </si>
  <si>
    <t>21 885 Ft</t>
  </si>
  <si>
    <t>78323</t>
  </si>
  <si>
    <t>2 078 820 Ft</t>
  </si>
  <si>
    <t>21 615 Ft</t>
  </si>
  <si>
    <t>83059</t>
  </si>
  <si>
    <t>1 891 570 Ft</t>
  </si>
  <si>
    <t>2404</t>
  </si>
  <si>
    <t>19 995 Ft</t>
  </si>
  <si>
    <t>73335</t>
  </si>
  <si>
    <t>159 152 200 Ft</t>
  </si>
  <si>
    <t>787 265 Ft</t>
  </si>
  <si>
    <t>4397</t>
  </si>
  <si>
    <t>10 805 Ft</t>
  </si>
  <si>
    <t>111999</t>
  </si>
  <si>
    <t>462 370 Ft</t>
  </si>
  <si>
    <t>5767</t>
  </si>
  <si>
    <t>8 320 Ft</t>
  </si>
  <si>
    <t>127586</t>
  </si>
  <si>
    <t>730 Ft</t>
  </si>
  <si>
    <t>175 138 540 Ft</t>
  </si>
  <si>
    <t>530 515 Ft</t>
  </si>
  <si>
    <t>7230</t>
  </si>
  <si>
    <t>7 615 Ft</t>
  </si>
  <si>
    <t>156171</t>
  </si>
  <si>
    <t>685 Ft</t>
  </si>
  <si>
    <t>1 389 845 Ft</t>
  </si>
  <si>
    <t>3753</t>
  </si>
  <si>
    <t>13 330 Ft</t>
  </si>
  <si>
    <t>102081</t>
  </si>
  <si>
    <t>2 310 384 275 Ft</t>
  </si>
  <si>
    <t>676 010 Ft</t>
  </si>
  <si>
    <t>5492</t>
  </si>
  <si>
    <t>10 685 Ft</t>
  </si>
  <si>
    <t>121096</t>
  </si>
  <si>
    <t>940 Ft</t>
  </si>
  <si>
    <t>865 335 Ft</t>
  </si>
  <si>
    <t>5412</t>
  </si>
  <si>
    <t>11 345 Ft</t>
  </si>
  <si>
    <t>132902</t>
  </si>
  <si>
    <t>1 646 215 Ft</t>
  </si>
  <si>
    <t>2983</t>
  </si>
  <si>
    <t>91815</t>
  </si>
  <si>
    <t>1 285 895 Ft</t>
  </si>
  <si>
    <t>5766</t>
  </si>
  <si>
    <t>11 805 Ft</t>
  </si>
  <si>
    <t>149601</t>
  </si>
  <si>
    <t>2 371 130 Ft</t>
  </si>
  <si>
    <t>2814</t>
  </si>
  <si>
    <t>22 305 Ft</t>
  </si>
  <si>
    <t>100164</t>
  </si>
  <si>
    <t>1 050 325 Ft</t>
  </si>
  <si>
    <t>101251</t>
  </si>
  <si>
    <t>1 335 060 Ft</t>
  </si>
  <si>
    <t>3879</t>
  </si>
  <si>
    <t>103347</t>
  </si>
  <si>
    <t>2 940 560 Ft</t>
  </si>
  <si>
    <t>2429</t>
  </si>
  <si>
    <t>26 920 Ft</t>
  </si>
  <si>
    <t>79270</t>
  </si>
  <si>
    <t>1 398 935 Ft</t>
  </si>
  <si>
    <t>3662</t>
  </si>
  <si>
    <t>109774</t>
  </si>
  <si>
    <t>1 931 025 Ft</t>
  </si>
  <si>
    <t>3322</t>
  </si>
  <si>
    <t>17 850 Ft</t>
  </si>
  <si>
    <t>106052</t>
  </si>
  <si>
    <t>2 428 730 Ft</t>
  </si>
  <si>
    <t>2942</t>
  </si>
  <si>
    <t>18 355 Ft</t>
  </si>
  <si>
    <t>83297</t>
  </si>
  <si>
    <t>819 375 Ft</t>
  </si>
  <si>
    <t>5101</t>
  </si>
  <si>
    <t>12 075 Ft</t>
  </si>
  <si>
    <t>124961</t>
  </si>
  <si>
    <t>960 Ft</t>
  </si>
  <si>
    <t>1 193 450 Ft</t>
  </si>
  <si>
    <t>16 895 Ft</t>
  </si>
  <si>
    <t>93324</t>
  </si>
  <si>
    <t>2 249 995 Ft</t>
  </si>
  <si>
    <t>1945</t>
  </si>
  <si>
    <t>26 945 Ft</t>
  </si>
  <si>
    <t>69868</t>
  </si>
  <si>
    <t>1 745 285 Ft</t>
  </si>
  <si>
    <t>2417</t>
  </si>
  <si>
    <t>21 410 Ft</t>
  </si>
  <si>
    <t>75529</t>
  </si>
  <si>
    <t>2 659 490 Ft</t>
  </si>
  <si>
    <t>2281</t>
  </si>
  <si>
    <t>79093</t>
  </si>
  <si>
    <t>1 119 060 Ft</t>
  </si>
  <si>
    <t>3910</t>
  </si>
  <si>
    <t>13 030 Ft</t>
  </si>
  <si>
    <t>103177</t>
  </si>
  <si>
    <t>3 860 155 Ft</t>
  </si>
  <si>
    <t>2558</t>
  </si>
  <si>
    <t>76877</t>
  </si>
  <si>
    <t>896 445 Ft</t>
  </si>
  <si>
    <t>5080</t>
  </si>
  <si>
    <t>9 340 Ft</t>
  </si>
  <si>
    <t>119793</t>
  </si>
  <si>
    <t>770 Ft</t>
  </si>
  <si>
    <t>834 905 Ft</t>
  </si>
  <si>
    <t>3774</t>
  </si>
  <si>
    <t>12 650 Ft</t>
  </si>
  <si>
    <t>91256</t>
  </si>
  <si>
    <t>1 071 150 Ft</t>
  </si>
  <si>
    <t>4018</t>
  </si>
  <si>
    <t>13 265 Ft</t>
  </si>
  <si>
    <t>112893</t>
  </si>
  <si>
    <t>909 665 Ft</t>
  </si>
  <si>
    <t>3617</t>
  </si>
  <si>
    <t>13 050 Ft</t>
  </si>
  <si>
    <t>88227</t>
  </si>
  <si>
    <t>1 040 Ft</t>
  </si>
  <si>
    <t>915 485 Ft</t>
  </si>
  <si>
    <t>14 185 Ft</t>
  </si>
  <si>
    <t>89246</t>
  </si>
  <si>
    <t>661 460 Ft</t>
  </si>
  <si>
    <t>5052</t>
  </si>
  <si>
    <t>9 150 Ft</t>
  </si>
  <si>
    <t>790 Ft</t>
  </si>
  <si>
    <t>2 424 780 Ft</t>
  </si>
  <si>
    <t>1738</t>
  </si>
  <si>
    <t>26 590 Ft</t>
  </si>
  <si>
    <t>59013</t>
  </si>
  <si>
    <t>588 679 290 Ft</t>
  </si>
  <si>
    <t>1 473 690 Ft</t>
  </si>
  <si>
    <t>16 225 Ft</t>
  </si>
  <si>
    <t>95103</t>
  </si>
  <si>
    <t>2 562 725 Ft</t>
  </si>
  <si>
    <t>2504</t>
  </si>
  <si>
    <t>19 505 Ft</t>
  </si>
  <si>
    <t>83907</t>
  </si>
  <si>
    <t>977 440 Ft</t>
  </si>
  <si>
    <t>4900</t>
  </si>
  <si>
    <t>10 140 Ft</t>
  </si>
  <si>
    <t>121964</t>
  </si>
  <si>
    <t>2 648 505 Ft</t>
  </si>
  <si>
    <t>2325</t>
  </si>
  <si>
    <t>21 710 Ft</t>
  </si>
  <si>
    <t>79002</t>
  </si>
  <si>
    <t>1 853 565 Ft</t>
  </si>
  <si>
    <t>3004</t>
  </si>
  <si>
    <t>17 640 Ft</t>
  </si>
  <si>
    <t>88035</t>
  </si>
  <si>
    <t>1 861 065 Ft</t>
  </si>
  <si>
    <t>2090</t>
  </si>
  <si>
    <t>23 570 Ft</t>
  </si>
  <si>
    <t>65782</t>
  </si>
  <si>
    <t>931 535 Ft</t>
  </si>
  <si>
    <t>3560</t>
  </si>
  <si>
    <t>13 300 Ft</t>
  </si>
  <si>
    <t>90643</t>
  </si>
  <si>
    <t>84 277 605 Ft</t>
  </si>
  <si>
    <t>974 640 Ft</t>
  </si>
  <si>
    <t>3987</t>
  </si>
  <si>
    <t>12 685 Ft</t>
  </si>
  <si>
    <t>102099</t>
  </si>
  <si>
    <t>127 744 345 Ft</t>
  </si>
  <si>
    <t>726 660 Ft</t>
  </si>
  <si>
    <t>3599</t>
  </si>
  <si>
    <t>14 325 Ft</t>
  </si>
  <si>
    <t>89085</t>
  </si>
  <si>
    <t>1 125 Ft</t>
  </si>
  <si>
    <t>1 390 190 Ft</t>
  </si>
  <si>
    <t>3437</t>
  </si>
  <si>
    <t>14 990 Ft</t>
  </si>
  <si>
    <t>96815</t>
  </si>
  <si>
    <t>1 035 Ft</t>
  </si>
  <si>
    <t>1 355 260 Ft</t>
  </si>
  <si>
    <t>3525</t>
  </si>
  <si>
    <t>105382</t>
  </si>
  <si>
    <t>647 684 995 Ft</t>
  </si>
  <si>
    <t>894 315 Ft</t>
  </si>
  <si>
    <t>11 695 Ft</t>
  </si>
  <si>
    <t>116583</t>
  </si>
  <si>
    <t>930 Ft</t>
  </si>
  <si>
    <t>1 839 865 Ft</t>
  </si>
  <si>
    <t>18 985 Ft</t>
  </si>
  <si>
    <t>95658</t>
  </si>
  <si>
    <t>933 555 Ft</t>
  </si>
  <si>
    <t>3669</t>
  </si>
  <si>
    <t>16 165 Ft</t>
  </si>
  <si>
    <t>97897</t>
  </si>
  <si>
    <t>1 180 Ft</t>
  </si>
  <si>
    <t>1 255 520 Ft</t>
  </si>
  <si>
    <t>4297</t>
  </si>
  <si>
    <t>114951</t>
  </si>
  <si>
    <t>1 352 925 Ft</t>
  </si>
  <si>
    <t>3407</t>
  </si>
  <si>
    <t>98914</t>
  </si>
  <si>
    <t>2 356 386 190 Ft</t>
  </si>
  <si>
    <t>1 013 465 Ft</t>
  </si>
  <si>
    <t>5677</t>
  </si>
  <si>
    <t>16 255 Ft</t>
  </si>
  <si>
    <t>156079</t>
  </si>
  <si>
    <t>1 327 380 Ft</t>
  </si>
  <si>
    <t>5954</t>
  </si>
  <si>
    <t>165451</t>
  </si>
  <si>
    <t>971 280 Ft</t>
  </si>
  <si>
    <t>11 665 Ft</t>
  </si>
  <si>
    <t>161485</t>
  </si>
  <si>
    <t>2007</t>
  </si>
  <si>
    <t>1 215 930 Ft</t>
  </si>
  <si>
    <t>5317</t>
  </si>
  <si>
    <t>13 080 Ft</t>
  </si>
  <si>
    <t>145776</t>
  </si>
  <si>
    <t>2 238 575 Ft</t>
  </si>
  <si>
    <t>22 050 Ft</t>
  </si>
  <si>
    <t>111836</t>
  </si>
  <si>
    <t>1 117 985 Ft</t>
  </si>
  <si>
    <t>5429</t>
  </si>
  <si>
    <t>12 865 Ft</t>
  </si>
  <si>
    <t>149181</t>
  </si>
  <si>
    <t>910 Ft</t>
  </si>
  <si>
    <t>2 310 685 Ft</t>
  </si>
  <si>
    <t>3229</t>
  </si>
  <si>
    <t>22 735 Ft</t>
  </si>
  <si>
    <t>94059</t>
  </si>
  <si>
    <t>1 941 821 Ft</t>
  </si>
  <si>
    <t>3065</t>
  </si>
  <si>
    <t>20 795 Ft</t>
  </si>
  <si>
    <t>96824</t>
  </si>
  <si>
    <t>827 617 Ft</t>
  </si>
  <si>
    <t>5032</t>
  </si>
  <si>
    <t>12 364 Ft</t>
  </si>
  <si>
    <t>128991</t>
  </si>
  <si>
    <t>938 Ft</t>
  </si>
  <si>
    <t>3 111 056 Ft</t>
  </si>
  <si>
    <t>3221</t>
  </si>
  <si>
    <t>19 431 Ft</t>
  </si>
  <si>
    <t>103672</t>
  </si>
  <si>
    <t>1 174 Ft</t>
  </si>
  <si>
    <t>2 082 856 Ft</t>
  </si>
  <si>
    <t>3582</t>
  </si>
  <si>
    <t>19 086 Ft</t>
  </si>
  <si>
    <t>111216</t>
  </si>
  <si>
    <t>2 566 688 Ft</t>
  </si>
  <si>
    <t>2922</t>
  </si>
  <si>
    <t>17 671 Ft</t>
  </si>
  <si>
    <t>91981</t>
  </si>
  <si>
    <t>1 092 Ft</t>
  </si>
  <si>
    <t>1 319 633 Ft</t>
  </si>
  <si>
    <t>14 226 Ft</t>
  </si>
  <si>
    <t>103434</t>
  </si>
  <si>
    <t>972 Ft</t>
  </si>
  <si>
    <t>2 093 060 Ft</t>
  </si>
  <si>
    <t>3689</t>
  </si>
  <si>
    <t>15 620 Ft</t>
  </si>
  <si>
    <t>98150</t>
  </si>
  <si>
    <t>1 142 Ft</t>
  </si>
  <si>
    <t>1 415 198 Ft</t>
  </si>
  <si>
    <t>3336</t>
  </si>
  <si>
    <t>16 619 Ft</t>
  </si>
  <si>
    <t>105698</t>
  </si>
  <si>
    <t>1 195 677 Ft</t>
  </si>
  <si>
    <t>3623</t>
  </si>
  <si>
    <t>13 977 Ft</t>
  </si>
  <si>
    <t>94710</t>
  </si>
  <si>
    <t>830 553 Ft</t>
  </si>
  <si>
    <t>4021</t>
  </si>
  <si>
    <t>12 247 Ft</t>
  </si>
  <si>
    <t>93995</t>
  </si>
  <si>
    <t>1 019 Ft</t>
  </si>
  <si>
    <t>744 350 Ft</t>
  </si>
  <si>
    <t>4809</t>
  </si>
  <si>
    <t>11 144 Ft</t>
  </si>
  <si>
    <t>118275</t>
  </si>
  <si>
    <t>881 Ft</t>
  </si>
  <si>
    <t>1 939 723 Ft</t>
  </si>
  <si>
    <t>3032</t>
  </si>
  <si>
    <t>16 935 Ft</t>
  </si>
  <si>
    <t>92267</t>
  </si>
  <si>
    <t>1 082 Ft</t>
  </si>
  <si>
    <t>815 262 Ft</t>
  </si>
  <si>
    <t>10 594 Ft</t>
  </si>
  <si>
    <t>115607</t>
  </si>
  <si>
    <t>784 Ft</t>
  </si>
  <si>
    <t>439 396 Ft</t>
  </si>
  <si>
    <t>5562</t>
  </si>
  <si>
    <t>8 365 Ft</t>
  </si>
  <si>
    <t>128000</t>
  </si>
  <si>
    <t>707 Ft</t>
  </si>
  <si>
    <t>1 870 533 Ft</t>
  </si>
  <si>
    <t>2855</t>
  </si>
  <si>
    <t>15 956 Ft</t>
  </si>
  <si>
    <t>80482</t>
  </si>
  <si>
    <t>1 101 Ft</t>
  </si>
  <si>
    <t>2 947 267 Ft</t>
  </si>
  <si>
    <t>1826</t>
  </si>
  <si>
    <t>68579</t>
  </si>
  <si>
    <t>1 327 Ft</t>
  </si>
  <si>
    <t>1 092 246 517 Ft</t>
  </si>
  <si>
    <t>1 827 555 Ft</t>
  </si>
  <si>
    <t>3769</t>
  </si>
  <si>
    <t>15 916 Ft</t>
  </si>
  <si>
    <t>121686</t>
  </si>
  <si>
    <t>959 Ft</t>
  </si>
  <si>
    <t>2 010 801 Ft</t>
  </si>
  <si>
    <t>22 330 Ft</t>
  </si>
  <si>
    <t>83936</t>
  </si>
  <si>
    <t>1 282 Ft</t>
  </si>
  <si>
    <t>1 352 126 Ft</t>
  </si>
  <si>
    <t>17 614 Ft</t>
  </si>
  <si>
    <t>98710</t>
  </si>
  <si>
    <t>703 781 Ft</t>
  </si>
  <si>
    <t>3889</t>
  </si>
  <si>
    <t>95594</t>
  </si>
  <si>
    <t>1 031 Ft</t>
  </si>
  <si>
    <t>1 119 545 Ft</t>
  </si>
  <si>
    <t>16 687 Ft</t>
  </si>
  <si>
    <t>107998</t>
  </si>
  <si>
    <t>1 088 Ft</t>
  </si>
  <si>
    <t>1 460 357 Ft</t>
  </si>
  <si>
    <t>3848</t>
  </si>
  <si>
    <t>13 261 Ft</t>
  </si>
  <si>
    <t>116890</t>
  </si>
  <si>
    <t>849 Ft</t>
  </si>
  <si>
    <t>2 414 215 Ft</t>
  </si>
  <si>
    <t>2624</t>
  </si>
  <si>
    <t>18 509 Ft</t>
  </si>
  <si>
    <t>82591</t>
  </si>
  <si>
    <t>1 143 Ft</t>
  </si>
  <si>
    <t>925 458 Ft</t>
  </si>
  <si>
    <t>4383</t>
  </si>
  <si>
    <t>10 731 Ft</t>
  </si>
  <si>
    <t>106612</t>
  </si>
  <si>
    <t>858 Ft</t>
  </si>
  <si>
    <t>583 295 Ft</t>
  </si>
  <si>
    <t>5138</t>
  </si>
  <si>
    <t>8 895 Ft</t>
  </si>
  <si>
    <t>120870</t>
  </si>
  <si>
    <t>735 Ft</t>
  </si>
  <si>
    <t>2 023 044 Ft</t>
  </si>
  <si>
    <t>2534</t>
  </si>
  <si>
    <t>19 442 Ft</t>
  </si>
  <si>
    <t>74456</t>
  </si>
  <si>
    <t>1 287 Ft</t>
  </si>
  <si>
    <t>831 385 Ft</t>
  </si>
  <si>
    <t>2841</t>
  </si>
  <si>
    <t>15 802 Ft</t>
  </si>
  <si>
    <t>84122</t>
  </si>
  <si>
    <t>1 038 Ft</t>
  </si>
  <si>
    <t>1 370 324 Ft</t>
  </si>
  <si>
    <t>14 162 Ft</t>
  </si>
  <si>
    <t>89520</t>
  </si>
  <si>
    <t>977 Ft</t>
  </si>
  <si>
    <t>4 812 880 Ft</t>
  </si>
  <si>
    <t>1337</t>
  </si>
  <si>
    <t>34 304 Ft</t>
  </si>
  <si>
    <t>52834</t>
  </si>
  <si>
    <t>1 688 Ft</t>
  </si>
  <si>
    <t>84 530 477 Ft</t>
  </si>
  <si>
    <t>656 173 Ft</t>
  </si>
  <si>
    <t>4008</t>
  </si>
  <si>
    <t>12 654 Ft</t>
  </si>
  <si>
    <t>106007</t>
  </si>
  <si>
    <t>429 213 160 Ft</t>
  </si>
  <si>
    <t>517 745 Ft</t>
  </si>
  <si>
    <t>5761</t>
  </si>
  <si>
    <t>8 374 Ft</t>
  </si>
  <si>
    <t>129849</t>
  </si>
  <si>
    <t>722 Ft</t>
  </si>
  <si>
    <t>707 078 Ft</t>
  </si>
  <si>
    <t>5257</t>
  </si>
  <si>
    <t>9 399 Ft</t>
  </si>
  <si>
    <t>117014</t>
  </si>
  <si>
    <t>821 Ft</t>
  </si>
  <si>
    <t>896 338 Ft</t>
  </si>
  <si>
    <t>4403</t>
  </si>
  <si>
    <t>11 209 Ft</t>
  </si>
  <si>
    <t>114730</t>
  </si>
  <si>
    <t>836 Ft</t>
  </si>
  <si>
    <t>1 588 912 Ft</t>
  </si>
  <si>
    <t>2749</t>
  </si>
  <si>
    <t>20 808 Ft</t>
  </si>
  <si>
    <t>87245</t>
  </si>
  <si>
    <t>1 144 533 Ft</t>
  </si>
  <si>
    <t>3204</t>
  </si>
  <si>
    <t>16 642 Ft</t>
  </si>
  <si>
    <t>91193</t>
  </si>
  <si>
    <t>1 137 Ft</t>
  </si>
  <si>
    <t>1 789 757 064 Ft</t>
  </si>
  <si>
    <t>912 047 Ft</t>
  </si>
  <si>
    <t>6230</t>
  </si>
  <si>
    <t>10 075 Ft</t>
  </si>
  <si>
    <t>156797</t>
  </si>
  <si>
    <t>778 Ft</t>
  </si>
  <si>
    <t>1 207 456 Ft</t>
  </si>
  <si>
    <t>4971</t>
  </si>
  <si>
    <t>12 859 Ft</t>
  </si>
  <si>
    <t>139190</t>
  </si>
  <si>
    <t>893 Ft</t>
  </si>
  <si>
    <t>1 359 511 Ft</t>
  </si>
  <si>
    <t>15 093 Ft</t>
  </si>
  <si>
    <t>112208</t>
  </si>
  <si>
    <t>1 073 Ft</t>
  </si>
  <si>
    <t>1 160 502 Ft</t>
  </si>
  <si>
    <t>4787</t>
  </si>
  <si>
    <t>15 401 Ft</t>
  </si>
  <si>
    <t>146743</t>
  </si>
  <si>
    <t>1 776 073 Ft</t>
  </si>
  <si>
    <t>3842</t>
  </si>
  <si>
    <t>110995</t>
  </si>
  <si>
    <t>129</t>
  </si>
  <si>
    <t>463 369 Ft</t>
  </si>
  <si>
    <t>7240</t>
  </si>
  <si>
    <t>8 742 Ft</t>
  </si>
  <si>
    <t>163527</t>
  </si>
  <si>
    <t>753 Ft</t>
  </si>
  <si>
    <t>2 043 437 Ft</t>
  </si>
  <si>
    <t>2434</t>
  </si>
  <si>
    <t>25 779 Ft</t>
  </si>
  <si>
    <t>84644</t>
  </si>
  <si>
    <t>1 441 Ft</t>
  </si>
  <si>
    <t>3 025 314 Ft</t>
  </si>
  <si>
    <t>3576</t>
  </si>
  <si>
    <t>18 811 Ft</t>
  </si>
  <si>
    <t>116052</t>
  </si>
  <si>
    <t>1 127 Ft</t>
  </si>
  <si>
    <t>2 890 344 Ft</t>
  </si>
  <si>
    <t>2888</t>
  </si>
  <si>
    <t>20 134 Ft</t>
  </si>
  <si>
    <t>97533</t>
  </si>
  <si>
    <t>1 159 Ft</t>
  </si>
  <si>
    <t>1 726 677 Ft</t>
  </si>
  <si>
    <t>3162</t>
  </si>
  <si>
    <t>17 924 Ft</t>
  </si>
  <si>
    <t>95552</t>
  </si>
  <si>
    <t>1 153 Ft</t>
  </si>
  <si>
    <t>3 132 251 Ft</t>
  </si>
  <si>
    <t>23 041 Ft</t>
  </si>
  <si>
    <t>89002</t>
  </si>
  <si>
    <t>1 232 Ft</t>
  </si>
  <si>
    <t>1 802 254 Ft</t>
  </si>
  <si>
    <t>21 351 Ft</t>
  </si>
  <si>
    <t>93349</t>
  </si>
  <si>
    <t>1 272 Ft</t>
  </si>
  <si>
    <t>1 072 455 Ft</t>
  </si>
  <si>
    <t>5174</t>
  </si>
  <si>
    <t>10 315 Ft</t>
  </si>
  <si>
    <t>127742</t>
  </si>
  <si>
    <t>812 Ft</t>
  </si>
  <si>
    <t>2006</t>
  </si>
  <si>
    <t>1 203 160 Ft</t>
  </si>
  <si>
    <t>3933</t>
  </si>
  <si>
    <t>13 604 Ft</t>
  </si>
  <si>
    <t>119171</t>
  </si>
  <si>
    <t>873 Ft</t>
  </si>
  <si>
    <t>1 800 231 Ft</t>
  </si>
  <si>
    <t>3056</t>
  </si>
  <si>
    <t>104492</t>
  </si>
  <si>
    <t>993 Ft</t>
  </si>
  <si>
    <t>1 825 629 Ft</t>
  </si>
  <si>
    <t>3070</t>
  </si>
  <si>
    <t>16 371 Ft</t>
  </si>
  <si>
    <t>91796</t>
  </si>
  <si>
    <t>1 276 003 Ft</t>
  </si>
  <si>
    <t>14 265 Ft</t>
  </si>
  <si>
    <t>100902</t>
  </si>
  <si>
    <t>989 Ft</t>
  </si>
  <si>
    <t>1 504 369 Ft</t>
  </si>
  <si>
    <t>19 871 Ft</t>
  </si>
  <si>
    <t>74811</t>
  </si>
  <si>
    <t>1 283 Ft</t>
  </si>
  <si>
    <t>134 343 194 Ft</t>
  </si>
  <si>
    <t>242</t>
  </si>
  <si>
    <t>201 313 Ft</t>
  </si>
  <si>
    <t>12412</t>
  </si>
  <si>
    <t>4 156 Ft</t>
  </si>
  <si>
    <t>200180</t>
  </si>
  <si>
    <t>501 Ft</t>
  </si>
  <si>
    <t>1 231 246 Ft</t>
  </si>
  <si>
    <t>15 098 Ft</t>
  </si>
  <si>
    <t>97289</t>
  </si>
  <si>
    <t>1 042 Ft</t>
  </si>
  <si>
    <t>559 671 Ft</t>
  </si>
  <si>
    <t>3869</t>
  </si>
  <si>
    <t>14 857 Ft</t>
  </si>
  <si>
    <t>102290</t>
  </si>
  <si>
    <t>1 093 Ft</t>
  </si>
  <si>
    <t>1 546 847 144 Ft</t>
  </si>
  <si>
    <t>781 565 Ft</t>
  </si>
  <si>
    <t>5468</t>
  </si>
  <si>
    <t>138274</t>
  </si>
  <si>
    <t>908 Ft</t>
  </si>
  <si>
    <t>1 621 725 Ft</t>
  </si>
  <si>
    <t>15 419 Ft</t>
  </si>
  <si>
    <t>123345</t>
  </si>
  <si>
    <t>974 Ft</t>
  </si>
  <si>
    <t>995 998 Ft</t>
  </si>
  <si>
    <t>4690</t>
  </si>
  <si>
    <t>13 941 Ft</t>
  </si>
  <si>
    <t>126333</t>
  </si>
  <si>
    <t>1 006 Ft</t>
  </si>
  <si>
    <t>2 039 782 Ft</t>
  </si>
  <si>
    <t>17 876 Ft</t>
  </si>
  <si>
    <t>128189</t>
  </si>
  <si>
    <t>1 081 Ft</t>
  </si>
  <si>
    <t>1 905 864 Ft</t>
  </si>
  <si>
    <t>3388</t>
  </si>
  <si>
    <t>17 869 Ft</t>
  </si>
  <si>
    <t>100743</t>
  </si>
  <si>
    <t>1 168 Ft</t>
  </si>
  <si>
    <t>3 181 564 Ft</t>
  </si>
  <si>
    <t>2694</t>
  </si>
  <si>
    <t>21 258 Ft</t>
  </si>
  <si>
    <t>94588</t>
  </si>
  <si>
    <t>1 177 Ft</t>
  </si>
  <si>
    <t>1 378 791 Ft</t>
  </si>
  <si>
    <t>3814</t>
  </si>
  <si>
    <t>14 163 Ft</t>
  </si>
  <si>
    <t>112984</t>
  </si>
  <si>
    <t>510 164 Ft</t>
  </si>
  <si>
    <t>6755</t>
  </si>
  <si>
    <t>7 757 Ft</t>
  </si>
  <si>
    <t>150886</t>
  </si>
  <si>
    <t>675 Ft</t>
  </si>
  <si>
    <t>1 202 701 Ft</t>
  </si>
  <si>
    <t>3645</t>
  </si>
  <si>
    <t>15 023 Ft</t>
  </si>
  <si>
    <t>107390</t>
  </si>
  <si>
    <t>991 Ft</t>
  </si>
  <si>
    <t>2 425 292 Ft</t>
  </si>
  <si>
    <t>3263</t>
  </si>
  <si>
    <t>15 740 Ft</t>
  </si>
  <si>
    <t>94713</t>
  </si>
  <si>
    <t>1 054 Ft</t>
  </si>
  <si>
    <t>1 124 985 Ft</t>
  </si>
  <si>
    <t>3214</t>
  </si>
  <si>
    <t>15 936 Ft</t>
  </si>
  <si>
    <t>94780</t>
  </si>
  <si>
    <t>1 051 Ft</t>
  </si>
  <si>
    <t>2 411 784 Ft</t>
  </si>
  <si>
    <t>2808</t>
  </si>
  <si>
    <t>18 188 Ft</t>
  </si>
  <si>
    <t>97524</t>
  </si>
  <si>
    <t>1 018 Ft</t>
  </si>
  <si>
    <t>1 353 964 Ft</t>
  </si>
  <si>
    <t>3139</t>
  </si>
  <si>
    <t>18 268 Ft</t>
  </si>
  <si>
    <t>95617</t>
  </si>
  <si>
    <t>1 166 Ft</t>
  </si>
  <si>
    <t>1 930 242 Ft</t>
  </si>
  <si>
    <t>17 791 Ft</t>
  </si>
  <si>
    <t>95812</t>
  </si>
  <si>
    <t>1 037 Ft</t>
  </si>
  <si>
    <t>2 320 773 Ft</t>
  </si>
  <si>
    <t>1846</t>
  </si>
  <si>
    <t>26 623 Ft</t>
  </si>
  <si>
    <t>66151</t>
  </si>
  <si>
    <t>1 804 312 Ft</t>
  </si>
  <si>
    <t>2123</t>
  </si>
  <si>
    <t>23 397 Ft</t>
  </si>
  <si>
    <t>74157</t>
  </si>
  <si>
    <t>1 302 Ft</t>
  </si>
  <si>
    <t>94 633 831 Ft</t>
  </si>
  <si>
    <t>957 604 Ft</t>
  </si>
  <si>
    <t>4221</t>
  </si>
  <si>
    <t>13 452 Ft</t>
  </si>
  <si>
    <t>112900</t>
  </si>
  <si>
    <t>978 Ft</t>
  </si>
  <si>
    <t>911 493 796 Ft</t>
  </si>
  <si>
    <t>701 457 Ft</t>
  </si>
  <si>
    <t>7849</t>
  </si>
  <si>
    <t>8 800 Ft</t>
  </si>
  <si>
    <t>189884</t>
  </si>
  <si>
    <t>2 260 633 Ft</t>
  </si>
  <si>
    <t>2825</t>
  </si>
  <si>
    <t>98918</t>
  </si>
  <si>
    <t>1 223 Ft</t>
  </si>
  <si>
    <t>920 223 Ft</t>
  </si>
  <si>
    <t>4486</t>
  </si>
  <si>
    <t>14 118 Ft</t>
  </si>
  <si>
    <t>114646</t>
  </si>
  <si>
    <t>1 074 Ft</t>
  </si>
  <si>
    <t>1 192 977 Ft</t>
  </si>
  <si>
    <t>5389</t>
  </si>
  <si>
    <t>12 657 Ft</t>
  </si>
  <si>
    <t>144353</t>
  </si>
  <si>
    <t>919 Ft</t>
  </si>
  <si>
    <t>1 959 493 Ft</t>
  </si>
  <si>
    <t>3111</t>
  </si>
  <si>
    <t>22 675 Ft</t>
  </si>
  <si>
    <t>110744</t>
  </si>
  <si>
    <t>1 239 Ft</t>
  </si>
  <si>
    <t>1 129 369 Ft</t>
  </si>
  <si>
    <t>4507</t>
  </si>
  <si>
    <t>14 858 Ft</t>
  </si>
  <si>
    <t>126274</t>
  </si>
  <si>
    <t>1 010 486 Ft</t>
  </si>
  <si>
    <t>5038</t>
  </si>
  <si>
    <t>12 742 Ft</t>
  </si>
  <si>
    <t>139783</t>
  </si>
  <si>
    <t>979 885 Ft</t>
  </si>
  <si>
    <t>4560</t>
  </si>
  <si>
    <t>13 879 Ft</t>
  </si>
  <si>
    <t>126388</t>
  </si>
  <si>
    <t>1 114 438 Ft</t>
  </si>
  <si>
    <t>5589</t>
  </si>
  <si>
    <t>11 190 Ft</t>
  </si>
  <si>
    <t>138606</t>
  </si>
  <si>
    <t>877 Ft</t>
  </si>
  <si>
    <t>596 590 Ft</t>
  </si>
  <si>
    <t>5305</t>
  </si>
  <si>
    <t>10 478 Ft</t>
  </si>
  <si>
    <t>123007</t>
  </si>
  <si>
    <t>879 Ft</t>
  </si>
  <si>
    <t>144</t>
  </si>
  <si>
    <t>364 445 Ft</t>
  </si>
  <si>
    <t>9990</t>
  </si>
  <si>
    <t>5 562 Ft</t>
  </si>
  <si>
    <t>202010</t>
  </si>
  <si>
    <t>535 Ft</t>
  </si>
  <si>
    <t>1 362 566 Ft</t>
  </si>
  <si>
    <t>4063</t>
  </si>
  <si>
    <t>13 493 Ft</t>
  </si>
  <si>
    <t>122479</t>
  </si>
  <si>
    <t>570 669 Ft</t>
  </si>
  <si>
    <t>6926</t>
  </si>
  <si>
    <t>8 899 Ft</t>
  </si>
  <si>
    <t>155098</t>
  </si>
  <si>
    <t>773 Ft</t>
  </si>
  <si>
    <t>2 180 319 Ft</t>
  </si>
  <si>
    <t>17 890 Ft</t>
  </si>
  <si>
    <t>96136</t>
  </si>
  <si>
    <t>1 179 620 Ft</t>
  </si>
  <si>
    <t>2999</t>
  </si>
  <si>
    <t>17 492 Ft</t>
  </si>
  <si>
    <t>88524</t>
  </si>
  <si>
    <t>1 152 Ft</t>
  </si>
  <si>
    <t>1 334 812 Ft</t>
  </si>
  <si>
    <t>3652</t>
  </si>
  <si>
    <t>14 706 Ft</t>
  </si>
  <si>
    <t>108930</t>
  </si>
  <si>
    <t>2 587 932 Ft</t>
  </si>
  <si>
    <t>2716</t>
  </si>
  <si>
    <t>20 178 Ft</t>
  </si>
  <si>
    <t>87214</t>
  </si>
  <si>
    <t>1 222 Ft</t>
  </si>
  <si>
    <t>1 214 702 Ft</t>
  </si>
  <si>
    <t>4331</t>
  </si>
  <si>
    <t>14 254 Ft</t>
  </si>
  <si>
    <t>125343</t>
  </si>
  <si>
    <t>958 Ft</t>
  </si>
  <si>
    <t>1 073 599 437 Ft</t>
  </si>
  <si>
    <t>2 135 911 Ft</t>
  </si>
  <si>
    <t>2842</t>
  </si>
  <si>
    <t>24 669 Ft</t>
  </si>
  <si>
    <t>97864</t>
  </si>
  <si>
    <t>1 393 Ft</t>
  </si>
  <si>
    <t>1 061 661 Ft</t>
  </si>
  <si>
    <t>6575</t>
  </si>
  <si>
    <t>10 429 Ft</t>
  </si>
  <si>
    <t>181208</t>
  </si>
  <si>
    <t>736 Ft</t>
  </si>
  <si>
    <t>1 710 203 Ft</t>
  </si>
  <si>
    <t>4351</t>
  </si>
  <si>
    <t>14 983 Ft</t>
  </si>
  <si>
    <t>135550</t>
  </si>
  <si>
    <t>1 441 784 Ft</t>
  </si>
  <si>
    <t>4362</t>
  </si>
  <si>
    <t>16 099 Ft</t>
  </si>
  <si>
    <t>141122</t>
  </si>
  <si>
    <t>968 Ft</t>
  </si>
  <si>
    <t>1 045 827 Ft</t>
  </si>
  <si>
    <t>5273</t>
  </si>
  <si>
    <t>138944</t>
  </si>
  <si>
    <t>868 Ft</t>
  </si>
  <si>
    <t>2 470 015 Ft</t>
  </si>
  <si>
    <t>3232</t>
  </si>
  <si>
    <t>18 611 Ft</t>
  </si>
  <si>
    <t>115964</t>
  </si>
  <si>
    <t>1 009 Ft</t>
  </si>
  <si>
    <t>1 197 263 Ft</t>
  </si>
  <si>
    <t>4965</t>
  </si>
  <si>
    <t>12 000 Ft</t>
  </si>
  <si>
    <t>137083</t>
  </si>
  <si>
    <t>3 319 413 Ft</t>
  </si>
  <si>
    <t>3160</t>
  </si>
  <si>
    <t>22 245 Ft</t>
  </si>
  <si>
    <t>121127</t>
  </si>
  <si>
    <t>1 128 Ft</t>
  </si>
  <si>
    <t>137</t>
  </si>
  <si>
    <t>376 287 Ft</t>
  </si>
  <si>
    <t>9573</t>
  </si>
  <si>
    <t>5 702 Ft</t>
  </si>
  <si>
    <t>186340</t>
  </si>
  <si>
    <t>570 Ft</t>
  </si>
  <si>
    <t>2005</t>
  </si>
  <si>
    <t>1 033 130 Ft</t>
  </si>
  <si>
    <t>5835</t>
  </si>
  <si>
    <t>10 873 Ft</t>
  </si>
  <si>
    <t>148393</t>
  </si>
  <si>
    <t>831 Ft</t>
  </si>
  <si>
    <t>339 642 176 Ft</t>
  </si>
  <si>
    <t>111</t>
  </si>
  <si>
    <t>513 296 Ft</t>
  </si>
  <si>
    <t>6335</t>
  </si>
  <si>
    <t>9 523 Ft</t>
  </si>
  <si>
    <t>153470</t>
  </si>
  <si>
    <t>764 Ft</t>
  </si>
  <si>
    <t>683 050 Ft</t>
  </si>
  <si>
    <t>5558</t>
  </si>
  <si>
    <t>10 540 Ft</t>
  </si>
  <si>
    <t>149275</t>
  </si>
  <si>
    <t>763 Ft</t>
  </si>
  <si>
    <t>922 796 Ft</t>
  </si>
  <si>
    <t>4903</t>
  </si>
  <si>
    <t>13 551 Ft</t>
  </si>
  <si>
    <t>140386</t>
  </si>
  <si>
    <t>1 491 746 Ft</t>
  </si>
  <si>
    <t>3171</t>
  </si>
  <si>
    <t>17 434 Ft</t>
  </si>
  <si>
    <t>98070</t>
  </si>
  <si>
    <t>1 096 Ft</t>
  </si>
  <si>
    <t>1 990 879 Ft</t>
  </si>
  <si>
    <t>22 799 Ft</t>
  </si>
  <si>
    <t>86685</t>
  </si>
  <si>
    <t>1 229 Ft</t>
  </si>
  <si>
    <t>1 360 787 Ft</t>
  </si>
  <si>
    <t>4135</t>
  </si>
  <si>
    <t>13 589 Ft</t>
  </si>
  <si>
    <t>117334</t>
  </si>
  <si>
    <t>931 Ft</t>
  </si>
  <si>
    <t>2 641 504 Ft</t>
  </si>
  <si>
    <t>2408</t>
  </si>
  <si>
    <t>23 230 Ft</t>
  </si>
  <si>
    <t>88631</t>
  </si>
  <si>
    <t>1 227 Ft</t>
  </si>
  <si>
    <t>2 056 228 524 Ft</t>
  </si>
  <si>
    <t>1 504 755 Ft</t>
  </si>
  <si>
    <t>5972</t>
  </si>
  <si>
    <t>14 140 Ft</t>
  </si>
  <si>
    <t>167352</t>
  </si>
  <si>
    <t>981 Ft</t>
  </si>
  <si>
    <t>1 233 572 Ft</t>
  </si>
  <si>
    <t>5705</t>
  </si>
  <si>
    <t>13 737 Ft</t>
  </si>
  <si>
    <t>169275</t>
  </si>
  <si>
    <t>1 456 312 Ft</t>
  </si>
  <si>
    <t>4632</t>
  </si>
  <si>
    <t>16 312 Ft</t>
  </si>
  <si>
    <t>143476</t>
  </si>
  <si>
    <t>1 024 Ft</t>
  </si>
  <si>
    <t>1 698 490 Ft</t>
  </si>
  <si>
    <t>4022</t>
  </si>
  <si>
    <t>19 674 Ft</t>
  </si>
  <si>
    <t>128606</t>
  </si>
  <si>
    <t>1 196 Ft</t>
  </si>
  <si>
    <t>755 853 Ft</t>
  </si>
  <si>
    <t>8166</t>
  </si>
  <si>
    <t>8 821 Ft</t>
  </si>
  <si>
    <t>193470</t>
  </si>
  <si>
    <t>724 Ft</t>
  </si>
  <si>
    <t>998 542 Ft</t>
  </si>
  <si>
    <t>4262</t>
  </si>
  <si>
    <t>15 877 Ft</t>
  </si>
  <si>
    <t>120053</t>
  </si>
  <si>
    <t>1 257 213 Ft</t>
  </si>
  <si>
    <t>4406</t>
  </si>
  <si>
    <t>14 804 Ft</t>
  </si>
  <si>
    <t>126948</t>
  </si>
  <si>
    <t>999 Ft</t>
  </si>
  <si>
    <t>1 211 014 Ft</t>
  </si>
  <si>
    <t>5131</t>
  </si>
  <si>
    <t>13 245 Ft</t>
  </si>
  <si>
    <t>138267</t>
  </si>
  <si>
    <t>956 Ft</t>
  </si>
  <si>
    <t>952 422 Ft</t>
  </si>
  <si>
    <t>5364</t>
  </si>
  <si>
    <t>13 724 Ft</t>
  </si>
  <si>
    <t>142690</t>
  </si>
  <si>
    <t>1 003 Ft</t>
  </si>
  <si>
    <t>2 171 534 Ft</t>
  </si>
  <si>
    <t>3350</t>
  </si>
  <si>
    <t>18 531 Ft</t>
  </si>
  <si>
    <t>120613</t>
  </si>
  <si>
    <t>1 001 Ft</t>
  </si>
  <si>
    <t>981 708 Ft</t>
  </si>
  <si>
    <t>3692</t>
  </si>
  <si>
    <t>15 766 Ft</t>
  </si>
  <si>
    <t>109171</t>
  </si>
  <si>
    <t>1 096 754 Ft</t>
  </si>
  <si>
    <t>3728</t>
  </si>
  <si>
    <t>15 263 Ft</t>
  </si>
  <si>
    <t>105647</t>
  </si>
  <si>
    <t>1 047 Ft</t>
  </si>
  <si>
    <t>846 824 Ft</t>
  </si>
  <si>
    <t>5791</t>
  </si>
  <si>
    <t>11 922 Ft</t>
  </si>
  <si>
    <t>141285</t>
  </si>
  <si>
    <t>914 052 Ft</t>
  </si>
  <si>
    <t>4254</t>
  </si>
  <si>
    <t>13 423 Ft</t>
  </si>
  <si>
    <t>118431</t>
  </si>
  <si>
    <t>976 179 Ft</t>
  </si>
  <si>
    <t>3861</t>
  </si>
  <si>
    <t>13 385 Ft</t>
  </si>
  <si>
    <t>106888</t>
  </si>
  <si>
    <t>1 732 762 Ft</t>
  </si>
  <si>
    <t>3148</t>
  </si>
  <si>
    <t>16 902 Ft</t>
  </si>
  <si>
    <t>106835</t>
  </si>
  <si>
    <t>697 490 Ft</t>
  </si>
  <si>
    <t>5606</t>
  </si>
  <si>
    <t>9 617 Ft</t>
  </si>
  <si>
    <t>136804</t>
  </si>
  <si>
    <t>766 Ft</t>
  </si>
  <si>
    <t>1 516 138 Ft</t>
  </si>
  <si>
    <t>17 333 Ft</t>
  </si>
  <si>
    <t>95415</t>
  </si>
  <si>
    <t>1 112 Ft</t>
  </si>
  <si>
    <t>927 452 Ft</t>
  </si>
  <si>
    <t>4043</t>
  </si>
  <si>
    <t>13 116 Ft</t>
  </si>
  <si>
    <t>107470</t>
  </si>
  <si>
    <t>89 147 992 Ft</t>
  </si>
  <si>
    <t>555 134 Ft</t>
  </si>
  <si>
    <t>6173</t>
  </si>
  <si>
    <t>8 665 Ft</t>
  </si>
  <si>
    <t>139374</t>
  </si>
  <si>
    <t>746 Ft</t>
  </si>
  <si>
    <t>2 302 041 279 Ft</t>
  </si>
  <si>
    <t>748 834 Ft</t>
  </si>
  <si>
    <t>14 257 Ft</t>
  </si>
  <si>
    <t>169335</t>
  </si>
  <si>
    <t>1 011 Ft</t>
  </si>
  <si>
    <t>981 261 Ft</t>
  </si>
  <si>
    <t>6862</t>
  </si>
  <si>
    <t>12 567 Ft</t>
  </si>
  <si>
    <t>186297</t>
  </si>
  <si>
    <t>894 707 Ft</t>
  </si>
  <si>
    <t>6720</t>
  </si>
  <si>
    <t>12 829 Ft</t>
  </si>
  <si>
    <t>178567</t>
  </si>
  <si>
    <t>939 Ft</t>
  </si>
  <si>
    <t>1 950 288 Ft</t>
  </si>
  <si>
    <t>3976</t>
  </si>
  <si>
    <t>19 736 Ft</t>
  </si>
  <si>
    <t>151102</t>
  </si>
  <si>
    <t>1 010 Ft</t>
  </si>
  <si>
    <t>2 324 890 Ft</t>
  </si>
  <si>
    <t>4455</t>
  </si>
  <si>
    <t>17 682 Ft</t>
  </si>
  <si>
    <t>141276</t>
  </si>
  <si>
    <t>1 084 Ft</t>
  </si>
  <si>
    <t>1 396 715 Ft</t>
  </si>
  <si>
    <t>4380</t>
  </si>
  <si>
    <t>20 596 Ft</t>
  </si>
  <si>
    <t>150079</t>
  </si>
  <si>
    <t>1 169 Ft</t>
  </si>
  <si>
    <t>2 115 983 Ft</t>
  </si>
  <si>
    <t>23 126 Ft</t>
  </si>
  <si>
    <t>101145</t>
  </si>
  <si>
    <t>1 421 Ft</t>
  </si>
  <si>
    <t>2 310 571 Ft</t>
  </si>
  <si>
    <t>2773</t>
  </si>
  <si>
    <t>25 585 Ft</t>
  </si>
  <si>
    <t>97906</t>
  </si>
  <si>
    <t>1 409 Ft</t>
  </si>
  <si>
    <t>889 731 Ft</t>
  </si>
  <si>
    <t>6220</t>
  </si>
  <si>
    <t>11 511 Ft</t>
  </si>
  <si>
    <t>179527</t>
  </si>
  <si>
    <t>1 502 924 Ft</t>
  </si>
  <si>
    <t>15 372 Ft</t>
  </si>
  <si>
    <t>131548</t>
  </si>
  <si>
    <t>900 543 Ft</t>
  </si>
  <si>
    <t>6823</t>
  </si>
  <si>
    <t>11 460 Ft</t>
  </si>
  <si>
    <t>177600</t>
  </si>
  <si>
    <t>856 Ft</t>
  </si>
  <si>
    <t>1 785 254 Ft</t>
  </si>
  <si>
    <t>21 329 Ft</t>
  </si>
  <si>
    <t>85914</t>
  </si>
  <si>
    <t>1 369 Ft</t>
  </si>
  <si>
    <t>681 721 Ft</t>
  </si>
  <si>
    <t>6785</t>
  </si>
  <si>
    <t>9 149 Ft</t>
  </si>
  <si>
    <t>159856</t>
  </si>
  <si>
    <t>755 Ft</t>
  </si>
  <si>
    <t>1 046 490 Ft</t>
  </si>
  <si>
    <t>4801</t>
  </si>
  <si>
    <t>13 155 Ft</t>
  </si>
  <si>
    <t>129867</t>
  </si>
  <si>
    <t>946 Ft</t>
  </si>
  <si>
    <t>935 340 Ft</t>
  </si>
  <si>
    <t>13 274 Ft</t>
  </si>
  <si>
    <t>133234</t>
  </si>
  <si>
    <t>809 Ft</t>
  </si>
  <si>
    <t>788 540 Ft</t>
  </si>
  <si>
    <t>5313</t>
  </si>
  <si>
    <t>10 057 Ft</t>
  </si>
  <si>
    <t>146508</t>
  </si>
  <si>
    <t>709 Ft</t>
  </si>
  <si>
    <t>827 712 Ft</t>
  </si>
  <si>
    <t>5489</t>
  </si>
  <si>
    <t>9 420 Ft</t>
  </si>
  <si>
    <t>140639</t>
  </si>
  <si>
    <t>715 Ft</t>
  </si>
  <si>
    <t>711 232 Ft</t>
  </si>
  <si>
    <t>4424</t>
  </si>
  <si>
    <t>11 916 Ft</t>
  </si>
  <si>
    <t>122213</t>
  </si>
  <si>
    <t>839 Ft</t>
  </si>
  <si>
    <t>1 284 071 Ft</t>
  </si>
  <si>
    <t>4217</t>
  </si>
  <si>
    <t>13 541 Ft</t>
  </si>
  <si>
    <t>124483</t>
  </si>
  <si>
    <t>892 Ft</t>
  </si>
  <si>
    <t>1 598 995 Ft</t>
  </si>
  <si>
    <t>19 642 Ft</t>
  </si>
  <si>
    <t>87657</t>
  </si>
  <si>
    <t>1 164 Ft</t>
  </si>
  <si>
    <t>1 369 312 001 Ft</t>
  </si>
  <si>
    <t>962 618 Ft</t>
  </si>
  <si>
    <t>6942</t>
  </si>
  <si>
    <t>10 718 Ft</t>
  </si>
  <si>
    <t>201039</t>
  </si>
  <si>
    <t>1 714 498 Ft</t>
  </si>
  <si>
    <t>5365</t>
  </si>
  <si>
    <t>13 873 Ft</t>
  </si>
  <si>
    <t>147349</t>
  </si>
  <si>
    <t>982 Ft</t>
  </si>
  <si>
    <t>1 856 894 Ft</t>
  </si>
  <si>
    <t>4474</t>
  </si>
  <si>
    <t>16 260 Ft</t>
  </si>
  <si>
    <t>144993</t>
  </si>
  <si>
    <t>976 Ft</t>
  </si>
  <si>
    <t>2 192 217 Ft</t>
  </si>
  <si>
    <t>4300</t>
  </si>
  <si>
    <t>18 893 Ft</t>
  </si>
  <si>
    <t>121471</t>
  </si>
  <si>
    <t>2004</t>
  </si>
  <si>
    <t>1 964 731 Ft</t>
  </si>
  <si>
    <t>4306</t>
  </si>
  <si>
    <t>14 494 Ft</t>
  </si>
  <si>
    <t>145152</t>
  </si>
  <si>
    <t>815 566 Ft</t>
  </si>
  <si>
    <t>5391</t>
  </si>
  <si>
    <t>10 412 Ft</t>
  </si>
  <si>
    <t>131580</t>
  </si>
  <si>
    <t>829 Ft</t>
  </si>
  <si>
    <t>1 019 275 Ft</t>
  </si>
  <si>
    <t>5170</t>
  </si>
  <si>
    <t>10 855 Ft</t>
  </si>
  <si>
    <t>142182</t>
  </si>
  <si>
    <t>767 Ft</t>
  </si>
  <si>
    <t>3 885 553 Ft</t>
  </si>
  <si>
    <t>2036</t>
  </si>
  <si>
    <t>32 331 Ft</t>
  </si>
  <si>
    <t>83865</t>
  </si>
  <si>
    <t>1 526 Ft</t>
  </si>
  <si>
    <t>591 444 Ft</t>
  </si>
  <si>
    <t>6212</t>
  </si>
  <si>
    <t>8 468 Ft</t>
  </si>
  <si>
    <t>165392</t>
  </si>
  <si>
    <t>618 Ft</t>
  </si>
  <si>
    <t>1 800 108 Ft</t>
  </si>
  <si>
    <t>2917</t>
  </si>
  <si>
    <t>16 989 Ft</t>
  </si>
  <si>
    <t>94685</t>
  </si>
  <si>
    <t>930 867 Ft</t>
  </si>
  <si>
    <t>4367</t>
  </si>
  <si>
    <t>11 059 Ft</t>
  </si>
  <si>
    <t>119355</t>
  </si>
  <si>
    <t>787 Ft</t>
  </si>
  <si>
    <t>1 200 337 Ft</t>
  </si>
  <si>
    <t>14 991 Ft</t>
  </si>
  <si>
    <t>105445</t>
  </si>
  <si>
    <t>961 Ft</t>
  </si>
  <si>
    <t>1 656 751 Ft</t>
  </si>
  <si>
    <t>2760</t>
  </si>
  <si>
    <t>17 161 Ft</t>
  </si>
  <si>
    <t>88481</t>
  </si>
  <si>
    <t>1 041 Ft</t>
  </si>
  <si>
    <t>1 636 218 Ft</t>
  </si>
  <si>
    <t>2770</t>
  </si>
  <si>
    <t>16 887 Ft</t>
  </si>
  <si>
    <t>101002</t>
  </si>
  <si>
    <t>901 Ft</t>
  </si>
  <si>
    <t>152 800 684 Ft</t>
  </si>
  <si>
    <t>1 837 280 Ft</t>
  </si>
  <si>
    <t>2513</t>
  </si>
  <si>
    <t>17 031 Ft</t>
  </si>
  <si>
    <t>82727</t>
  </si>
  <si>
    <t>839 398 Ft</t>
  </si>
  <si>
    <t>4156</t>
  </si>
  <si>
    <t>11 762 Ft</t>
  </si>
  <si>
    <t>137612</t>
  </si>
  <si>
    <t>691 Ft</t>
  </si>
  <si>
    <t>1 720 814 058 Ft</t>
  </si>
  <si>
    <t>110</t>
  </si>
  <si>
    <t>590 234 Ft</t>
  </si>
  <si>
    <t>8133</t>
  </si>
  <si>
    <t>8 453 Ft</t>
  </si>
  <si>
    <t>205709</t>
  </si>
  <si>
    <t>650 Ft</t>
  </si>
  <si>
    <t>2 422 732 Ft</t>
  </si>
  <si>
    <t>3264</t>
  </si>
  <si>
    <t>19 648 Ft</t>
  </si>
  <si>
    <t>108176</t>
  </si>
  <si>
    <t>1 020 464 Ft</t>
  </si>
  <si>
    <t>5007</t>
  </si>
  <si>
    <t>12 516 Ft</t>
  </si>
  <si>
    <t>145954</t>
  </si>
  <si>
    <t>1 390 581 Ft</t>
  </si>
  <si>
    <t>4525</t>
  </si>
  <si>
    <t>13 666 Ft</t>
  </si>
  <si>
    <t>145746</t>
  </si>
  <si>
    <t>3 280 839 Ft</t>
  </si>
  <si>
    <t>2255</t>
  </si>
  <si>
    <t>26 189 Ft</t>
  </si>
  <si>
    <t>90715</t>
  </si>
  <si>
    <t>1 266 Ft</t>
  </si>
  <si>
    <t>1 528 863 Ft</t>
  </si>
  <si>
    <t>3340</t>
  </si>
  <si>
    <t>16 479 Ft</t>
  </si>
  <si>
    <t>112526</t>
  </si>
  <si>
    <t>951 Ft</t>
  </si>
  <si>
    <t>1 384 883 Ft</t>
  </si>
  <si>
    <t>3568</t>
  </si>
  <si>
    <t>14 795 Ft</t>
  </si>
  <si>
    <t>107582</t>
  </si>
  <si>
    <t>954 Ft</t>
  </si>
  <si>
    <t>1 232 818 Ft</t>
  </si>
  <si>
    <t>3496</t>
  </si>
  <si>
    <t>14 562 Ft</t>
  </si>
  <si>
    <t>105175</t>
  </si>
  <si>
    <t>941 Ft</t>
  </si>
  <si>
    <t>1 030 428 Ft</t>
  </si>
  <si>
    <t>11 443 Ft</t>
  </si>
  <si>
    <t>131244</t>
  </si>
  <si>
    <t>889 Ft</t>
  </si>
  <si>
    <t>1 232 714 Ft</t>
  </si>
  <si>
    <t>3901</t>
  </si>
  <si>
    <t>12 714 Ft</t>
  </si>
  <si>
    <t>104362</t>
  </si>
  <si>
    <t>924 Ft</t>
  </si>
  <si>
    <t>495 353 Ft</t>
  </si>
  <si>
    <t>5390</t>
  </si>
  <si>
    <t>9 244 Ft</t>
  </si>
  <si>
    <t>122860</t>
  </si>
  <si>
    <t>789 Ft</t>
  </si>
  <si>
    <t>582 106 Ft</t>
  </si>
  <si>
    <t>5092</t>
  </si>
  <si>
    <t>9 320 Ft</t>
  </si>
  <si>
    <t>127695</t>
  </si>
  <si>
    <t>723 Ft</t>
  </si>
  <si>
    <t>967 228 Ft</t>
  </si>
  <si>
    <t>14 085 Ft</t>
  </si>
  <si>
    <t>104357</t>
  </si>
  <si>
    <t>916 Ft</t>
  </si>
  <si>
    <t>1 876 366 Ft</t>
  </si>
  <si>
    <t>3473</t>
  </si>
  <si>
    <t>16 017 Ft</t>
  </si>
  <si>
    <t>100369</t>
  </si>
  <si>
    <t>1 078 Ft</t>
  </si>
  <si>
    <t>1 429 321 Ft</t>
  </si>
  <si>
    <t>3595</t>
  </si>
  <si>
    <t>13 471 Ft</t>
  </si>
  <si>
    <t>110359</t>
  </si>
  <si>
    <t>853 Ft</t>
  </si>
  <si>
    <t>1 088 626 Ft</t>
  </si>
  <si>
    <t>3745</t>
  </si>
  <si>
    <t>12 927 Ft</t>
  </si>
  <si>
    <t>106843</t>
  </si>
  <si>
    <t>1 041 733 Ft</t>
  </si>
  <si>
    <t>5247</t>
  </si>
  <si>
    <t>9 250 Ft</t>
  </si>
  <si>
    <t>133402</t>
  </si>
  <si>
    <t>748 193 Ft</t>
  </si>
  <si>
    <t>6066</t>
  </si>
  <si>
    <t>9 011 Ft</t>
  </si>
  <si>
    <t>155956</t>
  </si>
  <si>
    <t>682 Ft</t>
  </si>
  <si>
    <t>250 904 037 Ft</t>
  </si>
  <si>
    <t>251</t>
  </si>
  <si>
    <t>239 746 Ft</t>
  </si>
  <si>
    <t>11537</t>
  </si>
  <si>
    <t>5 523 Ft</t>
  </si>
  <si>
    <t>221828</t>
  </si>
  <si>
    <t>559 Ft</t>
  </si>
  <si>
    <t>537 020 Ft</t>
  </si>
  <si>
    <t>6460</t>
  </si>
  <si>
    <t>8 978 Ft</t>
  </si>
  <si>
    <t>155261</t>
  </si>
  <si>
    <t>726 Ft</t>
  </si>
  <si>
    <t>631 313 Ft</t>
  </si>
  <si>
    <t>6080</t>
  </si>
  <si>
    <t>9 235 Ft</t>
  </si>
  <si>
    <t>149401</t>
  </si>
  <si>
    <t>731 Ft</t>
  </si>
  <si>
    <t>1 692 297 Ft</t>
  </si>
  <si>
    <t>17 003 Ft</t>
  </si>
  <si>
    <t>121552</t>
  </si>
  <si>
    <t>975 Ft</t>
  </si>
  <si>
    <t>1 494 730 Ft</t>
  </si>
  <si>
    <t>4420</t>
  </si>
  <si>
    <t>13 248 Ft</t>
  </si>
  <si>
    <t>132184</t>
  </si>
  <si>
    <t>861 Ft</t>
  </si>
  <si>
    <t>1 359 743 Ft</t>
  </si>
  <si>
    <t>3206</t>
  </si>
  <si>
    <t>15 718 Ft</t>
  </si>
  <si>
    <t>96279</t>
  </si>
  <si>
    <t>1 349 861 Ft</t>
  </si>
  <si>
    <t>3564</t>
  </si>
  <si>
    <t>14 437 Ft</t>
  </si>
  <si>
    <t>108201</t>
  </si>
  <si>
    <t>674 281 Ft</t>
  </si>
  <si>
    <t>4361</t>
  </si>
  <si>
    <t>11 296 Ft</t>
  </si>
  <si>
    <t>111911</t>
  </si>
  <si>
    <t>1 087 053 Ft</t>
  </si>
  <si>
    <t>5422</t>
  </si>
  <si>
    <t>10 190 Ft</t>
  </si>
  <si>
    <t>153150</t>
  </si>
  <si>
    <t>701 Ft</t>
  </si>
  <si>
    <t>809 586 Ft</t>
  </si>
  <si>
    <t>3950</t>
  </si>
  <si>
    <t>12 370 Ft</t>
  </si>
  <si>
    <t>105711</t>
  </si>
  <si>
    <t>899 Ft</t>
  </si>
  <si>
    <t>1 338 675 Ft</t>
  </si>
  <si>
    <t>3042</t>
  </si>
  <si>
    <t>16 308 Ft</t>
  </si>
  <si>
    <t>97214</t>
  </si>
  <si>
    <t>992 Ft</t>
  </si>
  <si>
    <t>760 014 220 Ft</t>
  </si>
  <si>
    <t>2 487 212 Ft</t>
  </si>
  <si>
    <t>105749</t>
  </si>
  <si>
    <t>1 017 Ft</t>
  </si>
  <si>
    <t>1 573 560 Ft</t>
  </si>
  <si>
    <t>4035</t>
  </si>
  <si>
    <t>14 865 Ft</t>
  </si>
  <si>
    <t>120058</t>
  </si>
  <si>
    <t>971 Ft</t>
  </si>
  <si>
    <t>1 266 278 Ft</t>
  </si>
  <si>
    <t>4233</t>
  </si>
  <si>
    <t>14 887 Ft</t>
  </si>
  <si>
    <t>135283</t>
  </si>
  <si>
    <t>906 Ft</t>
  </si>
  <si>
    <t>874 845 Ft</t>
  </si>
  <si>
    <t>5236</t>
  </si>
  <si>
    <t>10 084 Ft</t>
  </si>
  <si>
    <t>144818</t>
  </si>
  <si>
    <t>596 969 Ft</t>
  </si>
  <si>
    <t>5176</t>
  </si>
  <si>
    <t>10 502 Ft</t>
  </si>
  <si>
    <t>127255</t>
  </si>
  <si>
    <t>1 410 540 Ft</t>
  </si>
  <si>
    <t>4277</t>
  </si>
  <si>
    <t>16 063 Ft</t>
  </si>
  <si>
    <t>137948</t>
  </si>
  <si>
    <t>2 723 936 Ft</t>
  </si>
  <si>
    <t>2981</t>
  </si>
  <si>
    <t>17 415 Ft</t>
  </si>
  <si>
    <t>113920</t>
  </si>
  <si>
    <t>886 Ft</t>
  </si>
  <si>
    <t>2 947 428 Ft</t>
  </si>
  <si>
    <t>2101</t>
  </si>
  <si>
    <t>23 766 Ft</t>
  </si>
  <si>
    <t>80409</t>
  </si>
  <si>
    <t>1 207 Ft</t>
  </si>
  <si>
    <t>84 189 343 Ft</t>
  </si>
  <si>
    <t>1 163 593 Ft</t>
  </si>
  <si>
    <t>3279</t>
  </si>
  <si>
    <t>15 405 Ft</t>
  </si>
  <si>
    <t>104891</t>
  </si>
  <si>
    <t>936 Ft</t>
  </si>
  <si>
    <t>185 978 722 Ft</t>
  </si>
  <si>
    <t>919 350 Ft</t>
  </si>
  <si>
    <t>3808</t>
  </si>
  <si>
    <t>14 060 Ft</t>
  </si>
  <si>
    <t>111223</t>
  </si>
  <si>
    <t>122</t>
  </si>
  <si>
    <t>449 374 Ft</t>
  </si>
  <si>
    <t>7834</t>
  </si>
  <si>
    <t>7 410 Ft</t>
  </si>
  <si>
    <t>171519</t>
  </si>
  <si>
    <t>658 Ft</t>
  </si>
  <si>
    <t>245 247 361 Ft</t>
  </si>
  <si>
    <t>976 161 Ft</t>
  </si>
  <si>
    <t>5866</t>
  </si>
  <si>
    <t>9 691 Ft</t>
  </si>
  <si>
    <t>152979</t>
  </si>
  <si>
    <t>2003</t>
  </si>
  <si>
    <t>971 179 Ft</t>
  </si>
  <si>
    <t>4534</t>
  </si>
  <si>
    <t>11 794 Ft</t>
  </si>
  <si>
    <t>127803</t>
  </si>
  <si>
    <t>814 Ft</t>
  </si>
  <si>
    <t>973 308 Ft</t>
  </si>
  <si>
    <t>9 689 Ft</t>
  </si>
  <si>
    <t>173955</t>
  </si>
  <si>
    <t>668 Ft</t>
  </si>
  <si>
    <t>1 256 905 Ft</t>
  </si>
  <si>
    <t>4816</t>
  </si>
  <si>
    <t>12 712 Ft</t>
  </si>
  <si>
    <t>141830</t>
  </si>
  <si>
    <t>1 025 643 Ft</t>
  </si>
  <si>
    <t>5186</t>
  </si>
  <si>
    <t>12 145 Ft</t>
  </si>
  <si>
    <t>146645</t>
  </si>
  <si>
    <t>5 092 890 758 Ft</t>
  </si>
  <si>
    <t>2 120 348 Ft</t>
  </si>
  <si>
    <t>8276</t>
  </si>
  <si>
    <t>17 362 Ft</t>
  </si>
  <si>
    <t>281227</t>
  </si>
  <si>
    <t>164</t>
  </si>
  <si>
    <t>821 067 Ft</t>
  </si>
  <si>
    <t>14324</t>
  </si>
  <si>
    <t>9 954 Ft</t>
  </si>
  <si>
    <t>372078</t>
  </si>
  <si>
    <t>745 Ft</t>
  </si>
  <si>
    <t>118</t>
  </si>
  <si>
    <t>1 119 028 Ft</t>
  </si>
  <si>
    <t>9853</t>
  </si>
  <si>
    <t>14 190 Ft</t>
  </si>
  <si>
    <t>290726</t>
  </si>
  <si>
    <t>134</t>
  </si>
  <si>
    <t>975 490 Ft</t>
  </si>
  <si>
    <t>14306</t>
  </si>
  <si>
    <t>9 675 Ft</t>
  </si>
  <si>
    <t>384173</t>
  </si>
  <si>
    <t>1 534 877 Ft</t>
  </si>
  <si>
    <t>8428</t>
  </si>
  <si>
    <t>15 426 Ft</t>
  </si>
  <si>
    <t>284580</t>
  </si>
  <si>
    <t>888 Ft</t>
  </si>
  <si>
    <t>106</t>
  </si>
  <si>
    <t>1 088 922 Ft</t>
  </si>
  <si>
    <t>10678</t>
  </si>
  <si>
    <t>11 446 Ft</t>
  </si>
  <si>
    <t>308689</t>
  </si>
  <si>
    <t>1 696 994 Ft</t>
  </si>
  <si>
    <t>8612</t>
  </si>
  <si>
    <t>14 396 Ft</t>
  </si>
  <si>
    <t>292297</t>
  </si>
  <si>
    <t>1 420 873 Ft</t>
  </si>
  <si>
    <t>6327</t>
  </si>
  <si>
    <t>18 785 Ft</t>
  </si>
  <si>
    <t>207315</t>
  </si>
  <si>
    <t>2 551 094 Ft</t>
  </si>
  <si>
    <t>3882</t>
  </si>
  <si>
    <t>29 224 Ft</t>
  </si>
  <si>
    <t>154094</t>
  </si>
  <si>
    <t>1 432 Ft</t>
  </si>
  <si>
    <t>146</t>
  </si>
  <si>
    <t>677 360 Ft</t>
  </si>
  <si>
    <t>11632</t>
  </si>
  <si>
    <t>9 002 Ft</t>
  </si>
  <si>
    <t>297169</t>
  </si>
  <si>
    <t>3 615 384 Ft</t>
  </si>
  <si>
    <t>3510</t>
  </si>
  <si>
    <t>27 265 Ft</t>
  </si>
  <si>
    <t>130584</t>
  </si>
  <si>
    <t>1 278 467 Ft</t>
  </si>
  <si>
    <t>8365</t>
  </si>
  <si>
    <t>11 813 Ft</t>
  </si>
  <si>
    <t>223126</t>
  </si>
  <si>
    <t>891 056 Ft</t>
  </si>
  <si>
    <t>8079</t>
  </si>
  <si>
    <t>10 744 Ft</t>
  </si>
  <si>
    <t>225492</t>
  </si>
  <si>
    <t>748 Ft</t>
  </si>
  <si>
    <t>2 059 487 Ft</t>
  </si>
  <si>
    <t>17 163 Ft</t>
  </si>
  <si>
    <t>150937</t>
  </si>
  <si>
    <t>1 745 718 Ft</t>
  </si>
  <si>
    <t>5511</t>
  </si>
  <si>
    <t>14 422 Ft</t>
  </si>
  <si>
    <t>162596</t>
  </si>
  <si>
    <t>120</t>
  </si>
  <si>
    <t>633 164 Ft</t>
  </si>
  <si>
    <t>9835</t>
  </si>
  <si>
    <t>8 180 Ft</t>
  </si>
  <si>
    <t>243351</t>
  </si>
  <si>
    <t>643 Ft</t>
  </si>
  <si>
    <t>682 392 Ft</t>
  </si>
  <si>
    <t>8163</t>
  </si>
  <si>
    <t>9 382 Ft</t>
  </si>
  <si>
    <t>198478</t>
  </si>
  <si>
    <t>750 Ft</t>
  </si>
  <si>
    <t>1 757 528 Ft</t>
  </si>
  <si>
    <t>14 705 Ft</t>
  </si>
  <si>
    <t>165829</t>
  </si>
  <si>
    <t>1 297 657 Ft</t>
  </si>
  <si>
    <t>5079</t>
  </si>
  <si>
    <t>13 526 Ft</t>
  </si>
  <si>
    <t>150119</t>
  </si>
  <si>
    <t>890 Ft</t>
  </si>
  <si>
    <t>1 142 344 Ft</t>
  </si>
  <si>
    <t>5755</t>
  </si>
  <si>
    <t>11 770 Ft</t>
  </si>
  <si>
    <t>185659</t>
  </si>
  <si>
    <t>1 178 863 Ft</t>
  </si>
  <si>
    <t>4823</t>
  </si>
  <si>
    <t>15 269 Ft</t>
  </si>
  <si>
    <t>145445</t>
  </si>
  <si>
    <t>1 002 377 Ft</t>
  </si>
  <si>
    <t>6124</t>
  </si>
  <si>
    <t>11 265 Ft</t>
  </si>
  <si>
    <t>172442</t>
  </si>
  <si>
    <t>664 217 Ft</t>
  </si>
  <si>
    <t>5565</t>
  </si>
  <si>
    <t>10 868 Ft</t>
  </si>
  <si>
    <t>142172</t>
  </si>
  <si>
    <t>827 Ft</t>
  </si>
  <si>
    <t>1 868 215 Ft</t>
  </si>
  <si>
    <t>4310</t>
  </si>
  <si>
    <t>14 687 Ft</t>
  </si>
  <si>
    <t>126909</t>
  </si>
  <si>
    <t>970 Ft</t>
  </si>
  <si>
    <t>1 159 443 Ft</t>
  </si>
  <si>
    <t>5934</t>
  </si>
  <si>
    <t>11 379 Ft</t>
  </si>
  <si>
    <t>169368</t>
  </si>
  <si>
    <t>931 990 Ft</t>
  </si>
  <si>
    <t>4778</t>
  </si>
  <si>
    <t>11 979 Ft</t>
  </si>
  <si>
    <t>136368</t>
  </si>
  <si>
    <t>816 Ft</t>
  </si>
  <si>
    <t>3 341 546 Ft</t>
  </si>
  <si>
    <t>1701</t>
  </si>
  <si>
    <t>65826</t>
  </si>
  <si>
    <t>1 463 Ft</t>
  </si>
  <si>
    <t>2 102 231 Ft</t>
  </si>
  <si>
    <t>2747</t>
  </si>
  <si>
    <t>17 827 Ft</t>
  </si>
  <si>
    <t>94993</t>
  </si>
  <si>
    <t>1 002 Ft</t>
  </si>
  <si>
    <t>1 444 047 Ft</t>
  </si>
  <si>
    <t>2863</t>
  </si>
  <si>
    <t>16 556 Ft</t>
  </si>
  <si>
    <t>84025</t>
  </si>
  <si>
    <t>1 097 Ft</t>
  </si>
  <si>
    <t>592 941 Ft</t>
  </si>
  <si>
    <t>5275</t>
  </si>
  <si>
    <t>9 402 Ft</t>
  </si>
  <si>
    <t>123818</t>
  </si>
  <si>
    <t>779 Ft</t>
  </si>
  <si>
    <t>6 420 801 Ft</t>
  </si>
  <si>
    <t>27 104 Ft</t>
  </si>
  <si>
    <t>64751</t>
  </si>
  <si>
    <t>802 989 Ft</t>
  </si>
  <si>
    <t>3291</t>
  </si>
  <si>
    <t>12 142 Ft</t>
  </si>
  <si>
    <t>82904</t>
  </si>
  <si>
    <t>937 Ft</t>
  </si>
  <si>
    <t>4 421 557 Ft</t>
  </si>
  <si>
    <t>1557</t>
  </si>
  <si>
    <t>27 062 Ft</t>
  </si>
  <si>
    <t>54533</t>
  </si>
  <si>
    <t>1 502 Ft</t>
  </si>
  <si>
    <t>2 184 431 Ft</t>
  </si>
  <si>
    <t>2600</t>
  </si>
  <si>
    <t>14 233 Ft</t>
  </si>
  <si>
    <t>91281</t>
  </si>
  <si>
    <t>788 Ft</t>
  </si>
  <si>
    <t>2 434 097 Ft</t>
  </si>
  <si>
    <t>15 532 Ft</t>
  </si>
  <si>
    <t>77530</t>
  </si>
  <si>
    <t>905 Ft</t>
  </si>
  <si>
    <t>530 143 Ft</t>
  </si>
  <si>
    <t>4597</t>
  </si>
  <si>
    <t>7 693 Ft</t>
  </si>
  <si>
    <t>108049</t>
  </si>
  <si>
    <t>636 Ft</t>
  </si>
  <si>
    <t>937 168 Ft</t>
  </si>
  <si>
    <t>10 966 Ft</t>
  </si>
  <si>
    <t>92055</t>
  </si>
  <si>
    <t>776 Ft</t>
  </si>
  <si>
    <t>404 442 Ft</t>
  </si>
  <si>
    <t>7056</t>
  </si>
  <si>
    <t>4 734 Ft</t>
  </si>
  <si>
    <t>149441</t>
  </si>
  <si>
    <t>435 Ft</t>
  </si>
  <si>
    <t>756 346 Ft</t>
  </si>
  <si>
    <t>3363</t>
  </si>
  <si>
    <t>11 192 Ft</t>
  </si>
  <si>
    <t>97148</t>
  </si>
  <si>
    <t>129 687 255 Ft</t>
  </si>
  <si>
    <t>870 474 Ft</t>
  </si>
  <si>
    <t>4722</t>
  </si>
  <si>
    <t>8 198 Ft</t>
  </si>
  <si>
    <t>116823</t>
  </si>
  <si>
    <t>644 Ft</t>
  </si>
  <si>
    <t>971 830 Ft</t>
  </si>
  <si>
    <t>3799</t>
  </si>
  <si>
    <t>10 293 Ft</t>
  </si>
  <si>
    <t>112552</t>
  </si>
  <si>
    <t>676 Ft</t>
  </si>
  <si>
    <t>549 529 048 Ft</t>
  </si>
  <si>
    <t>430 324 Ft</t>
  </si>
  <si>
    <t>6583</t>
  </si>
  <si>
    <t>6 991 Ft</t>
  </si>
  <si>
    <t>161223</t>
  </si>
  <si>
    <t>555 Ft</t>
  </si>
  <si>
    <t>136</t>
  </si>
  <si>
    <t>292 072 Ft</t>
  </si>
  <si>
    <t>10380</t>
  </si>
  <si>
    <t>4 052 Ft</t>
  </si>
  <si>
    <t>185016</t>
  </si>
  <si>
    <t>442 Ft</t>
  </si>
  <si>
    <t>1 974 919 Ft</t>
  </si>
  <si>
    <t>2130</t>
  </si>
  <si>
    <t>19 635 Ft</t>
  </si>
  <si>
    <t>88906</t>
  </si>
  <si>
    <t>1 781 663 Ft</t>
  </si>
  <si>
    <t>3920</t>
  </si>
  <si>
    <t>11 069 Ft</t>
  </si>
  <si>
    <t>111486</t>
  </si>
  <si>
    <t>757 Ft</t>
  </si>
  <si>
    <t>573 238 Ft</t>
  </si>
  <si>
    <t>5437</t>
  </si>
  <si>
    <t>8 373 Ft</t>
  </si>
  <si>
    <t>131618</t>
  </si>
  <si>
    <t>673 Ft</t>
  </si>
  <si>
    <t>711 796 Ft</t>
  </si>
  <si>
    <t>5600</t>
  </si>
  <si>
    <t>10 363 Ft</t>
  </si>
  <si>
    <t>155374</t>
  </si>
  <si>
    <t>1 681 636 Ft</t>
  </si>
  <si>
    <t>2998</t>
  </si>
  <si>
    <t>16 036 Ft</t>
  </si>
  <si>
    <t>98912</t>
  </si>
  <si>
    <t>945 Ft</t>
  </si>
  <si>
    <t>2002</t>
  </si>
  <si>
    <t>2 971 005 678 Ft</t>
  </si>
  <si>
    <t>218</t>
  </si>
  <si>
    <t>502 277 Ft</t>
  </si>
  <si>
    <t>14823</t>
  </si>
  <si>
    <t>7 821 Ft</t>
  </si>
  <si>
    <t>388417</t>
  </si>
  <si>
    <t>580 Ft</t>
  </si>
  <si>
    <t>145</t>
  </si>
  <si>
    <t>894 799 Ft</t>
  </si>
  <si>
    <t>12308</t>
  </si>
  <si>
    <t>9 785 Ft</t>
  </si>
  <si>
    <t>313289</t>
  </si>
  <si>
    <t>747 Ft</t>
  </si>
  <si>
    <t>1 895 356 Ft</t>
  </si>
  <si>
    <t>9042</t>
  </si>
  <si>
    <t>15 314 Ft</t>
  </si>
  <si>
    <t>373885</t>
  </si>
  <si>
    <t>1 167 479 Ft</t>
  </si>
  <si>
    <t>11453</t>
  </si>
  <si>
    <t>10 501 Ft</t>
  </si>
  <si>
    <t>346311</t>
  </si>
  <si>
    <t>116</t>
  </si>
  <si>
    <t>983 307 Ft</t>
  </si>
  <si>
    <t>9626</t>
  </si>
  <si>
    <t>12 547 Ft</t>
  </si>
  <si>
    <t>283504</t>
  </si>
  <si>
    <t>828 Ft</t>
  </si>
  <si>
    <t>187</t>
  </si>
  <si>
    <t>620 065 Ft</t>
  </si>
  <si>
    <t>17104</t>
  </si>
  <si>
    <t>7 178 Ft</t>
  </si>
  <si>
    <t>432506</t>
  </si>
  <si>
    <t>552 Ft</t>
  </si>
  <si>
    <t>121</t>
  </si>
  <si>
    <t>920 004 Ft</t>
  </si>
  <si>
    <t>10240</t>
  </si>
  <si>
    <t>279582</t>
  </si>
  <si>
    <t>940 378 Ft</t>
  </si>
  <si>
    <t>10633</t>
  </si>
  <si>
    <t>9 926 Ft</t>
  </si>
  <si>
    <t>277295</t>
  </si>
  <si>
    <t>740 Ft</t>
  </si>
  <si>
    <t>326 916 Ft</t>
  </si>
  <si>
    <t>13954</t>
  </si>
  <si>
    <t>6 003 Ft</t>
  </si>
  <si>
    <t>307361</t>
  </si>
  <si>
    <t>530 Ft</t>
  </si>
  <si>
    <t>875 685 Ft</t>
  </si>
  <si>
    <t>6780</t>
  </si>
  <si>
    <t>9 573 Ft</t>
  </si>
  <si>
    <t>181660</t>
  </si>
  <si>
    <t>695 Ft</t>
  </si>
  <si>
    <t>153</t>
  </si>
  <si>
    <t>328 654 Ft</t>
  </si>
  <si>
    <t>8912</t>
  </si>
  <si>
    <t>5 974 Ft</t>
  </si>
  <si>
    <t>189072</t>
  </si>
  <si>
    <t>548 Ft</t>
  </si>
  <si>
    <t>818 487 Ft</t>
  </si>
  <si>
    <t>4469</t>
  </si>
  <si>
    <t>10 666 Ft</t>
  </si>
  <si>
    <t>129990</t>
  </si>
  <si>
    <t>713 Ft</t>
  </si>
  <si>
    <t>443 519 Ft</t>
  </si>
  <si>
    <t>5267</t>
  </si>
  <si>
    <t>7 489 Ft</t>
  </si>
  <si>
    <t>129805</t>
  </si>
  <si>
    <t>591 Ft</t>
  </si>
  <si>
    <t>1 166 160 Ft</t>
  </si>
  <si>
    <t>12 506 Ft</t>
  </si>
  <si>
    <t>95442</t>
  </si>
  <si>
    <t>623 721 Ft</t>
  </si>
  <si>
    <t>4210</t>
  </si>
  <si>
    <t>8 785 Ft</t>
  </si>
  <si>
    <t>110061</t>
  </si>
  <si>
    <t>653 Ft</t>
  </si>
  <si>
    <t>1 086 030 Ft</t>
  </si>
  <si>
    <t>4169</t>
  </si>
  <si>
    <t>10 757 Ft</t>
  </si>
  <si>
    <t>118102</t>
  </si>
  <si>
    <t>738 Ft</t>
  </si>
  <si>
    <t>891 021 Ft</t>
  </si>
  <si>
    <t>9 635 Ft</t>
  </si>
  <si>
    <t>106585</t>
  </si>
  <si>
    <t>620 Ft</t>
  </si>
  <si>
    <t>1 550 720 Ft</t>
  </si>
  <si>
    <t>14 511 Ft</t>
  </si>
  <si>
    <t>80205</t>
  </si>
  <si>
    <t>796 Ft</t>
  </si>
  <si>
    <t>1 117 735 Ft</t>
  </si>
  <si>
    <t>16 057 Ft</t>
  </si>
  <si>
    <t>63315</t>
  </si>
  <si>
    <t>3 117 931 Ft</t>
  </si>
  <si>
    <t>1874</t>
  </si>
  <si>
    <t>17 617 Ft</t>
  </si>
  <si>
    <t>71727</t>
  </si>
  <si>
    <t>316 451 Ft</t>
  </si>
  <si>
    <t>6931</t>
  </si>
  <si>
    <t>4 738 Ft</t>
  </si>
  <si>
    <t>138853</t>
  </si>
  <si>
    <t>460 Ft</t>
  </si>
  <si>
    <t>1 124 705 Ft</t>
  </si>
  <si>
    <t>9 581 Ft</t>
  </si>
  <si>
    <t>90925</t>
  </si>
  <si>
    <t>688 Ft</t>
  </si>
  <si>
    <t>889 399 Ft</t>
  </si>
  <si>
    <t>2330</t>
  </si>
  <si>
    <t>13 742 Ft</t>
  </si>
  <si>
    <t>68179</t>
  </si>
  <si>
    <t>913 Ft</t>
  </si>
  <si>
    <t>1 011 594 Ft</t>
  </si>
  <si>
    <t>2343</t>
  </si>
  <si>
    <t>13 257 Ft</t>
  </si>
  <si>
    <t>67688</t>
  </si>
  <si>
    <t>960 228 Ft</t>
  </si>
  <si>
    <t>2622</t>
  </si>
  <si>
    <t>11 633 Ft</t>
  </si>
  <si>
    <t>75571</t>
  </si>
  <si>
    <t>387 822 Ft</t>
  </si>
  <si>
    <t>4812</t>
  </si>
  <si>
    <t>6 315 Ft</t>
  </si>
  <si>
    <t>110451</t>
  </si>
  <si>
    <t>959 485 Ft</t>
  </si>
  <si>
    <t>2318</t>
  </si>
  <si>
    <t>13 148 Ft</t>
  </si>
  <si>
    <t>75105</t>
  </si>
  <si>
    <t>2 176 771 Ft</t>
  </si>
  <si>
    <t>2158</t>
  </si>
  <si>
    <t>13 884 Ft</t>
  </si>
  <si>
    <t>72631</t>
  </si>
  <si>
    <t>802 Ft</t>
  </si>
  <si>
    <t>487 092 Ft</t>
  </si>
  <si>
    <t>4275</t>
  </si>
  <si>
    <t>7 359 Ft</t>
  </si>
  <si>
    <t>97485</t>
  </si>
  <si>
    <t>628 Ft</t>
  </si>
  <si>
    <t>60 598 367 Ft</t>
  </si>
  <si>
    <t>715 397 Ft</t>
  </si>
  <si>
    <t>4015</t>
  </si>
  <si>
    <t>9 056 Ft</t>
  </si>
  <si>
    <t>104157</t>
  </si>
  <si>
    <t>679 Ft</t>
  </si>
  <si>
    <t>667 790 361 Ft</t>
  </si>
  <si>
    <t>1 354 788 Ft</t>
  </si>
  <si>
    <t>2326</t>
  </si>
  <si>
    <t>17 268 Ft</t>
  </si>
  <si>
    <t>85709</t>
  </si>
  <si>
    <t>911 Ft</t>
  </si>
  <si>
    <t>702 182 Ft</t>
  </si>
  <si>
    <t>4014</t>
  </si>
  <si>
    <t>9 632 Ft</t>
  </si>
  <si>
    <t>105049</t>
  </si>
  <si>
    <t>716 Ft</t>
  </si>
  <si>
    <t>1 436 103 Ft</t>
  </si>
  <si>
    <t>2400</t>
  </si>
  <si>
    <t>15 839 Ft</t>
  </si>
  <si>
    <t>79889</t>
  </si>
  <si>
    <t>969 469 Ft</t>
  </si>
  <si>
    <t>13 416 Ft</t>
  </si>
  <si>
    <t>95195</t>
  </si>
  <si>
    <t>1 487 384 Ft</t>
  </si>
  <si>
    <t>12 964 Ft</t>
  </si>
  <si>
    <t>89238</t>
  </si>
  <si>
    <t>492 623 Ft</t>
  </si>
  <si>
    <t>4553</t>
  </si>
  <si>
    <t>8 019 Ft</t>
  </si>
  <si>
    <t>102815</t>
  </si>
  <si>
    <t>1 068 460 Ft</t>
  </si>
  <si>
    <t>3016</t>
  </si>
  <si>
    <t>11 628 Ft</t>
  </si>
  <si>
    <t>92421</t>
  </si>
  <si>
    <t>988 026 Ft</t>
  </si>
  <si>
    <t>3468</t>
  </si>
  <si>
    <t>9 955 Ft</t>
  </si>
  <si>
    <t>91871</t>
  </si>
  <si>
    <t>1 861 448 Ft</t>
  </si>
  <si>
    <t>1771</t>
  </si>
  <si>
    <t>18 919 Ft</t>
  </si>
  <si>
    <t>58138</t>
  </si>
  <si>
    <t>1 121 Ft</t>
  </si>
  <si>
    <t>1 216 555 Ft</t>
  </si>
  <si>
    <t>3021</t>
  </si>
  <si>
    <t>11 512 Ft</t>
  </si>
  <si>
    <t>95520</t>
  </si>
  <si>
    <t>708 Ft</t>
  </si>
  <si>
    <t>169</t>
  </si>
  <si>
    <t>196 934 Ft</t>
  </si>
  <si>
    <t>7668</t>
  </si>
  <si>
    <t>4 596 Ft</t>
  </si>
  <si>
    <t>154993</t>
  </si>
  <si>
    <t>525 409 724 Ft</t>
  </si>
  <si>
    <t>173</t>
  </si>
  <si>
    <t>310 693 Ft</t>
  </si>
  <si>
    <t>8648</t>
  </si>
  <si>
    <t>6 581 Ft</t>
  </si>
  <si>
    <t>180696</t>
  </si>
  <si>
    <t>612 Ft</t>
  </si>
  <si>
    <t>448 823 Ft</t>
  </si>
  <si>
    <t>8315</t>
  </si>
  <si>
    <t>6 973 Ft</t>
  </si>
  <si>
    <t>192233</t>
  </si>
  <si>
    <t>586 Ft</t>
  </si>
  <si>
    <t>750 138 Ft</t>
  </si>
  <si>
    <t>4784</t>
  </si>
  <si>
    <t>10 294 Ft</t>
  </si>
  <si>
    <t>137390</t>
  </si>
  <si>
    <t>697 Ft</t>
  </si>
  <si>
    <t>801 650 Ft</t>
  </si>
  <si>
    <t>6377</t>
  </si>
  <si>
    <t>7 454 Ft</t>
  </si>
  <si>
    <t>177197</t>
  </si>
  <si>
    <t>522 Ft</t>
  </si>
  <si>
    <t>3 132 537 Ft</t>
  </si>
  <si>
    <t>2267</t>
  </si>
  <si>
    <t>19 020 Ft</t>
  </si>
  <si>
    <t>80773</t>
  </si>
  <si>
    <t>1 075 920 Ft</t>
  </si>
  <si>
    <t>2633</t>
  </si>
  <si>
    <t>16 009 Ft</t>
  </si>
  <si>
    <t>88013</t>
  </si>
  <si>
    <t>1 612 124 Ft</t>
  </si>
  <si>
    <t>2275</t>
  </si>
  <si>
    <t>17 257 Ft</t>
  </si>
  <si>
    <t>81477</t>
  </si>
  <si>
    <t>1 051 174 Ft</t>
  </si>
  <si>
    <t>3687</t>
  </si>
  <si>
    <t>10 264 Ft</t>
  </si>
  <si>
    <t>103664</t>
  </si>
  <si>
    <t>710 Ft</t>
  </si>
  <si>
    <t>2 011 995 Ft</t>
  </si>
  <si>
    <t>16 237 Ft</t>
  </si>
  <si>
    <t>70273</t>
  </si>
  <si>
    <t>884 Ft</t>
  </si>
  <si>
    <t>903 301 Ft</t>
  </si>
  <si>
    <t>3398</t>
  </si>
  <si>
    <t>9 289 Ft</t>
  </si>
  <si>
    <t>88452</t>
  </si>
  <si>
    <t>694 Ft</t>
  </si>
  <si>
    <t>700 921 Ft</t>
  </si>
  <si>
    <t>3944</t>
  </si>
  <si>
    <t>7 527 Ft</t>
  </si>
  <si>
    <t>92785</t>
  </si>
  <si>
    <t>622 Ft</t>
  </si>
  <si>
    <t>2001</t>
  </si>
  <si>
    <t>445 938 Ft</t>
  </si>
  <si>
    <t>4638</t>
  </si>
  <si>
    <t>6 617 Ft</t>
  </si>
  <si>
    <t>103902</t>
  </si>
  <si>
    <t>574 Ft</t>
  </si>
  <si>
    <t>1 036 900 Ft</t>
  </si>
  <si>
    <t>2724</t>
  </si>
  <si>
    <t>11 688 Ft</t>
  </si>
  <si>
    <t>78210</t>
  </si>
  <si>
    <t>792 Ft</t>
  </si>
  <si>
    <t>902 084 Ft</t>
  </si>
  <si>
    <t>2847</t>
  </si>
  <si>
    <t>11 071 Ft</t>
  </si>
  <si>
    <t>76181</t>
  </si>
  <si>
    <t>1 467 712 Ft</t>
  </si>
  <si>
    <t>2442</t>
  </si>
  <si>
    <t>14 637 Ft</t>
  </si>
  <si>
    <t>83371</t>
  </si>
  <si>
    <t>834 Ft</t>
  </si>
  <si>
    <t>1 128 521 Ft</t>
  </si>
  <si>
    <t>11 470 Ft</t>
  </si>
  <si>
    <t>88285</t>
  </si>
  <si>
    <t>737 Ft</t>
  </si>
  <si>
    <t>1 152 054 123 Ft</t>
  </si>
  <si>
    <t>570 967 Ft</t>
  </si>
  <si>
    <t>9996</t>
  </si>
  <si>
    <t>7 802 Ft</t>
  </si>
  <si>
    <t>249124</t>
  </si>
  <si>
    <t>609 Ft</t>
  </si>
  <si>
    <t>243</t>
  </si>
  <si>
    <t>251 343 Ft</t>
  </si>
  <si>
    <t>11675</t>
  </si>
  <si>
    <t>5 539 Ft</t>
  </si>
  <si>
    <t>234397</t>
  </si>
  <si>
    <t>536 Ft</t>
  </si>
  <si>
    <t>2 012 994 Ft</t>
  </si>
  <si>
    <t>3411</t>
  </si>
  <si>
    <t>13 747 Ft</t>
  </si>
  <si>
    <t>117011</t>
  </si>
  <si>
    <t>883 566 Ft</t>
  </si>
  <si>
    <t>14 921 Ft</t>
  </si>
  <si>
    <t>76553</t>
  </si>
  <si>
    <t>1 022 Ft</t>
  </si>
  <si>
    <t>820 160 Ft</t>
  </si>
  <si>
    <t>2952</t>
  </si>
  <si>
    <t>12 355 Ft</t>
  </si>
  <si>
    <t>89249</t>
  </si>
  <si>
    <t>1 406 566 Ft</t>
  </si>
  <si>
    <t>2693</t>
  </si>
  <si>
    <t>13 826 Ft</t>
  </si>
  <si>
    <t>92730</t>
  </si>
  <si>
    <t>781 Ft</t>
  </si>
  <si>
    <t>2 399 763 Ft</t>
  </si>
  <si>
    <t>13 059 Ft</t>
  </si>
  <si>
    <t>90683</t>
  </si>
  <si>
    <t>666 282 Ft</t>
  </si>
  <si>
    <t>3509</t>
  </si>
  <si>
    <t>9 650 Ft</t>
  </si>
  <si>
    <t>91214</t>
  </si>
  <si>
    <t>596 737 Ft</t>
  </si>
  <si>
    <t>4571</t>
  </si>
  <si>
    <t>7 188 Ft</t>
  </si>
  <si>
    <t>113557</t>
  </si>
  <si>
    <t>563 Ft</t>
  </si>
  <si>
    <t>159</t>
  </si>
  <si>
    <t>189 538 Ft</t>
  </si>
  <si>
    <t>6554</t>
  </si>
  <si>
    <t>4 869 Ft</t>
  </si>
  <si>
    <t>123383</t>
  </si>
  <si>
    <t>503 Ft</t>
  </si>
  <si>
    <t>1 422 959 Ft</t>
  </si>
  <si>
    <t>2065</t>
  </si>
  <si>
    <t>15 322 Ft</t>
  </si>
  <si>
    <t>71691</t>
  </si>
  <si>
    <t>906 110 Ft</t>
  </si>
  <si>
    <t>3483</t>
  </si>
  <si>
    <t>8 815 Ft</t>
  </si>
  <si>
    <t>90766</t>
  </si>
  <si>
    <t>2 327 516 Ft</t>
  </si>
  <si>
    <t>1324</t>
  </si>
  <si>
    <t>22 336 Ft</t>
  </si>
  <si>
    <t>50448</t>
  </si>
  <si>
    <t>1 862 558 Ft</t>
  </si>
  <si>
    <t>1654</t>
  </si>
  <si>
    <t>16 693 Ft</t>
  </si>
  <si>
    <t>51320</t>
  </si>
  <si>
    <t>1 046 Ft</t>
  </si>
  <si>
    <t>1 731 436 Ft</t>
  </si>
  <si>
    <t>2300</t>
  </si>
  <si>
    <t>11 956 Ft</t>
  </si>
  <si>
    <t>69522</t>
  </si>
  <si>
    <t>769 Ft</t>
  </si>
  <si>
    <t>1 287 791 Ft</t>
  </si>
  <si>
    <t>12 839 Ft</t>
  </si>
  <si>
    <t>58099</t>
  </si>
  <si>
    <t>1 567 784 Ft</t>
  </si>
  <si>
    <t>14 203 Ft</t>
  </si>
  <si>
    <t>64650</t>
  </si>
  <si>
    <t>799 Ft</t>
  </si>
  <si>
    <t>804 951 Ft</t>
  </si>
  <si>
    <t>10 069 Ft</t>
  </si>
  <si>
    <t>73323</t>
  </si>
  <si>
    <t>670 692 Ft</t>
  </si>
  <si>
    <t>2674</t>
  </si>
  <si>
    <t>9 826 Ft</t>
  </si>
  <si>
    <t>71235</t>
  </si>
  <si>
    <t>717 Ft</t>
  </si>
  <si>
    <t>97 785 946 Ft</t>
  </si>
  <si>
    <t>489 171 Ft</t>
  </si>
  <si>
    <t>7 917 Ft</t>
  </si>
  <si>
    <t>101739</t>
  </si>
  <si>
    <t>614 Ft</t>
  </si>
  <si>
    <t>1 140 155 Ft</t>
  </si>
  <si>
    <t>1659</t>
  </si>
  <si>
    <t>63520</t>
  </si>
  <si>
    <t>813 Ft</t>
  </si>
  <si>
    <t>381 966 441 Ft</t>
  </si>
  <si>
    <t>637 465 Ft</t>
  </si>
  <si>
    <t>7 324 Ft</t>
  </si>
  <si>
    <t>94149</t>
  </si>
  <si>
    <t>599 Ft</t>
  </si>
  <si>
    <t>2 770 046 Ft</t>
  </si>
  <si>
    <t>1422</t>
  </si>
  <si>
    <t>20 626 Ft</t>
  </si>
  <si>
    <t>51499</t>
  </si>
  <si>
    <t>1 107 Ft</t>
  </si>
  <si>
    <t>769 084 Ft</t>
  </si>
  <si>
    <t>3628</t>
  </si>
  <si>
    <t>7 856 Ft</t>
  </si>
  <si>
    <t>87915</t>
  </si>
  <si>
    <t>630 Ft</t>
  </si>
  <si>
    <t>496 903 Ft</t>
  </si>
  <si>
    <t>3673</t>
  </si>
  <si>
    <t>7 735 Ft</t>
  </si>
  <si>
    <t>91898</t>
  </si>
  <si>
    <t>601 Ft</t>
  </si>
  <si>
    <t>1 108 730 Ft</t>
  </si>
  <si>
    <t>2220</t>
  </si>
  <si>
    <t>12 691 Ft</t>
  </si>
  <si>
    <t>71573</t>
  </si>
  <si>
    <t>765 Ft</t>
  </si>
  <si>
    <t>682 830 Ft</t>
  </si>
  <si>
    <t>9 386 Ft</t>
  </si>
  <si>
    <t>88828</t>
  </si>
  <si>
    <t>617 Ft</t>
  </si>
  <si>
    <t>1 116 029 Ft</t>
  </si>
  <si>
    <t>2503</t>
  </si>
  <si>
    <t>11 331 Ft</t>
  </si>
  <si>
    <t>84329</t>
  </si>
  <si>
    <t>654 Ft</t>
  </si>
  <si>
    <t>612 464 Ft</t>
  </si>
  <si>
    <t>3469</t>
  </si>
  <si>
    <t>8 412 Ft</t>
  </si>
  <si>
    <t>89877</t>
  </si>
  <si>
    <t>631 Ft</t>
  </si>
  <si>
    <t>798 385 561 Ft</t>
  </si>
  <si>
    <t>606 502 Ft</t>
  </si>
  <si>
    <t>5301</t>
  </si>
  <si>
    <t>7 269 Ft</t>
  </si>
  <si>
    <t>134692</t>
  </si>
  <si>
    <t>556 Ft</t>
  </si>
  <si>
    <t>675 428 Ft</t>
  </si>
  <si>
    <t>3964</t>
  </si>
  <si>
    <t>9 381 Ft</t>
  </si>
  <si>
    <t>102383</t>
  </si>
  <si>
    <t>706 Ft</t>
  </si>
  <si>
    <t>1 223 205 Ft</t>
  </si>
  <si>
    <t>3416</t>
  </si>
  <si>
    <t>10 616 Ft</t>
  </si>
  <si>
    <t>99748</t>
  </si>
  <si>
    <t>1 091 212 Ft</t>
  </si>
  <si>
    <t>2874</t>
  </si>
  <si>
    <t>15 277 Ft</t>
  </si>
  <si>
    <t>90886</t>
  </si>
  <si>
    <t>397 776 Ft</t>
  </si>
  <si>
    <t>6856</t>
  </si>
  <si>
    <t>4 915 Ft</t>
  </si>
  <si>
    <t>139762</t>
  </si>
  <si>
    <t>469 Ft</t>
  </si>
  <si>
    <t>1 237 781 Ft</t>
  </si>
  <si>
    <t>2114</t>
  </si>
  <si>
    <t>14 879 Ft</t>
  </si>
  <si>
    <t>67843</t>
  </si>
  <si>
    <t>902 Ft</t>
  </si>
  <si>
    <t>1 239 748 Ft</t>
  </si>
  <si>
    <t>3997</t>
  </si>
  <si>
    <t>7 882 Ft</t>
  </si>
  <si>
    <t>111470</t>
  </si>
  <si>
    <t>550 Ft</t>
  </si>
  <si>
    <t>1 175 148 Ft</t>
  </si>
  <si>
    <t>2409</t>
  </si>
  <si>
    <t>12 396 Ft</t>
  </si>
  <si>
    <t>76066</t>
  </si>
  <si>
    <t>2 296 180 Ft</t>
  </si>
  <si>
    <t>20 080 Ft</t>
  </si>
  <si>
    <t>60608</t>
  </si>
  <si>
    <t>1 014 Ft</t>
  </si>
  <si>
    <t>1 030 145 Ft</t>
  </si>
  <si>
    <t>2879</t>
  </si>
  <si>
    <t>9 303 Ft</t>
  </si>
  <si>
    <t>78028</t>
  </si>
  <si>
    <t>1 416 778 Ft</t>
  </si>
  <si>
    <t>2827</t>
  </si>
  <si>
    <t>9 522 Ft</t>
  </si>
  <si>
    <t>87784</t>
  </si>
  <si>
    <t>537 Ft</t>
  </si>
  <si>
    <t>523 646 Ft</t>
  </si>
  <si>
    <t>4003</t>
  </si>
  <si>
    <t>6 802 Ft</t>
  </si>
  <si>
    <t>103879</t>
  </si>
  <si>
    <t>459 Ft</t>
  </si>
  <si>
    <t>460 454 Ft</t>
  </si>
  <si>
    <t>5573</t>
  </si>
  <si>
    <t>5 370 Ft</t>
  </si>
  <si>
    <t>137658</t>
  </si>
  <si>
    <t>380 Ft</t>
  </si>
  <si>
    <t>1 495 441 Ft</t>
  </si>
  <si>
    <t>1985</t>
  </si>
  <si>
    <t>13 561 Ft</t>
  </si>
  <si>
    <t>70098</t>
  </si>
  <si>
    <t>672 Ft</t>
  </si>
  <si>
    <t>1 925 069 Ft</t>
  </si>
  <si>
    <t>1667</t>
  </si>
  <si>
    <t>16 167 Ft</t>
  </si>
  <si>
    <t>59913</t>
  </si>
  <si>
    <t>1 196 664 Ft</t>
  </si>
  <si>
    <t>10 952 Ft</t>
  </si>
  <si>
    <t>77864</t>
  </si>
  <si>
    <t>619 Ft</t>
  </si>
  <si>
    <t>677 436 Ft</t>
  </si>
  <si>
    <t>7 007 Ft</t>
  </si>
  <si>
    <t>105442</t>
  </si>
  <si>
    <t>461 Ft</t>
  </si>
  <si>
    <t>858 072 235 Ft</t>
  </si>
  <si>
    <t>113</t>
  </si>
  <si>
    <t>360 461 Ft</t>
  </si>
  <si>
    <t>6368</t>
  </si>
  <si>
    <t>6 396 Ft</t>
  </si>
  <si>
    <t>138206</t>
  </si>
  <si>
    <t>516 Ft</t>
  </si>
  <si>
    <t>1 303 301 Ft</t>
  </si>
  <si>
    <t>2439</t>
  </si>
  <si>
    <t>16 565 Ft</t>
  </si>
  <si>
    <t>94807</t>
  </si>
  <si>
    <t>1 397 877 Ft</t>
  </si>
  <si>
    <t>2883</t>
  </si>
  <si>
    <t>12 122 Ft</t>
  </si>
  <si>
    <t>98877</t>
  </si>
  <si>
    <t>928 770 Ft</t>
  </si>
  <si>
    <t>11 046 Ft</t>
  </si>
  <si>
    <t>91272</t>
  </si>
  <si>
    <t>659 Ft</t>
  </si>
  <si>
    <t>504 000 Ft</t>
  </si>
  <si>
    <t>3763</t>
  </si>
  <si>
    <t>9 108 Ft</t>
  </si>
  <si>
    <t>99280</t>
  </si>
  <si>
    <t>604 Ft</t>
  </si>
  <si>
    <t>2 287 116 Ft</t>
  </si>
  <si>
    <t>2025</t>
  </si>
  <si>
    <t>16 942 Ft</t>
  </si>
  <si>
    <t>79564</t>
  </si>
  <si>
    <t>504 138 Ft</t>
  </si>
  <si>
    <t>5692</t>
  </si>
  <si>
    <t>5 668 Ft</t>
  </si>
  <si>
    <t>137593</t>
  </si>
  <si>
    <t>410 Ft</t>
  </si>
  <si>
    <t>445 263 Ft</t>
  </si>
  <si>
    <t>4426</t>
  </si>
  <si>
    <t>7 042 Ft</t>
  </si>
  <si>
    <t>114101</t>
  </si>
  <si>
    <t>478 Ft</t>
  </si>
  <si>
    <t>1 078 097 Ft</t>
  </si>
  <si>
    <t>9 481 Ft</t>
  </si>
  <si>
    <t>92989</t>
  </si>
  <si>
    <t>568 Ft</t>
  </si>
  <si>
    <t>848 944 Ft</t>
  </si>
  <si>
    <t>2959</t>
  </si>
  <si>
    <t>9 181 Ft</t>
  </si>
  <si>
    <t>87339</t>
  </si>
  <si>
    <t>544 Ft</t>
  </si>
  <si>
    <t>694 188 Ft</t>
  </si>
  <si>
    <t>3122</t>
  </si>
  <si>
    <t>8 449 Ft</t>
  </si>
  <si>
    <t>83080</t>
  </si>
  <si>
    <t>8 673 023 Ft</t>
  </si>
  <si>
    <t>1425</t>
  </si>
  <si>
    <t>18 259 Ft</t>
  </si>
  <si>
    <t>50149</t>
  </si>
  <si>
    <t>1 958 803 Ft</t>
  </si>
  <si>
    <t>2103</t>
  </si>
  <si>
    <t>14 903 Ft</t>
  </si>
  <si>
    <t>69062</t>
  </si>
  <si>
    <t>794 Ft</t>
  </si>
  <si>
    <t>2 792 582 Ft</t>
  </si>
  <si>
    <t>1844</t>
  </si>
  <si>
    <t>13 630 Ft</t>
  </si>
  <si>
    <t>64344</t>
  </si>
  <si>
    <t>684 Ft</t>
  </si>
  <si>
    <t>1 226 975 Ft</t>
  </si>
  <si>
    <t>2607</t>
  </si>
  <si>
    <t>9 413 Ft</t>
  </si>
  <si>
    <t>89269</t>
  </si>
  <si>
    <t>481 Ft</t>
  </si>
  <si>
    <t>572 426 Ft</t>
  </si>
  <si>
    <t>8 094 Ft</t>
  </si>
  <si>
    <t>82461</t>
  </si>
  <si>
    <t>988 094 Ft</t>
  </si>
  <si>
    <t>2505</t>
  </si>
  <si>
    <t>9 861 Ft</t>
  </si>
  <si>
    <t>72210</t>
  </si>
  <si>
    <t>2 262 213 Ft</t>
  </si>
  <si>
    <t>1679</t>
  </si>
  <si>
    <t>14 821 Ft</t>
  </si>
  <si>
    <t>61209</t>
  </si>
  <si>
    <t>712 Ft</t>
  </si>
  <si>
    <t>1 026 458 Ft</t>
  </si>
  <si>
    <t>1905</t>
  </si>
  <si>
    <t>12 932 Ft</t>
  </si>
  <si>
    <t>59761</t>
  </si>
  <si>
    <t>736 964 Ft</t>
  </si>
  <si>
    <t>2638</t>
  </si>
  <si>
    <t>9 219 Ft</t>
  </si>
  <si>
    <t>71100</t>
  </si>
  <si>
    <t>324 029 Ft</t>
  </si>
  <si>
    <t>5769</t>
  </si>
  <si>
    <t>4 662 Ft</t>
  </si>
  <si>
    <t>126595</t>
  </si>
  <si>
    <t>372 Ft</t>
  </si>
  <si>
    <t>584 880 Ft</t>
  </si>
  <si>
    <t>4576</t>
  </si>
  <si>
    <t>5 368 Ft</t>
  </si>
  <si>
    <t>112714</t>
  </si>
  <si>
    <t>381 Ft</t>
  </si>
  <si>
    <t>383 471 688 Ft</t>
  </si>
  <si>
    <t>1 030 970 Ft</t>
  </si>
  <si>
    <t>14 674 Ft</t>
  </si>
  <si>
    <t>63099</t>
  </si>
  <si>
    <t>772 Ft</t>
  </si>
  <si>
    <t>299 575 Ft</t>
  </si>
  <si>
    <t>5686</t>
  </si>
  <si>
    <t>4 742 Ft</t>
  </si>
  <si>
    <t>122185</t>
  </si>
  <si>
    <t>386 Ft</t>
  </si>
  <si>
    <t>1 330 697 Ft</t>
  </si>
  <si>
    <t>10 276 Ft</t>
  </si>
  <si>
    <t>88403</t>
  </si>
  <si>
    <t>527 Ft</t>
  </si>
  <si>
    <t>1 268 274 Ft</t>
  </si>
  <si>
    <t>9 227 Ft</t>
  </si>
  <si>
    <t>77458</t>
  </si>
  <si>
    <t>573 Ft</t>
  </si>
  <si>
    <t>1 175 062 Ft</t>
  </si>
  <si>
    <t>2155</t>
  </si>
  <si>
    <t>11 451 Ft</t>
  </si>
  <si>
    <t>68150</t>
  </si>
  <si>
    <t>634 Ft</t>
  </si>
  <si>
    <t>1 051 359 Ft</t>
  </si>
  <si>
    <t>2583</t>
  </si>
  <si>
    <t>9 362 Ft</t>
  </si>
  <si>
    <t>71875</t>
  </si>
  <si>
    <t>589 Ft</t>
  </si>
  <si>
    <t>1 187 888 Ft</t>
  </si>
  <si>
    <t>2366</t>
  </si>
  <si>
    <t>10 041 Ft</t>
  </si>
  <si>
    <t>79903</t>
  </si>
  <si>
    <t>520 Ft</t>
  </si>
  <si>
    <t>950 582 Ft</t>
  </si>
  <si>
    <t>6 346 Ft</t>
  </si>
  <si>
    <t>101229</t>
  </si>
  <si>
    <t>411 Ft</t>
  </si>
  <si>
    <t>1 208 665 Ft</t>
  </si>
  <si>
    <t>11 873 Ft</t>
  </si>
  <si>
    <t>61495</t>
  </si>
  <si>
    <t>682 106 Ft</t>
  </si>
  <si>
    <t>2483</t>
  </si>
  <si>
    <t>9 615 Ft</t>
  </si>
  <si>
    <t>65925</t>
  </si>
  <si>
    <t>49 891 333 Ft</t>
  </si>
  <si>
    <t>488 022 Ft</t>
  </si>
  <si>
    <t>81515</t>
  </si>
  <si>
    <t>513 Ft</t>
  </si>
  <si>
    <t>50 421 164 Ft</t>
  </si>
  <si>
    <t>1 521 058 Ft</t>
  </si>
  <si>
    <t>12 789 Ft</t>
  </si>
  <si>
    <t>66327</t>
  </si>
  <si>
    <t>642 Ft</t>
  </si>
  <si>
    <t>399 960 261 Ft</t>
  </si>
  <si>
    <t>772 762 Ft</t>
  </si>
  <si>
    <t>2882</t>
  </si>
  <si>
    <t>9 385 Ft</t>
  </si>
  <si>
    <t>88705</t>
  </si>
  <si>
    <t>534 Ft</t>
  </si>
  <si>
    <t>1 989 705 Ft</t>
  </si>
  <si>
    <t>1762</t>
  </si>
  <si>
    <t>14 680 Ft</t>
  </si>
  <si>
    <t>63555</t>
  </si>
  <si>
    <t>720 873 Ft</t>
  </si>
  <si>
    <t>2884</t>
  </si>
  <si>
    <t>8 748 Ft</t>
  </si>
  <si>
    <t>84323</t>
  </si>
  <si>
    <t>524 Ft</t>
  </si>
  <si>
    <t>646 569 Ft</t>
  </si>
  <si>
    <t>7 111 Ft</t>
  </si>
  <si>
    <t>84125</t>
  </si>
  <si>
    <t>538 Ft</t>
  </si>
  <si>
    <t>648 691 Ft</t>
  </si>
  <si>
    <t>3376</t>
  </si>
  <si>
    <t>7 686 Ft</t>
  </si>
  <si>
    <t>94206</t>
  </si>
  <si>
    <t>482 Ft</t>
  </si>
  <si>
    <t>839 176 Ft</t>
  </si>
  <si>
    <t>9 245 Ft</t>
  </si>
  <si>
    <t>85318</t>
  </si>
  <si>
    <t>1 162 360 Ft</t>
  </si>
  <si>
    <t>9 873 Ft</t>
  </si>
  <si>
    <t>75778</t>
  </si>
  <si>
    <t>1 422 457 Ft</t>
  </si>
  <si>
    <t>2198</t>
  </si>
  <si>
    <t>11 649 Ft</t>
  </si>
  <si>
    <t>87812</t>
  </si>
  <si>
    <t>510 Ft</t>
  </si>
  <si>
    <t>369 078 Ft</t>
  </si>
  <si>
    <t>4920</t>
  </si>
  <si>
    <t>5 251 Ft</t>
  </si>
  <si>
    <t>112955</t>
  </si>
  <si>
    <t>400 Ft</t>
  </si>
  <si>
    <t>976 450 Ft</t>
  </si>
  <si>
    <t>1843</t>
  </si>
  <si>
    <t>14 305 Ft</t>
  </si>
  <si>
    <t>61146</t>
  </si>
  <si>
    <t>287 462 Ft</t>
  </si>
  <si>
    <t>4591</t>
  </si>
  <si>
    <t>5 698 Ft</t>
  </si>
  <si>
    <t>102221</t>
  </si>
  <si>
    <t>448 Ft</t>
  </si>
  <si>
    <t>224 558 204 Ft</t>
  </si>
  <si>
    <t>1 110 007 Ft</t>
  </si>
  <si>
    <t>2679</t>
  </si>
  <si>
    <t>10 358 Ft</t>
  </si>
  <si>
    <t>82392</t>
  </si>
  <si>
    <t>516 600 Ft</t>
  </si>
  <si>
    <t>4250</t>
  </si>
  <si>
    <t>6 564 Ft</t>
  </si>
  <si>
    <t>107282</t>
  </si>
  <si>
    <t>455 Ft</t>
  </si>
  <si>
    <t>1 543 681 Ft</t>
  </si>
  <si>
    <t>2215</t>
  </si>
  <si>
    <t>12 545 Ft</t>
  </si>
  <si>
    <t>76464</t>
  </si>
  <si>
    <t>684 895 Ft</t>
  </si>
  <si>
    <t>8 901 Ft</t>
  </si>
  <si>
    <t>85560</t>
  </si>
  <si>
    <t>560 Ft</t>
  </si>
  <si>
    <t>846 232 Ft</t>
  </si>
  <si>
    <t>73465</t>
  </si>
  <si>
    <t>645 Ft</t>
  </si>
  <si>
    <t>715 493 Ft</t>
  </si>
  <si>
    <t>3790</t>
  </si>
  <si>
    <t>7 174 Ft</t>
  </si>
  <si>
    <t>105602</t>
  </si>
  <si>
    <t>451 Ft</t>
  </si>
  <si>
    <t>657 522 315 Ft</t>
  </si>
  <si>
    <t>437 831 Ft</t>
  </si>
  <si>
    <t>5669</t>
  </si>
  <si>
    <t>5 715 Ft</t>
  </si>
  <si>
    <t>419 Ft</t>
  </si>
  <si>
    <t>816 504 Ft</t>
  </si>
  <si>
    <t>3647</t>
  </si>
  <si>
    <t>8 508 Ft</t>
  </si>
  <si>
    <t>100981</t>
  </si>
  <si>
    <t>1999</t>
  </si>
  <si>
    <t>520 402 Ft</t>
  </si>
  <si>
    <t>4268</t>
  </si>
  <si>
    <t>7 312 Ft</t>
  </si>
  <si>
    <t>108699</t>
  </si>
  <si>
    <t>497 482 Ft</t>
  </si>
  <si>
    <t>4444</t>
  </si>
  <si>
    <t>6 490 Ft</t>
  </si>
  <si>
    <t>119907</t>
  </si>
  <si>
    <t>420 Ft</t>
  </si>
  <si>
    <t>1 607 613 Ft</t>
  </si>
  <si>
    <t>2085</t>
  </si>
  <si>
    <t>14 636 Ft</t>
  </si>
  <si>
    <t>74465</t>
  </si>
  <si>
    <t>2 140 676 Ft</t>
  </si>
  <si>
    <t>2570</t>
  </si>
  <si>
    <t>11 657 Ft</t>
  </si>
  <si>
    <t>84033</t>
  </si>
  <si>
    <t>623 Ft</t>
  </si>
  <si>
    <t>438 088 Ft</t>
  </si>
  <si>
    <t>4701</t>
  </si>
  <si>
    <t>6 238 Ft</t>
  </si>
  <si>
    <t>107825</t>
  </si>
  <si>
    <t>475 Ft</t>
  </si>
  <si>
    <t>712 010 Ft</t>
  </si>
  <si>
    <t>7 944 Ft</t>
  </si>
  <si>
    <t>94496</t>
  </si>
  <si>
    <t>526 Ft</t>
  </si>
  <si>
    <t>661 125 Ft</t>
  </si>
  <si>
    <t>3994</t>
  </si>
  <si>
    <t>6 949 Ft</t>
  </si>
  <si>
    <t>103861</t>
  </si>
  <si>
    <t>466 Ft</t>
  </si>
  <si>
    <t>1 166 182 Ft</t>
  </si>
  <si>
    <t>13 598 Ft</t>
  </si>
  <si>
    <t>75483</t>
  </si>
  <si>
    <t>674 Ft</t>
  </si>
  <si>
    <t>1 060 316 Ft</t>
  </si>
  <si>
    <t>2743</t>
  </si>
  <si>
    <t>10 437 Ft</t>
  </si>
  <si>
    <t>80463</t>
  </si>
  <si>
    <t>621 Ft</t>
  </si>
  <si>
    <t>2 023 721 Ft</t>
  </si>
  <si>
    <t>12 626 Ft</t>
  </si>
  <si>
    <t>72769</t>
  </si>
  <si>
    <t>680 Ft</t>
  </si>
  <si>
    <t>1 971 795 Ft</t>
  </si>
  <si>
    <t>2385</t>
  </si>
  <si>
    <t>10 743 Ft</t>
  </si>
  <si>
    <t>92591</t>
  </si>
  <si>
    <t>483 Ft</t>
  </si>
  <si>
    <t>770 091 Ft</t>
  </si>
  <si>
    <t>3986</t>
  </si>
  <si>
    <t>7 533 Ft</t>
  </si>
  <si>
    <t>91919</t>
  </si>
  <si>
    <t>569 Ft</t>
  </si>
  <si>
    <t>586 735 Ft</t>
  </si>
  <si>
    <t>3453</t>
  </si>
  <si>
    <t>9 173 Ft</t>
  </si>
  <si>
    <t>91348</t>
  </si>
  <si>
    <t>605 Ft</t>
  </si>
  <si>
    <t>937 747 Ft</t>
  </si>
  <si>
    <t>2288</t>
  </si>
  <si>
    <t>14 345 Ft</t>
  </si>
  <si>
    <t>82078</t>
  </si>
  <si>
    <t>698 Ft</t>
  </si>
  <si>
    <t>1 137 089 Ft</t>
  </si>
  <si>
    <t>3456</t>
  </si>
  <si>
    <t>11 869 Ft</t>
  </si>
  <si>
    <t>111883</t>
  </si>
  <si>
    <t>1 059 498 762 Ft</t>
  </si>
  <si>
    <t>424 968 Ft</t>
  </si>
  <si>
    <t>11647</t>
  </si>
  <si>
    <t>6 818 Ft</t>
  </si>
  <si>
    <t>276414</t>
  </si>
  <si>
    <t>802 128 Ft</t>
  </si>
  <si>
    <t>7864</t>
  </si>
  <si>
    <t>8 558 Ft</t>
  </si>
  <si>
    <t>210253</t>
  </si>
  <si>
    <t>738 285 Ft</t>
  </si>
  <si>
    <t>6403</t>
  </si>
  <si>
    <t>8 405 Ft</t>
  </si>
  <si>
    <t>171630</t>
  </si>
  <si>
    <t>650 786 Ft</t>
  </si>
  <si>
    <t>7344</t>
  </si>
  <si>
    <t>6 376 Ft</t>
  </si>
  <si>
    <t>201518</t>
  </si>
  <si>
    <t>405 Ft</t>
  </si>
  <si>
    <t>830 755 Ft</t>
  </si>
  <si>
    <t>3534</t>
  </si>
  <si>
    <t>10 100 Ft</t>
  </si>
  <si>
    <t>104780</t>
  </si>
  <si>
    <t>595 Ft</t>
  </si>
  <si>
    <t>1 599 188 Ft</t>
  </si>
  <si>
    <t>2512</t>
  </si>
  <si>
    <t>15 279 Ft</t>
  </si>
  <si>
    <t>100464</t>
  </si>
  <si>
    <t>667 Ft</t>
  </si>
  <si>
    <t>1 403 107 Ft</t>
  </si>
  <si>
    <t>80824</t>
  </si>
  <si>
    <t>1 191 022 Ft</t>
  </si>
  <si>
    <t>10 892 Ft</t>
  </si>
  <si>
    <t>89763</t>
  </si>
  <si>
    <t>602 Ft</t>
  </si>
  <si>
    <t>1 659 915 Ft</t>
  </si>
  <si>
    <t>14 462 Ft</t>
  </si>
  <si>
    <t>74330</t>
  </si>
  <si>
    <t>702 Ft</t>
  </si>
  <si>
    <t>1 141 925 Ft</t>
  </si>
  <si>
    <t>12 274 Ft</t>
  </si>
  <si>
    <t>74698</t>
  </si>
  <si>
    <t>4 115 349 Ft</t>
  </si>
  <si>
    <t>1552</t>
  </si>
  <si>
    <t>18 550 Ft</t>
  </si>
  <si>
    <t>59475</t>
  </si>
  <si>
    <t>1 272 316 Ft</t>
  </si>
  <si>
    <t>12 502 Ft</t>
  </si>
  <si>
    <t>71677</t>
  </si>
  <si>
    <t>681 Ft</t>
  </si>
  <si>
    <t>912 290 Ft</t>
  </si>
  <si>
    <t>9 231 Ft</t>
  </si>
  <si>
    <t>88436</t>
  </si>
  <si>
    <t>540 Ft</t>
  </si>
  <si>
    <t>947 547 Ft</t>
  </si>
  <si>
    <t>2586</t>
  </si>
  <si>
    <t>10 601 Ft</t>
  </si>
  <si>
    <t>80076</t>
  </si>
  <si>
    <t>640 188 Ft</t>
  </si>
  <si>
    <t>3553</t>
  </si>
  <si>
    <t>7 926 Ft</t>
  </si>
  <si>
    <t>94118</t>
  </si>
  <si>
    <t>744 275 Ft</t>
  </si>
  <si>
    <t>8 779 Ft</t>
  </si>
  <si>
    <t>87978</t>
  </si>
  <si>
    <t>531 Ft</t>
  </si>
  <si>
    <t>570 849 Ft</t>
  </si>
  <si>
    <t>7 554 Ft</t>
  </si>
  <si>
    <t>93287</t>
  </si>
  <si>
    <t>491 Ft</t>
  </si>
  <si>
    <t>666 802 Ft</t>
  </si>
  <si>
    <t>6 886 Ft</t>
  </si>
  <si>
    <t>107864</t>
  </si>
  <si>
    <t>844 472 Ft</t>
  </si>
  <si>
    <t>2453</t>
  </si>
  <si>
    <t>11 016 Ft</t>
  </si>
  <si>
    <t>76104</t>
  </si>
  <si>
    <t>826 202 Ft</t>
  </si>
  <si>
    <t>2698</t>
  </si>
  <si>
    <t>10 094 Ft</t>
  </si>
  <si>
    <t>79597</t>
  </si>
  <si>
    <t>598 Ft</t>
  </si>
  <si>
    <t>1 039 451 Ft</t>
  </si>
  <si>
    <t>10 748 Ft</t>
  </si>
  <si>
    <t>71228</t>
  </si>
  <si>
    <t>611 Ft</t>
  </si>
  <si>
    <t>1 101 061 Ft</t>
  </si>
  <si>
    <t>2454</t>
  </si>
  <si>
    <t>11 176 Ft</t>
  </si>
  <si>
    <t>68172</t>
  </si>
  <si>
    <t>704 Ft</t>
  </si>
  <si>
    <t>35 963 853 Ft</t>
  </si>
  <si>
    <t>487 645 Ft</t>
  </si>
  <si>
    <t>4246</t>
  </si>
  <si>
    <t>6 765 Ft</t>
  </si>
  <si>
    <t>124314</t>
  </si>
  <si>
    <t>403 Ft</t>
  </si>
  <si>
    <t>722 547 780 Ft</t>
  </si>
  <si>
    <t>225</t>
  </si>
  <si>
    <t>210 259 Ft</t>
  </si>
  <si>
    <t>12063</t>
  </si>
  <si>
    <t>3 919 Ft</t>
  </si>
  <si>
    <t>241638</t>
  </si>
  <si>
    <t>341 Ft</t>
  </si>
  <si>
    <t>112</t>
  </si>
  <si>
    <t>341 445 Ft</t>
  </si>
  <si>
    <t>8434</t>
  </si>
  <si>
    <t>4 525 Ft</t>
  </si>
  <si>
    <t>212401</t>
  </si>
  <si>
    <t>314 Ft</t>
  </si>
  <si>
    <t>634 020 Ft</t>
  </si>
  <si>
    <t>6160</t>
  </si>
  <si>
    <t>6 067 Ft</t>
  </si>
  <si>
    <t>159126</t>
  </si>
  <si>
    <t>334 258 Ft</t>
  </si>
  <si>
    <t>7688</t>
  </si>
  <si>
    <t>4 604 Ft</t>
  </si>
  <si>
    <t>192046</t>
  </si>
  <si>
    <t>321 Ft</t>
  </si>
  <si>
    <t>618 222 Ft</t>
  </si>
  <si>
    <t>5550</t>
  </si>
  <si>
    <t>6 229 Ft</t>
  </si>
  <si>
    <t>144738</t>
  </si>
  <si>
    <t>417 Ft</t>
  </si>
  <si>
    <t>1 144 930 Ft</t>
  </si>
  <si>
    <t>119753</t>
  </si>
  <si>
    <t>467 Ft</t>
  </si>
  <si>
    <t>780 742 Ft</t>
  </si>
  <si>
    <t>3040</t>
  </si>
  <si>
    <t>9 756 Ft</t>
  </si>
  <si>
    <t>92363</t>
  </si>
  <si>
    <t>1 028 142 Ft</t>
  </si>
  <si>
    <t>8 699 Ft</t>
  </si>
  <si>
    <t>93819</t>
  </si>
  <si>
    <t>413 130 Ft</t>
  </si>
  <si>
    <t>4392</t>
  </si>
  <si>
    <t>5 919 Ft</t>
  </si>
  <si>
    <t>99218</t>
  </si>
  <si>
    <t>457 Ft</t>
  </si>
  <si>
    <t>1 118 377 Ft</t>
  </si>
  <si>
    <t>3058</t>
  </si>
  <si>
    <t>8 406 Ft</t>
  </si>
  <si>
    <t>92218</t>
  </si>
  <si>
    <t>486 Ft</t>
  </si>
  <si>
    <t>744 809 Ft</t>
  </si>
  <si>
    <t>8 514 Ft</t>
  </si>
  <si>
    <t>83911</t>
  </si>
  <si>
    <t>666 232 Ft</t>
  </si>
  <si>
    <t>4205</t>
  </si>
  <si>
    <t>108945</t>
  </si>
  <si>
    <t>384 Ft</t>
  </si>
  <si>
    <t>1 030 142 Ft</t>
  </si>
  <si>
    <t>2894</t>
  </si>
  <si>
    <t>8 173 Ft</t>
  </si>
  <si>
    <t>87429</t>
  </si>
  <si>
    <t>472 Ft</t>
  </si>
  <si>
    <t>1 004 003 Ft</t>
  </si>
  <si>
    <t>2646</t>
  </si>
  <si>
    <t>8 698 Ft</t>
  </si>
  <si>
    <t>82803</t>
  </si>
  <si>
    <t>385 750 Ft</t>
  </si>
  <si>
    <t>3420</t>
  </si>
  <si>
    <t>6 760 Ft</t>
  </si>
  <si>
    <t>88823</t>
  </si>
  <si>
    <t>454 Ft</t>
  </si>
  <si>
    <t>1 005 351 Ft</t>
  </si>
  <si>
    <t>6 254 Ft</t>
  </si>
  <si>
    <t>94431</t>
  </si>
  <si>
    <t>371 Ft</t>
  </si>
  <si>
    <t>1 699 843 Ft</t>
  </si>
  <si>
    <t>1708</t>
  </si>
  <si>
    <t>12 893 Ft</t>
  </si>
  <si>
    <t>60880</t>
  </si>
  <si>
    <t>633 Ft</t>
  </si>
  <si>
    <t>615 816 Ft</t>
  </si>
  <si>
    <t>3085</t>
  </si>
  <si>
    <t>7 182 Ft</t>
  </si>
  <si>
    <t>86123</t>
  </si>
  <si>
    <t>1 395 043 Ft</t>
  </si>
  <si>
    <t>8 683 Ft</t>
  </si>
  <si>
    <t>71826</t>
  </si>
  <si>
    <t>508 Ft</t>
  </si>
  <si>
    <t>136 946 661 Ft</t>
  </si>
  <si>
    <t>398 638 Ft</t>
  </si>
  <si>
    <t>4767</t>
  </si>
  <si>
    <t>4 847 Ft</t>
  </si>
  <si>
    <t>120524</t>
  </si>
  <si>
    <t>334 Ft</t>
  </si>
  <si>
    <t>994 255 Ft</t>
  </si>
  <si>
    <t>2149</t>
  </si>
  <si>
    <t>78785</t>
  </si>
  <si>
    <t>505 Ft</t>
  </si>
  <si>
    <t>911 639 Ft</t>
  </si>
  <si>
    <t>8 994 Ft</t>
  </si>
  <si>
    <t>86765</t>
  </si>
  <si>
    <t>548 473 Ft</t>
  </si>
  <si>
    <t>4241</t>
  </si>
  <si>
    <t>7 286 Ft</t>
  </si>
  <si>
    <t>120004</t>
  </si>
  <si>
    <t>449 Ft</t>
  </si>
  <si>
    <t>974 202 Ft</t>
  </si>
  <si>
    <t>2113</t>
  </si>
  <si>
    <t>10 129 Ft</t>
  </si>
  <si>
    <t>66729</t>
  </si>
  <si>
    <t>571 379 Ft</t>
  </si>
  <si>
    <t>2506</t>
  </si>
  <si>
    <t>7 977 Ft</t>
  </si>
  <si>
    <t>70702</t>
  </si>
  <si>
    <t>362 Ft</t>
  </si>
  <si>
    <t>608 383 Ft</t>
  </si>
  <si>
    <t>1485</t>
  </si>
  <si>
    <t>14 339 Ft</t>
  </si>
  <si>
    <t>54378</t>
  </si>
  <si>
    <t>1 628 200 Ft</t>
  </si>
  <si>
    <t>13 439 Ft</t>
  </si>
  <si>
    <t>61091</t>
  </si>
  <si>
    <t>606 Ft</t>
  </si>
  <si>
    <t>528 685 Ft</t>
  </si>
  <si>
    <t>5 792 Ft</t>
  </si>
  <si>
    <t>107243</t>
  </si>
  <si>
    <t>299 Ft</t>
  </si>
  <si>
    <t>565 286 Ft</t>
  </si>
  <si>
    <t>3460</t>
  </si>
  <si>
    <t>5 882 Ft</t>
  </si>
  <si>
    <t>91466</t>
  </si>
  <si>
    <t>389 Ft</t>
  </si>
  <si>
    <t>174 555 304 Ft</t>
  </si>
  <si>
    <t>450 913 Ft</t>
  </si>
  <si>
    <t>5 447 Ft</t>
  </si>
  <si>
    <t>106016</t>
  </si>
  <si>
    <t>365 Ft</t>
  </si>
  <si>
    <t>501 220 Ft</t>
  </si>
  <si>
    <t>2680</t>
  </si>
  <si>
    <t>8 229 Ft</t>
  </si>
  <si>
    <t>82164</t>
  </si>
  <si>
    <t>470 Ft</t>
  </si>
  <si>
    <t>1 556 631 Ft</t>
  </si>
  <si>
    <t>1699</t>
  </si>
  <si>
    <t>12 827 Ft</t>
  </si>
  <si>
    <t>63404</t>
  </si>
  <si>
    <t>330 037 Ft</t>
  </si>
  <si>
    <t>3952</t>
  </si>
  <si>
    <t>5 428 Ft</t>
  </si>
  <si>
    <t>99688</t>
  </si>
  <si>
    <t>377 Ft</t>
  </si>
  <si>
    <t>1 157 389 Ft</t>
  </si>
  <si>
    <t>2321</t>
  </si>
  <si>
    <t>8 976 Ft</t>
  </si>
  <si>
    <t>73619</t>
  </si>
  <si>
    <t>495 Ft</t>
  </si>
  <si>
    <t>1 561 174 Ft</t>
  </si>
  <si>
    <t>1921</t>
  </si>
  <si>
    <t>72406</t>
  </si>
  <si>
    <t>566 Ft</t>
  </si>
  <si>
    <t>200 650 074 Ft</t>
  </si>
  <si>
    <t>1 247 724 Ft</t>
  </si>
  <si>
    <t>2771</t>
  </si>
  <si>
    <t>9 456 Ft</t>
  </si>
  <si>
    <t>88979</t>
  </si>
  <si>
    <t>515 Ft</t>
  </si>
  <si>
    <t>94</t>
  </si>
  <si>
    <t>267 159 Ft</t>
  </si>
  <si>
    <t>7117</t>
  </si>
  <si>
    <t>3 529 Ft</t>
  </si>
  <si>
    <t>147731</t>
  </si>
  <si>
    <t>297 Ft</t>
  </si>
  <si>
    <t>984 564 Ft</t>
  </si>
  <si>
    <t>2905</t>
  </si>
  <si>
    <t>8 134 Ft</t>
  </si>
  <si>
    <t>90639</t>
  </si>
  <si>
    <t>456 Ft</t>
  </si>
  <si>
    <t>665 180 Ft</t>
  </si>
  <si>
    <t>3421</t>
  </si>
  <si>
    <t>7 000 Ft</t>
  </si>
  <si>
    <t>106148</t>
  </si>
  <si>
    <t>395 Ft</t>
  </si>
  <si>
    <t>2 117 628 Ft</t>
  </si>
  <si>
    <t>2519</t>
  </si>
  <si>
    <t>9 247 Ft</t>
  </si>
  <si>
    <t>91077</t>
  </si>
  <si>
    <t>881 904 Ft</t>
  </si>
  <si>
    <t>2839</t>
  </si>
  <si>
    <t>7 145 Ft</t>
  </si>
  <si>
    <t>92580</t>
  </si>
  <si>
    <t>383 Ft</t>
  </si>
  <si>
    <t>1 052 867 Ft</t>
  </si>
  <si>
    <t>2109</t>
  </si>
  <si>
    <t>9 485 Ft</t>
  </si>
  <si>
    <t>72557</t>
  </si>
  <si>
    <t>547 782 Ft</t>
  </si>
  <si>
    <t>8 988 Ft</t>
  </si>
  <si>
    <t>70127</t>
  </si>
  <si>
    <t>506 Ft</t>
  </si>
  <si>
    <t>99</t>
  </si>
  <si>
    <t>202 560 Ft</t>
  </si>
  <si>
    <t>6657</t>
  </si>
  <si>
    <t>3 012 Ft</t>
  </si>
  <si>
    <t>140192</t>
  </si>
  <si>
    <t>250 Ft</t>
  </si>
  <si>
    <t>501 458 Ft</t>
  </si>
  <si>
    <t>6 115 Ft</t>
  </si>
  <si>
    <t>87594</t>
  </si>
  <si>
    <t>391 Ft</t>
  </si>
  <si>
    <t>1 246 298 Ft</t>
  </si>
  <si>
    <t>10 117 Ft</t>
  </si>
  <si>
    <t>62454</t>
  </si>
  <si>
    <t>2 484 930 Ft</t>
  </si>
  <si>
    <t>1175</t>
  </si>
  <si>
    <t>16 919 Ft</t>
  </si>
  <si>
    <t>48305</t>
  </si>
  <si>
    <t>3 913 804 Ft</t>
  </si>
  <si>
    <t>1341</t>
  </si>
  <si>
    <t>14 593 Ft</t>
  </si>
  <si>
    <t>60348</t>
  </si>
  <si>
    <t>567 Ft</t>
  </si>
  <si>
    <t>371 507 Ft</t>
  </si>
  <si>
    <t>4640</t>
  </si>
  <si>
    <t>4 324 Ft</t>
  </si>
  <si>
    <t>113697</t>
  </si>
  <si>
    <t>309 Ft</t>
  </si>
  <si>
    <t>480 947 Ft</t>
  </si>
  <si>
    <t>3182</t>
  </si>
  <si>
    <t>6 046 Ft</t>
  </si>
  <si>
    <t>88358</t>
  </si>
  <si>
    <t>362 899 684 Ft</t>
  </si>
  <si>
    <t>236 179 Ft</t>
  </si>
  <si>
    <t>6396</t>
  </si>
  <si>
    <t>3 619 Ft</t>
  </si>
  <si>
    <t>149887</t>
  </si>
  <si>
    <t>270 Ft</t>
  </si>
  <si>
    <t>1 133 110 Ft</t>
  </si>
  <si>
    <t>2304</t>
  </si>
  <si>
    <t>9 836 Ft</t>
  </si>
  <si>
    <t>82174</t>
  </si>
  <si>
    <t>4 607 573 Ft</t>
  </si>
  <si>
    <t>2141</t>
  </si>
  <si>
    <t>10 760 Ft</t>
  </si>
  <si>
    <t>78421</t>
  </si>
  <si>
    <t>514 Ft</t>
  </si>
  <si>
    <t>141</t>
  </si>
  <si>
    <t>154 378 Ft</t>
  </si>
  <si>
    <t>7940</t>
  </si>
  <si>
    <t>2 741 Ft</t>
  </si>
  <si>
    <t>161957</t>
  </si>
  <si>
    <t>235 Ft</t>
  </si>
  <si>
    <t>301 374 Ft</t>
  </si>
  <si>
    <t>4439</t>
  </si>
  <si>
    <t>4 956 Ft</t>
  </si>
  <si>
    <t>111135</t>
  </si>
  <si>
    <t>346 Ft</t>
  </si>
  <si>
    <t>1 058 056 Ft</t>
  </si>
  <si>
    <t>2185</t>
  </si>
  <si>
    <t>10 169 Ft</t>
  </si>
  <si>
    <t>69802</t>
  </si>
  <si>
    <t>557 Ft</t>
  </si>
  <si>
    <t>2 307 602 Ft</t>
  </si>
  <si>
    <t>1648</t>
  </si>
  <si>
    <t>15 403 Ft</t>
  </si>
  <si>
    <t>72163</t>
  </si>
  <si>
    <t>616 Ft</t>
  </si>
  <si>
    <t>234 219 Ft</t>
  </si>
  <si>
    <t>7044</t>
  </si>
  <si>
    <t>3 026 Ft</t>
  </si>
  <si>
    <t>151586</t>
  </si>
  <si>
    <t>246 Ft</t>
  </si>
  <si>
    <t>622 309 Ft</t>
  </si>
  <si>
    <t>3134</t>
  </si>
  <si>
    <t>7 148 Ft</t>
  </si>
  <si>
    <t>97197</t>
  </si>
  <si>
    <t>455 542 Ft</t>
  </si>
  <si>
    <t>3305</t>
  </si>
  <si>
    <t>6 203 Ft</t>
  </si>
  <si>
    <t>84720</t>
  </si>
  <si>
    <t>423 Ft</t>
  </si>
  <si>
    <t>543 832 Ft</t>
  </si>
  <si>
    <t>3786</t>
  </si>
  <si>
    <t>6 177 Ft</t>
  </si>
  <si>
    <t>104235</t>
  </si>
  <si>
    <t>393 Ft</t>
  </si>
  <si>
    <t>500 621 Ft</t>
  </si>
  <si>
    <t>3244</t>
  </si>
  <si>
    <t>6 019 Ft</t>
  </si>
  <si>
    <t>90632</t>
  </si>
  <si>
    <t>654 420 Ft</t>
  </si>
  <si>
    <t>3716</t>
  </si>
  <si>
    <t>5 107 Ft</t>
  </si>
  <si>
    <t>103185</t>
  </si>
  <si>
    <t>322 Ft</t>
  </si>
  <si>
    <t>48 395 636 Ft</t>
  </si>
  <si>
    <t>220 718 Ft</t>
  </si>
  <si>
    <t>5913</t>
  </si>
  <si>
    <t>3 285 Ft</t>
  </si>
  <si>
    <t>133772</t>
  </si>
  <si>
    <t>254 Ft</t>
  </si>
  <si>
    <t>332 643 Ft</t>
  </si>
  <si>
    <t>5 583 Ft</t>
  </si>
  <si>
    <t>93153</t>
  </si>
  <si>
    <t>47 708 148 Ft</t>
  </si>
  <si>
    <t>1 392 092 Ft</t>
  </si>
  <si>
    <t>1606</t>
  </si>
  <si>
    <t>12 135 Ft</t>
  </si>
  <si>
    <t>59881</t>
  </si>
  <si>
    <t>270 685 Ft</t>
  </si>
  <si>
    <t>5090</t>
  </si>
  <si>
    <t>3 669 Ft</t>
  </si>
  <si>
    <t>124921</t>
  </si>
  <si>
    <t>262 Ft</t>
  </si>
  <si>
    <t>1997</t>
  </si>
  <si>
    <t>1996</t>
  </si>
  <si>
    <t>1995</t>
  </si>
  <si>
    <t>1994</t>
  </si>
  <si>
    <t>1993</t>
  </si>
  <si>
    <t>1992</t>
  </si>
  <si>
    <t>1991</t>
  </si>
  <si>
    <t>1989</t>
  </si>
  <si>
    <t>1988</t>
  </si>
  <si>
    <t>1986</t>
  </si>
  <si>
    <t>1984</t>
  </si>
  <si>
    <t>1983</t>
  </si>
  <si>
    <t>1981</t>
  </si>
  <si>
    <t>1980</t>
  </si>
  <si>
    <t>1979</t>
  </si>
  <si>
    <t>1978</t>
  </si>
  <si>
    <t>1977</t>
  </si>
  <si>
    <t>1976</t>
  </si>
  <si>
    <t>1975</t>
  </si>
  <si>
    <t>1973</t>
  </si>
  <si>
    <t>1972</t>
  </si>
  <si>
    <t>1970</t>
  </si>
  <si>
    <t>1969</t>
  </si>
  <si>
    <t>1966</t>
  </si>
  <si>
    <t>1965</t>
  </si>
  <si>
    <t>1963</t>
  </si>
  <si>
    <t>1962</t>
  </si>
  <si>
    <t>1961</t>
  </si>
  <si>
    <t>1960</t>
  </si>
  <si>
    <t>1959</t>
  </si>
  <si>
    <t>1957</t>
  </si>
  <si>
    <t>1 733 155 Ft</t>
  </si>
  <si>
    <t>81227</t>
  </si>
  <si>
    <t>749 715 605 Ft</t>
  </si>
  <si>
    <t>511 865 Ft</t>
  </si>
  <si>
    <t>4570</t>
  </si>
  <si>
    <t>10 170 Ft</t>
  </si>
  <si>
    <t>86481</t>
  </si>
  <si>
    <t>1 984 090 Ft</t>
  </si>
  <si>
    <t>23 180 Ft</t>
  </si>
  <si>
    <t>69243</t>
  </si>
  <si>
    <t>Nyerő
szám
1</t>
  </si>
  <si>
    <t>Nyerő
szám
2</t>
  </si>
  <si>
    <t>Nyerő
szám
3</t>
  </si>
  <si>
    <t>Nyerő
szám
4</t>
  </si>
  <si>
    <t>Nyerő
szám
5</t>
  </si>
  <si>
    <t>Húzás dátuma</t>
  </si>
  <si>
    <t xml:space="preserve"> </t>
  </si>
  <si>
    <t>1 865 555 Ft</t>
  </si>
  <si>
    <t>1765</t>
  </si>
  <si>
    <t>25 470 Ft</t>
  </si>
  <si>
    <t>50104</t>
  </si>
  <si>
    <t>3 060 Ft</t>
  </si>
  <si>
    <t>2 379 655 Ft</t>
  </si>
  <si>
    <t>22 210 Ft</t>
  </si>
  <si>
    <t>54742</t>
  </si>
  <si>
    <t>2 640 Ft</t>
  </si>
  <si>
    <t>1 092 770 Ft</t>
  </si>
  <si>
    <t>2618</t>
  </si>
  <si>
    <t>69435</t>
  </si>
  <si>
    <t>2 135 Ft</t>
  </si>
  <si>
    <t>1 726 710 Ft</t>
  </si>
  <si>
    <t>18 065 Ft</t>
  </si>
  <si>
    <t>66524</t>
  </si>
  <si>
    <t>2 225 Ft</t>
  </si>
  <si>
    <t>1 743 935 Ft</t>
  </si>
  <si>
    <t>24 885 Ft</t>
  </si>
  <si>
    <t>57718</t>
  </si>
  <si>
    <t>2 590 Ft</t>
  </si>
  <si>
    <t>2 167 920 Ft</t>
  </si>
  <si>
    <t>2327</t>
  </si>
  <si>
    <t>19 520 Ft</t>
  </si>
  <si>
    <t>66282</t>
  </si>
  <si>
    <t>2 335 Ft</t>
  </si>
  <si>
    <t>3 947 480 Ft</t>
  </si>
  <si>
    <t>1690</t>
  </si>
  <si>
    <t>26 915 Ft</t>
  </si>
  <si>
    <t>52784</t>
  </si>
  <si>
    <t>2 940 Ft</t>
  </si>
  <si>
    <t>2 283 765 Ft</t>
  </si>
  <si>
    <t>2207</t>
  </si>
  <si>
    <t>21 680 Ft</t>
  </si>
  <si>
    <t>71732</t>
  </si>
  <si>
    <t>1 325 105 Ft</t>
  </si>
  <si>
    <t>2382</t>
  </si>
  <si>
    <t>21 565 Ft</t>
  </si>
  <si>
    <t>68862</t>
  </si>
  <si>
    <t>2 545 Ft</t>
  </si>
  <si>
    <t>1 Ft</t>
  </si>
  <si>
    <t>2 325 105 Ft</t>
  </si>
  <si>
    <t>2383</t>
  </si>
  <si>
    <t>22 565 Ft</t>
  </si>
  <si>
    <t>68863</t>
  </si>
  <si>
    <t>3 545 Ft</t>
  </si>
  <si>
    <t>2 Ft</t>
  </si>
  <si>
    <t>3 325 105 Ft</t>
  </si>
  <si>
    <t>23 565 Ft</t>
  </si>
  <si>
    <t>68864</t>
  </si>
  <si>
    <t>4 545 Ft</t>
  </si>
  <si>
    <t>3 Ft</t>
  </si>
  <si>
    <t>4 325 105 Ft</t>
  </si>
  <si>
    <t>24 565 Ft</t>
  </si>
  <si>
    <t>68865</t>
  </si>
  <si>
    <t>5 545 Ft</t>
  </si>
  <si>
    <t>4 Ft</t>
  </si>
  <si>
    <t>5 325 105 Ft</t>
  </si>
  <si>
    <t>2386</t>
  </si>
  <si>
    <t>25 565 Ft</t>
  </si>
  <si>
    <t>68866</t>
  </si>
  <si>
    <t>6 545 Ft</t>
  </si>
  <si>
    <t>5 Ft</t>
  </si>
  <si>
    <t>6 325 105 Ft</t>
  </si>
  <si>
    <t>2387</t>
  </si>
  <si>
    <t>26 565 Ft</t>
  </si>
  <si>
    <t>68867</t>
  </si>
  <si>
    <t>7 545 Ft</t>
  </si>
  <si>
    <t>egy</t>
  </si>
  <si>
    <t>kettő</t>
  </si>
  <si>
    <t>három</t>
  </si>
  <si>
    <t>négy</t>
  </si>
  <si>
    <t>öt</t>
  </si>
  <si>
    <t>hat</t>
  </si>
  <si>
    <t>hét</t>
  </si>
  <si>
    <t>nyolc</t>
  </si>
  <si>
    <t>kilenc</t>
  </si>
  <si>
    <t>tíz</t>
  </si>
  <si>
    <t>tizen</t>
  </si>
  <si>
    <t>huszon</t>
  </si>
  <si>
    <t>harminc</t>
  </si>
  <si>
    <t>negyven</t>
  </si>
  <si>
    <t>ötven</t>
  </si>
  <si>
    <t>hatvan</t>
  </si>
  <si>
    <t>hetven</t>
  </si>
  <si>
    <t>nyolcvan</t>
  </si>
  <si>
    <t>kilencven</t>
  </si>
  <si>
    <t>húsz</t>
  </si>
  <si>
    <t>5/90</t>
  </si>
  <si>
    <t>6/45</t>
  </si>
  <si>
    <t>7/35</t>
  </si>
  <si>
    <t>6 Ft</t>
  </si>
  <si>
    <t>7 325 105 Ft</t>
  </si>
  <si>
    <t>27 565 Ft</t>
  </si>
  <si>
    <t>68868</t>
  </si>
  <si>
    <t>8 545 Ft</t>
  </si>
  <si>
    <t>7 Ft</t>
  </si>
  <si>
    <t>8 325 105 Ft</t>
  </si>
  <si>
    <t>28 565 Ft</t>
  </si>
  <si>
    <t>68869</t>
  </si>
  <si>
    <t>9 545 Ft</t>
  </si>
  <si>
    <t>8 Ft</t>
  </si>
  <si>
    <t>9 325 105 Ft</t>
  </si>
  <si>
    <t>2390</t>
  </si>
  <si>
    <t>29 565 Ft</t>
  </si>
  <si>
    <t>68870</t>
  </si>
  <si>
    <t>9 Ft</t>
  </si>
  <si>
    <t>10 325 105 Ft</t>
  </si>
  <si>
    <t>2391</t>
  </si>
  <si>
    <t>30 565 Ft</t>
  </si>
  <si>
    <t>68871</t>
  </si>
  <si>
    <t>11 545 Ft</t>
  </si>
  <si>
    <t>10 Ft</t>
  </si>
  <si>
    <t>11 325 105 Ft</t>
  </si>
  <si>
    <t>2392</t>
  </si>
  <si>
    <t>31 565 Ft</t>
  </si>
  <si>
    <t>68872</t>
  </si>
  <si>
    <t>11 Ft</t>
  </si>
  <si>
    <t>12 325 105 Ft</t>
  </si>
  <si>
    <t>2393</t>
  </si>
  <si>
    <t>32 565 Ft</t>
  </si>
  <si>
    <t>68873</t>
  </si>
  <si>
    <t>13 545 Ft</t>
  </si>
  <si>
    <t>12 Ft</t>
  </si>
  <si>
    <t>13 325 105 Ft</t>
  </si>
  <si>
    <t>33 565 Ft</t>
  </si>
  <si>
    <t>68874</t>
  </si>
  <si>
    <t>14 545 Ft</t>
  </si>
  <si>
    <t>13 Ft</t>
  </si>
  <si>
    <t>14 325 105 Ft</t>
  </si>
  <si>
    <t>2395</t>
  </si>
  <si>
    <t>34 565 Ft</t>
  </si>
  <si>
    <t>68875</t>
  </si>
  <si>
    <t>15 545 Ft</t>
  </si>
  <si>
    <t>14 Ft</t>
  </si>
  <si>
    <t>15 325 105 Ft</t>
  </si>
  <si>
    <t>2396</t>
  </si>
  <si>
    <t>35 565 Ft</t>
  </si>
  <si>
    <t>68876</t>
  </si>
  <si>
    <t>16 545 Ft</t>
  </si>
  <si>
    <t>15 Ft</t>
  </si>
  <si>
    <t>16 325 105 Ft</t>
  </si>
  <si>
    <t>2397</t>
  </si>
  <si>
    <t>36 565 Ft</t>
  </si>
  <si>
    <t>68877</t>
  </si>
  <si>
    <t>17 545 Ft</t>
  </si>
  <si>
    <t>16 Ft</t>
  </si>
  <si>
    <t>17 325 105 Ft</t>
  </si>
  <si>
    <t>2398</t>
  </si>
  <si>
    <t>37 565 Ft</t>
  </si>
  <si>
    <t>68878</t>
  </si>
  <si>
    <t>18 545 Ft</t>
  </si>
  <si>
    <t>17 Ft</t>
  </si>
  <si>
    <t>18 325 105 Ft</t>
  </si>
  <si>
    <t>38 565 Ft</t>
  </si>
  <si>
    <t>68879</t>
  </si>
  <si>
    <t>19 545 Ft</t>
  </si>
  <si>
    <t>18 Ft</t>
  </si>
  <si>
    <t>19 325 105 Ft</t>
  </si>
  <si>
    <t>39 565 Ft</t>
  </si>
  <si>
    <t>68880</t>
  </si>
  <si>
    <t>20 545 Ft</t>
  </si>
  <si>
    <t>19 Ft</t>
  </si>
  <si>
    <t>20 325 105 Ft</t>
  </si>
  <si>
    <t>40 565 Ft</t>
  </si>
  <si>
    <t>68881</t>
  </si>
  <si>
    <t>21 545 Ft</t>
  </si>
  <si>
    <t>20 Ft</t>
  </si>
  <si>
    <t>21 325 105 Ft</t>
  </si>
  <si>
    <t>2402</t>
  </si>
  <si>
    <t>41 565 Ft</t>
  </si>
  <si>
    <t>68882</t>
  </si>
  <si>
    <t>22 545 Ft</t>
  </si>
  <si>
    <t>21 Ft</t>
  </si>
  <si>
    <t>22 325 105 Ft</t>
  </si>
  <si>
    <t>42 565 Ft</t>
  </si>
  <si>
    <t>68883</t>
  </si>
  <si>
    <t>22 Ft</t>
  </si>
  <si>
    <t>23 325 105 Ft</t>
  </si>
  <si>
    <t>43 565 Ft</t>
  </si>
  <si>
    <t>68884</t>
  </si>
  <si>
    <t>24 545 Ft</t>
  </si>
  <si>
    <t>23 Ft</t>
  </si>
  <si>
    <t>24 325 105 Ft</t>
  </si>
  <si>
    <t>44 565 Ft</t>
  </si>
  <si>
    <t>68885</t>
  </si>
  <si>
    <t>25 545 Ft</t>
  </si>
  <si>
    <t>24 Ft</t>
  </si>
  <si>
    <t>25 325 105 Ft</t>
  </si>
  <si>
    <t>2406</t>
  </si>
  <si>
    <t>45 565 Ft</t>
  </si>
  <si>
    <t>68886</t>
  </si>
  <si>
    <t>26 545 Ft</t>
  </si>
  <si>
    <t>25 Ft</t>
  </si>
  <si>
    <t>26 325 105 Ft</t>
  </si>
  <si>
    <t>2407</t>
  </si>
  <si>
    <t>46 565 Ft</t>
  </si>
  <si>
    <t>68887</t>
  </si>
  <si>
    <t>27 545 Ft</t>
  </si>
  <si>
    <t>26 Ft</t>
  </si>
  <si>
    <t>27 325 105 Ft</t>
  </si>
  <si>
    <t>47 565 Ft</t>
  </si>
  <si>
    <t>68888</t>
  </si>
  <si>
    <t>28 545 Ft</t>
  </si>
  <si>
    <t>27 Ft</t>
  </si>
  <si>
    <t>28 325 105 Ft</t>
  </si>
  <si>
    <t>48 565 Ft</t>
  </si>
  <si>
    <t>68889</t>
  </si>
  <si>
    <t>29 545 Ft</t>
  </si>
  <si>
    <t>28 Ft</t>
  </si>
  <si>
    <t>29 325 105 Ft</t>
  </si>
  <si>
    <t>49 565 Ft</t>
  </si>
  <si>
    <t>68890</t>
  </si>
  <si>
    <t>30 545 Ft</t>
  </si>
  <si>
    <t>29 Ft</t>
  </si>
  <si>
    <t>30 325 105 Ft</t>
  </si>
  <si>
    <t>2411</t>
  </si>
  <si>
    <t>50 565 Ft</t>
  </si>
  <si>
    <t>68891</t>
  </si>
  <si>
    <t>31 545 Ft</t>
  </si>
  <si>
    <t>30 Ft</t>
  </si>
  <si>
    <t>31 325 105 Ft</t>
  </si>
  <si>
    <t>2412</t>
  </si>
  <si>
    <t>51 565 Ft</t>
  </si>
  <si>
    <t>32 545 Ft</t>
  </si>
  <si>
    <t>31 Ft</t>
  </si>
  <si>
    <t>32 325 105 Ft</t>
  </si>
  <si>
    <t>2413</t>
  </si>
  <si>
    <t>52 565 Ft</t>
  </si>
  <si>
    <t>68893</t>
  </si>
  <si>
    <t>33 545 Ft</t>
  </si>
  <si>
    <t>32 Ft</t>
  </si>
  <si>
    <t>33 325 105 Ft</t>
  </si>
  <si>
    <t>2414</t>
  </si>
  <si>
    <t>53 565 Ft</t>
  </si>
  <si>
    <t>68894</t>
  </si>
  <si>
    <t>34 545 Ft</t>
  </si>
  <si>
    <t>33 Ft</t>
  </si>
  <si>
    <t>34 325 105 Ft</t>
  </si>
  <si>
    <t>2415</t>
  </si>
  <si>
    <t>54 565 Ft</t>
  </si>
  <si>
    <t>68895</t>
  </si>
  <si>
    <t>35 545 Ft</t>
  </si>
  <si>
    <t>34 Ft</t>
  </si>
  <si>
    <t>35 325 105 Ft</t>
  </si>
  <si>
    <t>2416</t>
  </si>
  <si>
    <t>55 565 Ft</t>
  </si>
  <si>
    <t>68896</t>
  </si>
  <si>
    <t>36 545 Ft</t>
  </si>
  <si>
    <t>35 Ft</t>
  </si>
  <si>
    <t>36 325 105 Ft</t>
  </si>
  <si>
    <t>56 565 Ft</t>
  </si>
  <si>
    <t>68897</t>
  </si>
  <si>
    <t>37 545 Ft</t>
  </si>
  <si>
    <t>36 Ft</t>
  </si>
  <si>
    <t>37 325 105 Ft</t>
  </si>
  <si>
    <t>2418</t>
  </si>
  <si>
    <t>57 565 Ft</t>
  </si>
  <si>
    <t>68898</t>
  </si>
  <si>
    <t>38 545 Ft</t>
  </si>
  <si>
    <t>37 Ft</t>
  </si>
  <si>
    <t>38 325 105 Ft</t>
  </si>
  <si>
    <t>58 565 Ft</t>
  </si>
  <si>
    <t>68899</t>
  </si>
  <si>
    <t>39 545 Ft</t>
  </si>
  <si>
    <t>38 Ft</t>
  </si>
  <si>
    <t>39 325 105 Ft</t>
  </si>
  <si>
    <t>59 565 Ft</t>
  </si>
  <si>
    <t>68900</t>
  </si>
  <si>
    <t>40 545 Ft</t>
  </si>
  <si>
    <t>39 Ft</t>
  </si>
  <si>
    <t>40 325 105 Ft</t>
  </si>
  <si>
    <t>2421</t>
  </si>
  <si>
    <t>60 565 Ft</t>
  </si>
  <si>
    <t>68901</t>
  </si>
  <si>
    <t>41 545 Ft</t>
  </si>
  <si>
    <t>40 Ft</t>
  </si>
  <si>
    <t>41 325 105 Ft</t>
  </si>
  <si>
    <t>2422</t>
  </si>
  <si>
    <t>61 565 Ft</t>
  </si>
  <si>
    <t>68902</t>
  </si>
  <si>
    <t>42 545 Ft</t>
  </si>
  <si>
    <t>41 Ft</t>
  </si>
  <si>
    <t>42 325 105 Ft</t>
  </si>
  <si>
    <t>2423</t>
  </si>
  <si>
    <t>62 565 Ft</t>
  </si>
  <si>
    <t>68903</t>
  </si>
  <si>
    <t>43 545 Ft</t>
  </si>
  <si>
    <t>42 Ft</t>
  </si>
  <si>
    <t>43 325 105 Ft</t>
  </si>
  <si>
    <t>2424</t>
  </si>
  <si>
    <t>63 565 Ft</t>
  </si>
  <si>
    <t>68904</t>
  </si>
  <si>
    <t>44 545 Ft</t>
  </si>
  <si>
    <t>43 Ft</t>
  </si>
  <si>
    <t>44 325 105 Ft</t>
  </si>
  <si>
    <t>64 565 Ft</t>
  </si>
  <si>
    <t>68905</t>
  </si>
  <si>
    <t>45 545 Ft</t>
  </si>
  <si>
    <t>44 Ft</t>
  </si>
  <si>
    <t>45 325 105 Ft</t>
  </si>
  <si>
    <t>2426</t>
  </si>
  <si>
    <t>65 565 Ft</t>
  </si>
  <si>
    <t>68906</t>
  </si>
  <si>
    <t>46 545 Ft</t>
  </si>
  <si>
    <t>45 Ft</t>
  </si>
  <si>
    <t>46 325 105 Ft</t>
  </si>
  <si>
    <t>2427</t>
  </si>
  <si>
    <t>66 565 Ft</t>
  </si>
  <si>
    <t>68907</t>
  </si>
  <si>
    <t>47 545 Ft</t>
  </si>
  <si>
    <t>46 Ft</t>
  </si>
  <si>
    <t>47 325 105 Ft</t>
  </si>
  <si>
    <t>2428</t>
  </si>
  <si>
    <t>67 565 Ft</t>
  </si>
  <si>
    <t>68908</t>
  </si>
  <si>
    <t>48 545 Ft</t>
  </si>
  <si>
    <t>47 Ft</t>
  </si>
  <si>
    <t>48 325 105 Ft</t>
  </si>
  <si>
    <t>68 565 Ft</t>
  </si>
  <si>
    <t>68909</t>
  </si>
  <si>
    <t>49 545 Ft</t>
  </si>
  <si>
    <t>48 Ft</t>
  </si>
  <si>
    <t>49 325 105 Ft</t>
  </si>
  <si>
    <t>2430</t>
  </si>
  <si>
    <t>69 565 Ft</t>
  </si>
  <si>
    <t>68910</t>
  </si>
  <si>
    <t>50 545 Ft</t>
  </si>
  <si>
    <t>49 Ft</t>
  </si>
  <si>
    <t>50 325 105 Ft</t>
  </si>
  <si>
    <t>2431</t>
  </si>
  <si>
    <t>70 565 Ft</t>
  </si>
  <si>
    <t>68911</t>
  </si>
  <si>
    <t>51 545 Ft</t>
  </si>
  <si>
    <t>50 Ft</t>
  </si>
  <si>
    <t>51 325 105 Ft</t>
  </si>
  <si>
    <t>71 565 Ft</t>
  </si>
  <si>
    <t>68912</t>
  </si>
  <si>
    <t>52 545 Ft</t>
  </si>
  <si>
    <t>51 Ft</t>
  </si>
  <si>
    <t>52 325 105 Ft</t>
  </si>
  <si>
    <t>72 565 Ft</t>
  </si>
  <si>
    <t>68913</t>
  </si>
  <si>
    <t>53 545 Ft</t>
  </si>
  <si>
    <t>52 Ft</t>
  </si>
  <si>
    <t>53 325 105 Ft</t>
  </si>
  <si>
    <t>73 565 Ft</t>
  </si>
  <si>
    <t>68914</t>
  </si>
  <si>
    <t>54 545 Ft</t>
  </si>
  <si>
    <t>53 Ft</t>
  </si>
  <si>
    <t>54 325 105 Ft</t>
  </si>
  <si>
    <t>2435</t>
  </si>
  <si>
    <t>74 565 Ft</t>
  </si>
  <si>
    <t>68915</t>
  </si>
  <si>
    <t>55 545 Ft</t>
  </si>
  <si>
    <t>54 Ft</t>
  </si>
  <si>
    <t>55 325 105 Ft</t>
  </si>
  <si>
    <t>75 565 Ft</t>
  </si>
  <si>
    <t>68916</t>
  </si>
  <si>
    <t>56 545 Ft</t>
  </si>
  <si>
    <t>55 Ft</t>
  </si>
  <si>
    <t>56 325 105 Ft</t>
  </si>
  <si>
    <t>76 565 Ft</t>
  </si>
  <si>
    <t>68917</t>
  </si>
  <si>
    <t>57 545 Ft</t>
  </si>
  <si>
    <t>56 Ft</t>
  </si>
  <si>
    <t>57 325 105 Ft</t>
  </si>
  <si>
    <t>2438</t>
  </si>
  <si>
    <t>77 565 Ft</t>
  </si>
  <si>
    <t>68918</t>
  </si>
  <si>
    <t>58 545 Ft</t>
  </si>
  <si>
    <t>57 Ft</t>
  </si>
  <si>
    <t>58 325 105 Ft</t>
  </si>
  <si>
    <t>78 565 Ft</t>
  </si>
  <si>
    <t>68919</t>
  </si>
  <si>
    <t>59 545 Ft</t>
  </si>
  <si>
    <t>58 Ft</t>
  </si>
  <si>
    <t>59 325 105 Ft</t>
  </si>
  <si>
    <t>2440</t>
  </si>
  <si>
    <t>79 565 Ft</t>
  </si>
  <si>
    <t>68920</t>
  </si>
  <si>
    <t>60 545 Ft</t>
  </si>
  <si>
    <t>59 Ft</t>
  </si>
  <si>
    <t>96</t>
  </si>
  <si>
    <t>60 325 105 Ft</t>
  </si>
  <si>
    <t>80 565 Ft</t>
  </si>
  <si>
    <t>68921</t>
  </si>
  <si>
    <t>61 545 Ft</t>
  </si>
  <si>
    <t>Lehetséges kombinációk száma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</si>
</sst>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rgb="FF000000"/>
      <name val="Calibri"/>
    </font>
    <font>
      <sz val="8"/>
      <name val="Calibri"/>
    </font>
    <font>
      <b/>
      <sz val="12"/>
      <color rgb="FF000000"/>
      <name val="Calibri"/>
      <family val="2"/>
      <charset val="238"/>
    </font>
    <font>
      <sz val="12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95"/>
  <sheetViews>
    <sheetView tabSelected="1" topLeftCell="D1" workbookViewId="0">
      <pane ySplit="1" topLeftCell="A2" activePane="bottomLeft" state="frozen"/>
      <selection pane="bottomLeft" activeCell="V3" sqref="V3"/>
    </sheetView>
  </sheetViews>
  <sheetFormatPr defaultRowHeight="15.75" x14ac:dyDescent="0.25"/>
  <cols>
    <col min="1" max="1" width="5.5" style="7" customWidth="1"/>
    <col min="2" max="2" width="4.375" style="8" customWidth="1"/>
    <col min="3" max="3" width="10.875" style="10" bestFit="1" customWidth="1"/>
    <col min="4" max="4" width="3.125" style="9" customWidth="1"/>
    <col min="5" max="11" width="2.25" style="7" customWidth="1"/>
    <col min="12" max="16" width="8" style="8" customWidth="1"/>
    <col min="17" max="17" width="36.125" style="7" hidden="1" customWidth="1"/>
    <col min="18" max="18" width="34.5" style="7" customWidth="1"/>
    <col min="19" max="16384" width="9" style="7"/>
  </cols>
  <sheetData>
    <row r="1" spans="1:22" s="1" customFormat="1" ht="189" x14ac:dyDescent="0.25">
      <c r="A1" s="6" t="s">
        <v>0</v>
      </c>
      <c r="B1" s="6" t="s">
        <v>1</v>
      </c>
      <c r="C1" s="5" t="s">
        <v>5888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5883</v>
      </c>
      <c r="M1" s="4" t="s">
        <v>5884</v>
      </c>
      <c r="N1" s="4" t="s">
        <v>5885</v>
      </c>
      <c r="O1" s="4" t="s">
        <v>5886</v>
      </c>
      <c r="P1" s="4" t="s">
        <v>5887</v>
      </c>
      <c r="Q1" s="2" t="str">
        <f>"use lotto; truncate table `otosnyeroszamok`; INSERT INTO `otosnyeroszamok` (`HuzasEve`,`HuzasHete`,`HuzasDatuma`,`Nyeroszam1`,`Nyeroszam2`,`Nyeroszam3`,`Nyeroszam4`,`Nyeroszam5`,`Magic`) VALUES"</f>
        <v>use lotto; truncate table `otosnyeroszamok`; INSERT INTO `otosnyeroszamok` (`HuzasEve`,`HuzasHete`,`HuzasDatuma`,`Nyeroszam1`,`Nyeroszam2`,`Nyeroszam3`,`Nyeroszam4`,`Nyeroszam5`,`Magic`) VALUES</v>
      </c>
      <c r="R1" s="2" t="str">
        <f>"use lotto; 
truncate table `otossorsolasok`; 
INSERT INTO `otossorsolasok` (`ev`,`het`,`datum`,`nyeroszam1`,`nyeroszam2`,`nyeroszam3`,`nyeroszam4`,`nyeroszam5`) VALUES"</f>
        <v>use lotto; 
truncate table `otossorsolasok`; 
INSERT INTO `otossorsolasok` (`ev`,`het`,`datum`,`nyeroszam1`,`nyeroszam2`,`nyeroszam3`,`nyeroszam4`,`nyeroszam5`) VALUES</v>
      </c>
      <c r="T1" s="3" t="s">
        <v>5889</v>
      </c>
    </row>
    <row r="2" spans="1:22" x14ac:dyDescent="0.25">
      <c r="A2" s="7" t="s">
        <v>5872</v>
      </c>
      <c r="B2" s="8" t="s">
        <v>62</v>
      </c>
      <c r="C2" s="10">
        <v>20888</v>
      </c>
      <c r="D2" t="s">
        <v>11</v>
      </c>
      <c r="E2" t="s">
        <v>12</v>
      </c>
      <c r="F2" t="s">
        <v>11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s="12" t="s">
        <v>43</v>
      </c>
      <c r="M2" s="12" t="s">
        <v>91</v>
      </c>
      <c r="N2" s="12" t="s">
        <v>56</v>
      </c>
      <c r="O2" s="12" t="s">
        <v>143</v>
      </c>
      <c r="P2" s="12" t="s">
        <v>379</v>
      </c>
      <c r="Q2" s="7" t="str">
        <f t="shared" ref="Q2:Q65" si="0">"("&amp;A2&amp;","&amp;B2&amp;",'"&amp;TEXT(C2,"éééé.hh.nn")&amp;"',"&amp;L2&amp;","&amp;M2&amp;","&amp;N2&amp;","&amp;O2&amp;","&amp;P2&amp;",0)"&amp;IF(P3&lt;&gt;0,",","")</f>
        <v>(1957,10,'1957.03.09',16,61,71,77,89,0),</v>
      </c>
      <c r="R2" s="7" t="str">
        <f>IF(TRIM(P2)="","","("&amp;A2&amp;","&amp;B2&amp;",'"&amp;TEXT(C2,"éééé.hh.nn")&amp;"',"&amp;L2&amp;","&amp;M2&amp;","&amp;N2&amp;","&amp;O2&amp;","&amp;P2&amp;")"&amp;IF(P3=0,";",","))</f>
        <v>(1957,10,'1957.03.09',16,61,71,77,89),</v>
      </c>
      <c r="U2" s="16" t="s">
        <v>6278</v>
      </c>
    </row>
    <row r="3" spans="1:22" x14ac:dyDescent="0.25">
      <c r="A3" s="7" t="s">
        <v>5872</v>
      </c>
      <c r="B3" s="8" t="s">
        <v>83</v>
      </c>
      <c r="C3" s="10">
        <f t="shared" ref="C3:C66" si="1">+C2+7</f>
        <v>20895</v>
      </c>
      <c r="D3" t="s">
        <v>11</v>
      </c>
      <c r="E3" t="s">
        <v>12</v>
      </c>
      <c r="F3" t="s">
        <v>11</v>
      </c>
      <c r="G3" t="s">
        <v>12</v>
      </c>
      <c r="H3" t="s">
        <v>11</v>
      </c>
      <c r="I3" t="s">
        <v>12</v>
      </c>
      <c r="J3" t="s">
        <v>11</v>
      </c>
      <c r="K3" t="s">
        <v>12</v>
      </c>
      <c r="L3" s="12" t="s">
        <v>108</v>
      </c>
      <c r="M3" s="12" t="s">
        <v>34</v>
      </c>
      <c r="N3" s="12" t="s">
        <v>214</v>
      </c>
      <c r="O3" s="12" t="s">
        <v>72</v>
      </c>
      <c r="P3" s="12" t="s">
        <v>56</v>
      </c>
      <c r="Q3" s="7" t="str">
        <f t="shared" si="0"/>
        <v>(1957,11,'1957.03.16',1,49,64,67,71,0),</v>
      </c>
      <c r="R3" s="7" t="str">
        <f t="shared" ref="R3:R66" si="2">IF(TRIM(P3)="","","("&amp;A3&amp;","&amp;B3&amp;",'"&amp;TEXT(C3,"éééé.hh.nn")&amp;"',"&amp;L3&amp;","&amp;M3&amp;","&amp;N3&amp;","&amp;O3&amp;","&amp;P3&amp;")"&amp;IF(P4=0,";",","))</f>
        <v>(1957,11,'1957.03.16',1,49,64,67,71),</v>
      </c>
      <c r="U3" s="7">
        <v>1</v>
      </c>
      <c r="V3" s="7">
        <f>FACT(90)/FACT(90-U3)/FACT(U3)</f>
        <v>89.999999999999915</v>
      </c>
    </row>
    <row r="4" spans="1:22" x14ac:dyDescent="0.25">
      <c r="A4" s="7" t="s">
        <v>5872</v>
      </c>
      <c r="B4" s="8" t="s">
        <v>31</v>
      </c>
      <c r="C4" s="10">
        <f t="shared" si="1"/>
        <v>20902</v>
      </c>
      <c r="D4" t="s">
        <v>11</v>
      </c>
      <c r="E4" t="s">
        <v>12</v>
      </c>
      <c r="F4" t="s">
        <v>11</v>
      </c>
      <c r="G4" t="s">
        <v>12</v>
      </c>
      <c r="H4" t="s">
        <v>11</v>
      </c>
      <c r="I4" t="s">
        <v>12</v>
      </c>
      <c r="J4" t="s">
        <v>11</v>
      </c>
      <c r="K4" t="s">
        <v>12</v>
      </c>
      <c r="L4" s="12" t="s">
        <v>232</v>
      </c>
      <c r="M4" s="12" t="s">
        <v>31</v>
      </c>
      <c r="N4" s="12" t="s">
        <v>33</v>
      </c>
      <c r="O4" s="12" t="s">
        <v>74</v>
      </c>
      <c r="P4" s="12" t="s">
        <v>468</v>
      </c>
      <c r="Q4" s="7" t="str">
        <f t="shared" si="0"/>
        <v>(1957,12,'1957.03.23',8,12,24,26,85,0),</v>
      </c>
      <c r="R4" s="7" t="str">
        <f t="shared" si="2"/>
        <v>(1957,12,'1957.03.23',8,12,24,26,85),</v>
      </c>
      <c r="U4" s="7">
        <v>2</v>
      </c>
      <c r="V4" s="7">
        <f t="shared" ref="V4:V7" si="3">FACT(90)/FACT(90-U4)/FACT(U4)</f>
        <v>4004.9999999999982</v>
      </c>
    </row>
    <row r="5" spans="1:22" x14ac:dyDescent="0.25">
      <c r="A5" s="7" t="s">
        <v>5872</v>
      </c>
      <c r="B5" s="8" t="s">
        <v>65</v>
      </c>
      <c r="C5" s="10">
        <f t="shared" si="1"/>
        <v>20909</v>
      </c>
      <c r="D5" t="s">
        <v>11</v>
      </c>
      <c r="E5" t="s">
        <v>12</v>
      </c>
      <c r="F5" t="s">
        <v>11</v>
      </c>
      <c r="G5" t="s">
        <v>12</v>
      </c>
      <c r="H5" t="s">
        <v>11</v>
      </c>
      <c r="I5" t="s">
        <v>12</v>
      </c>
      <c r="J5" t="s">
        <v>11</v>
      </c>
      <c r="K5" t="s">
        <v>12</v>
      </c>
      <c r="L5" s="12" t="s">
        <v>53</v>
      </c>
      <c r="M5" s="12" t="s">
        <v>198</v>
      </c>
      <c r="N5" s="12" t="s">
        <v>55</v>
      </c>
      <c r="O5" s="12" t="s">
        <v>98</v>
      </c>
      <c r="P5" s="12" t="s">
        <v>233</v>
      </c>
      <c r="Q5" s="7" t="str">
        <f t="shared" si="0"/>
        <v>(1957,13,'1957.03.30',7,9,19,42,66,0),</v>
      </c>
      <c r="R5" s="7" t="str">
        <f t="shared" si="2"/>
        <v>(1957,13,'1957.03.30',7,9,19,42,66),</v>
      </c>
      <c r="U5" s="7">
        <v>3</v>
      </c>
      <c r="V5" s="7">
        <f t="shared" si="3"/>
        <v>117479.99999999996</v>
      </c>
    </row>
    <row r="6" spans="1:22" x14ac:dyDescent="0.25">
      <c r="A6" s="7" t="s">
        <v>5872</v>
      </c>
      <c r="B6" s="8" t="s">
        <v>127</v>
      </c>
      <c r="C6" s="10">
        <f t="shared" si="1"/>
        <v>20916</v>
      </c>
      <c r="D6" t="s">
        <v>11</v>
      </c>
      <c r="E6" t="s">
        <v>12</v>
      </c>
      <c r="F6" t="s">
        <v>11</v>
      </c>
      <c r="G6" t="s">
        <v>12</v>
      </c>
      <c r="H6" t="s">
        <v>11</v>
      </c>
      <c r="I6" t="s">
        <v>12</v>
      </c>
      <c r="J6" t="s">
        <v>11</v>
      </c>
      <c r="K6" t="s">
        <v>12</v>
      </c>
      <c r="L6" s="12" t="s">
        <v>74</v>
      </c>
      <c r="M6" s="12" t="s">
        <v>20</v>
      </c>
      <c r="N6" s="12" t="s">
        <v>36</v>
      </c>
      <c r="O6" s="12" t="s">
        <v>81</v>
      </c>
      <c r="P6" s="12" t="s">
        <v>199</v>
      </c>
      <c r="Q6" s="7" t="str">
        <f t="shared" si="0"/>
        <v>(1957,14,'1957.04.06',26,33,38,47,53,0),</v>
      </c>
      <c r="R6" s="7" t="str">
        <f t="shared" si="2"/>
        <v>(1957,14,'1957.04.06',26,33,38,47,53),</v>
      </c>
      <c r="U6" s="7">
        <v>4</v>
      </c>
      <c r="V6" s="7">
        <f t="shared" si="3"/>
        <v>2555189.9999999972</v>
      </c>
    </row>
    <row r="7" spans="1:22" x14ac:dyDescent="0.25">
      <c r="A7" s="7" t="s">
        <v>5872</v>
      </c>
      <c r="B7" s="8" t="s">
        <v>54</v>
      </c>
      <c r="C7" s="10">
        <f t="shared" si="1"/>
        <v>20923</v>
      </c>
      <c r="D7" t="s">
        <v>11</v>
      </c>
      <c r="E7" t="s">
        <v>12</v>
      </c>
      <c r="F7" t="s">
        <v>11</v>
      </c>
      <c r="G7" t="s">
        <v>12</v>
      </c>
      <c r="H7" t="s">
        <v>11</v>
      </c>
      <c r="I7" t="s">
        <v>12</v>
      </c>
      <c r="J7" t="s">
        <v>11</v>
      </c>
      <c r="K7" t="s">
        <v>12</v>
      </c>
      <c r="L7" s="12" t="s">
        <v>163</v>
      </c>
      <c r="M7" s="12" t="s">
        <v>74</v>
      </c>
      <c r="N7" s="12" t="s">
        <v>20</v>
      </c>
      <c r="O7" s="12" t="s">
        <v>46</v>
      </c>
      <c r="P7" s="12" t="s">
        <v>233</v>
      </c>
      <c r="Q7" s="7" t="str">
        <f t="shared" si="0"/>
        <v>(1957,15,'1957.04.13',23,26,33,37,66,0),</v>
      </c>
      <c r="R7" s="7" t="str">
        <f t="shared" si="2"/>
        <v>(1957,15,'1957.04.13',23,26,33,37,66),</v>
      </c>
      <c r="U7" s="7">
        <v>5</v>
      </c>
      <c r="V7" s="7">
        <f t="shared" si="3"/>
        <v>43949267.999999985</v>
      </c>
    </row>
    <row r="8" spans="1:22" x14ac:dyDescent="0.25">
      <c r="A8" s="7" t="s">
        <v>5872</v>
      </c>
      <c r="B8" s="8" t="s">
        <v>43</v>
      </c>
      <c r="C8" s="10">
        <f t="shared" si="1"/>
        <v>20930</v>
      </c>
      <c r="D8" t="s">
        <v>11</v>
      </c>
      <c r="E8" t="s">
        <v>12</v>
      </c>
      <c r="F8" t="s">
        <v>11</v>
      </c>
      <c r="G8" t="s">
        <v>12</v>
      </c>
      <c r="H8" t="s">
        <v>11</v>
      </c>
      <c r="I8" t="s">
        <v>12</v>
      </c>
      <c r="J8" t="s">
        <v>11</v>
      </c>
      <c r="K8" t="s">
        <v>12</v>
      </c>
      <c r="L8" s="12" t="s">
        <v>53</v>
      </c>
      <c r="M8" s="12" t="s">
        <v>31</v>
      </c>
      <c r="N8" s="12" t="s">
        <v>33</v>
      </c>
      <c r="O8" s="12" t="s">
        <v>107</v>
      </c>
      <c r="P8" s="12" t="s">
        <v>106</v>
      </c>
      <c r="Q8" s="7" t="str">
        <f t="shared" si="0"/>
        <v>(1957,16,'1957.04.20',7,12,24,30,75,0),</v>
      </c>
      <c r="R8" s="7" t="str">
        <f t="shared" si="2"/>
        <v>(1957,16,'1957.04.20',7,12,24,30,75),</v>
      </c>
    </row>
    <row r="9" spans="1:22" x14ac:dyDescent="0.25">
      <c r="A9" s="7" t="s">
        <v>5872</v>
      </c>
      <c r="B9" s="8" t="s">
        <v>90</v>
      </c>
      <c r="C9" s="10">
        <f t="shared" si="1"/>
        <v>20937</v>
      </c>
      <c r="D9" t="s">
        <v>11</v>
      </c>
      <c r="E9" t="s">
        <v>12</v>
      </c>
      <c r="F9" t="s">
        <v>11</v>
      </c>
      <c r="G9" t="s">
        <v>12</v>
      </c>
      <c r="H9" t="s">
        <v>11</v>
      </c>
      <c r="I9" t="s">
        <v>12</v>
      </c>
      <c r="J9" t="s">
        <v>11</v>
      </c>
      <c r="K9" t="s">
        <v>12</v>
      </c>
      <c r="L9" s="12" t="s">
        <v>42</v>
      </c>
      <c r="M9" s="12" t="s">
        <v>89</v>
      </c>
      <c r="N9" s="12" t="s">
        <v>55</v>
      </c>
      <c r="O9" s="12" t="s">
        <v>115</v>
      </c>
      <c r="P9" s="12" t="s">
        <v>22</v>
      </c>
      <c r="Q9" s="7" t="str">
        <f t="shared" si="0"/>
        <v>(1957,17,'1957.04.27',3,5,19,20,48,0),</v>
      </c>
      <c r="R9" s="7" t="str">
        <f t="shared" si="2"/>
        <v>(1957,17,'1957.04.27',3,5,19,20,48),</v>
      </c>
    </row>
    <row r="10" spans="1:22" x14ac:dyDescent="0.25">
      <c r="A10" s="7" t="s">
        <v>5872</v>
      </c>
      <c r="B10" s="8" t="s">
        <v>19</v>
      </c>
      <c r="C10" s="10">
        <f t="shared" si="1"/>
        <v>20944</v>
      </c>
      <c r="D10" t="s">
        <v>11</v>
      </c>
      <c r="E10" t="s">
        <v>12</v>
      </c>
      <c r="F10" t="s">
        <v>11</v>
      </c>
      <c r="G10" t="s">
        <v>12</v>
      </c>
      <c r="H10" t="s">
        <v>11</v>
      </c>
      <c r="I10" t="s">
        <v>12</v>
      </c>
      <c r="J10" t="s">
        <v>11</v>
      </c>
      <c r="K10" t="s">
        <v>12</v>
      </c>
      <c r="L10" s="12" t="s">
        <v>31</v>
      </c>
      <c r="M10" s="12" t="s">
        <v>55</v>
      </c>
      <c r="N10" s="12" t="s">
        <v>64</v>
      </c>
      <c r="O10" s="12" t="s">
        <v>98</v>
      </c>
      <c r="P10" s="12" t="s">
        <v>214</v>
      </c>
      <c r="Q10" s="7" t="str">
        <f t="shared" si="0"/>
        <v>(1957,18,'1957.05.04',12,19,35,42,64,0),</v>
      </c>
      <c r="R10" s="7" t="str">
        <f t="shared" si="2"/>
        <v>(1957,18,'1957.05.04',12,19,35,42,64),</v>
      </c>
    </row>
    <row r="11" spans="1:22" x14ac:dyDescent="0.25">
      <c r="A11" s="7" t="s">
        <v>5872</v>
      </c>
      <c r="B11" s="8" t="s">
        <v>55</v>
      </c>
      <c r="C11" s="10">
        <f t="shared" si="1"/>
        <v>20951</v>
      </c>
      <c r="D11" t="s">
        <v>11</v>
      </c>
      <c r="E11" t="s">
        <v>12</v>
      </c>
      <c r="F11" t="s">
        <v>11</v>
      </c>
      <c r="G11" t="s">
        <v>12</v>
      </c>
      <c r="H11" t="s">
        <v>11</v>
      </c>
      <c r="I11" t="s">
        <v>12</v>
      </c>
      <c r="J11" t="s">
        <v>11</v>
      </c>
      <c r="K11" t="s">
        <v>12</v>
      </c>
      <c r="L11" s="12" t="s">
        <v>89</v>
      </c>
      <c r="M11" s="12" t="s">
        <v>135</v>
      </c>
      <c r="N11" s="12" t="s">
        <v>133</v>
      </c>
      <c r="O11" s="12" t="s">
        <v>192</v>
      </c>
      <c r="P11" s="12" t="s">
        <v>22</v>
      </c>
      <c r="Q11" s="7" t="str">
        <f t="shared" si="0"/>
        <v>(1957,19,'1957.05.11',5,27,45,46,48,0),</v>
      </c>
      <c r="R11" s="7" t="str">
        <f t="shared" si="2"/>
        <v>(1957,19,'1957.05.11',5,27,45,46,48),</v>
      </c>
    </row>
    <row r="12" spans="1:22" x14ac:dyDescent="0.25">
      <c r="A12" s="7" t="s">
        <v>5872</v>
      </c>
      <c r="B12" s="8" t="s">
        <v>115</v>
      </c>
      <c r="C12" s="10">
        <f t="shared" si="1"/>
        <v>20958</v>
      </c>
      <c r="D12" t="s">
        <v>11</v>
      </c>
      <c r="E12" t="s">
        <v>12</v>
      </c>
      <c r="F12" t="s">
        <v>11</v>
      </c>
      <c r="G12" t="s">
        <v>12</v>
      </c>
      <c r="H12" t="s">
        <v>11</v>
      </c>
      <c r="I12" t="s">
        <v>12</v>
      </c>
      <c r="J12" t="s">
        <v>11</v>
      </c>
      <c r="K12" t="s">
        <v>12</v>
      </c>
      <c r="L12" s="12" t="s">
        <v>53</v>
      </c>
      <c r="M12" s="12" t="s">
        <v>99</v>
      </c>
      <c r="N12" s="12" t="s">
        <v>169</v>
      </c>
      <c r="O12" s="12" t="s">
        <v>124</v>
      </c>
      <c r="P12" s="12" t="s">
        <v>72</v>
      </c>
      <c r="Q12" s="7" t="str">
        <f t="shared" si="0"/>
        <v>(1957,20,'1957.05.18',7,52,58,62,67,0),</v>
      </c>
      <c r="R12" s="7" t="str">
        <f t="shared" si="2"/>
        <v>(1957,20,'1957.05.18',7,52,58,62,67),</v>
      </c>
    </row>
    <row r="13" spans="1:22" x14ac:dyDescent="0.25">
      <c r="A13" s="7" t="s">
        <v>5872</v>
      </c>
      <c r="B13" s="8" t="s">
        <v>44</v>
      </c>
      <c r="C13" s="10">
        <f t="shared" si="1"/>
        <v>20965</v>
      </c>
      <c r="D13" t="s">
        <v>11</v>
      </c>
      <c r="E13" t="s">
        <v>12</v>
      </c>
      <c r="F13" t="s">
        <v>11</v>
      </c>
      <c r="G13" t="s">
        <v>12</v>
      </c>
      <c r="H13" t="s">
        <v>11</v>
      </c>
      <c r="I13" t="s">
        <v>12</v>
      </c>
      <c r="J13" t="s">
        <v>11</v>
      </c>
      <c r="K13" t="s">
        <v>12</v>
      </c>
      <c r="L13" s="12" t="s">
        <v>115</v>
      </c>
      <c r="M13" s="12" t="s">
        <v>175</v>
      </c>
      <c r="N13" s="12" t="s">
        <v>214</v>
      </c>
      <c r="O13" s="12" t="s">
        <v>239</v>
      </c>
      <c r="P13" s="12" t="s">
        <v>106</v>
      </c>
      <c r="Q13" s="7" t="str">
        <f t="shared" si="0"/>
        <v>(1957,21,'1957.05.25',20,55,64,73,75,0),</v>
      </c>
      <c r="R13" s="7" t="str">
        <f t="shared" si="2"/>
        <v>(1957,21,'1957.05.25',20,55,64,73,75),</v>
      </c>
    </row>
    <row r="14" spans="1:22" x14ac:dyDescent="0.25">
      <c r="A14" s="7" t="s">
        <v>5872</v>
      </c>
      <c r="B14" s="8" t="s">
        <v>32</v>
      </c>
      <c r="C14" s="10">
        <f t="shared" si="1"/>
        <v>20972</v>
      </c>
      <c r="D14" t="s">
        <v>11</v>
      </c>
      <c r="E14" t="s">
        <v>12</v>
      </c>
      <c r="F14" t="s">
        <v>11</v>
      </c>
      <c r="G14" t="s">
        <v>12</v>
      </c>
      <c r="H14" t="s">
        <v>11</v>
      </c>
      <c r="I14" t="s">
        <v>12</v>
      </c>
      <c r="J14" t="s">
        <v>11</v>
      </c>
      <c r="K14" t="s">
        <v>12</v>
      </c>
      <c r="L14" s="12" t="s">
        <v>43</v>
      </c>
      <c r="M14" s="12" t="s">
        <v>36</v>
      </c>
      <c r="N14" s="12" t="s">
        <v>10</v>
      </c>
      <c r="O14" s="12" t="s">
        <v>35</v>
      </c>
      <c r="P14" s="12" t="s">
        <v>239</v>
      </c>
      <c r="Q14" s="7" t="str">
        <f t="shared" si="0"/>
        <v>(1957,22,'1957.06.01',16,38,40,65,73,0),</v>
      </c>
      <c r="R14" s="7" t="str">
        <f t="shared" si="2"/>
        <v>(1957,22,'1957.06.01',16,38,40,65,73),</v>
      </c>
    </row>
    <row r="15" spans="1:22" x14ac:dyDescent="0.25">
      <c r="A15" s="7" t="s">
        <v>5872</v>
      </c>
      <c r="B15" s="8" t="s">
        <v>163</v>
      </c>
      <c r="C15" s="10">
        <f t="shared" si="1"/>
        <v>20979</v>
      </c>
      <c r="D15" t="s">
        <v>11</v>
      </c>
      <c r="E15" t="s">
        <v>12</v>
      </c>
      <c r="F15" t="s">
        <v>11</v>
      </c>
      <c r="G15" t="s">
        <v>12</v>
      </c>
      <c r="H15" t="s">
        <v>11</v>
      </c>
      <c r="I15" t="s">
        <v>12</v>
      </c>
      <c r="J15" t="s">
        <v>11</v>
      </c>
      <c r="K15" t="s">
        <v>12</v>
      </c>
      <c r="L15" s="12" t="s">
        <v>42</v>
      </c>
      <c r="M15" s="12" t="s">
        <v>20</v>
      </c>
      <c r="N15" s="12" t="s">
        <v>192</v>
      </c>
      <c r="O15" s="12" t="s">
        <v>82</v>
      </c>
      <c r="P15" s="12" t="s">
        <v>106</v>
      </c>
      <c r="Q15" s="7" t="str">
        <f t="shared" si="0"/>
        <v>(1957,23,'1957.06.08',3,33,46,59,75,0),</v>
      </c>
      <c r="R15" s="7" t="str">
        <f t="shared" si="2"/>
        <v>(1957,23,'1957.06.08',3,33,46,59,75),</v>
      </c>
    </row>
    <row r="16" spans="1:22" x14ac:dyDescent="0.25">
      <c r="A16" s="7" t="s">
        <v>5872</v>
      </c>
      <c r="B16" s="8" t="s">
        <v>33</v>
      </c>
      <c r="C16" s="10">
        <f t="shared" si="1"/>
        <v>20986</v>
      </c>
      <c r="D16" t="s">
        <v>11</v>
      </c>
      <c r="E16" t="s">
        <v>12</v>
      </c>
      <c r="F16" t="s">
        <v>11</v>
      </c>
      <c r="G16" t="s">
        <v>12</v>
      </c>
      <c r="H16" t="s">
        <v>11</v>
      </c>
      <c r="I16" t="s">
        <v>12</v>
      </c>
      <c r="J16" t="s">
        <v>11</v>
      </c>
      <c r="K16" t="s">
        <v>12</v>
      </c>
      <c r="L16" s="12" t="s">
        <v>198</v>
      </c>
      <c r="M16" s="12" t="s">
        <v>31</v>
      </c>
      <c r="N16" s="12" t="s">
        <v>133</v>
      </c>
      <c r="O16" s="12" t="s">
        <v>35</v>
      </c>
      <c r="P16" s="12" t="s">
        <v>379</v>
      </c>
      <c r="Q16" s="7" t="str">
        <f t="shared" si="0"/>
        <v>(1957,24,'1957.06.15',9,12,45,65,89,0),</v>
      </c>
      <c r="R16" s="7" t="str">
        <f t="shared" si="2"/>
        <v>(1957,24,'1957.06.15',9,12,45,65,89),</v>
      </c>
    </row>
    <row r="17" spans="1:18" x14ac:dyDescent="0.25">
      <c r="A17" s="7" t="s">
        <v>5872</v>
      </c>
      <c r="B17" s="8" t="s">
        <v>152</v>
      </c>
      <c r="C17" s="10">
        <f t="shared" si="1"/>
        <v>20993</v>
      </c>
      <c r="D17" t="s">
        <v>11</v>
      </c>
      <c r="E17" t="s">
        <v>12</v>
      </c>
      <c r="F17" t="s">
        <v>11</v>
      </c>
      <c r="G17" t="s">
        <v>12</v>
      </c>
      <c r="H17" t="s">
        <v>11</v>
      </c>
      <c r="I17" t="s">
        <v>12</v>
      </c>
      <c r="J17" t="s">
        <v>11</v>
      </c>
      <c r="K17" t="s">
        <v>12</v>
      </c>
      <c r="L17" s="12" t="s">
        <v>34</v>
      </c>
      <c r="M17" s="12" t="s">
        <v>122</v>
      </c>
      <c r="N17" s="12" t="s">
        <v>134</v>
      </c>
      <c r="O17" s="12" t="s">
        <v>215</v>
      </c>
      <c r="P17" s="12" t="s">
        <v>208</v>
      </c>
      <c r="Q17" s="7" t="str">
        <f t="shared" si="0"/>
        <v>(1957,25,'1957.06.22',49,51,56,81,88,0),</v>
      </c>
      <c r="R17" s="7" t="str">
        <f t="shared" si="2"/>
        <v>(1957,25,'1957.06.22',49,51,56,81,88),</v>
      </c>
    </row>
    <row r="18" spans="1:18" x14ac:dyDescent="0.25">
      <c r="A18" s="7" t="s">
        <v>5872</v>
      </c>
      <c r="B18" s="8" t="s">
        <v>74</v>
      </c>
      <c r="C18" s="10">
        <f t="shared" si="1"/>
        <v>21000</v>
      </c>
      <c r="D18" t="s">
        <v>11</v>
      </c>
      <c r="E18" t="s">
        <v>12</v>
      </c>
      <c r="F18" t="s">
        <v>11</v>
      </c>
      <c r="G18" t="s">
        <v>12</v>
      </c>
      <c r="H18" t="s">
        <v>11</v>
      </c>
      <c r="I18" t="s">
        <v>12</v>
      </c>
      <c r="J18" t="s">
        <v>11</v>
      </c>
      <c r="K18" t="s">
        <v>12</v>
      </c>
      <c r="L18" s="12" t="s">
        <v>108</v>
      </c>
      <c r="M18" s="12" t="s">
        <v>31</v>
      </c>
      <c r="N18" s="12" t="s">
        <v>65</v>
      </c>
      <c r="O18" s="12" t="s">
        <v>54</v>
      </c>
      <c r="P18" s="12" t="s">
        <v>74</v>
      </c>
      <c r="Q18" s="7" t="str">
        <f t="shared" si="0"/>
        <v>(1957,26,'1957.06.29',1,12,13,15,26,0),</v>
      </c>
      <c r="R18" s="7" t="str">
        <f t="shared" si="2"/>
        <v>(1957,26,'1957.06.29',1,12,13,15,26),</v>
      </c>
    </row>
    <row r="19" spans="1:18" x14ac:dyDescent="0.25">
      <c r="A19" s="7" t="s">
        <v>5872</v>
      </c>
      <c r="B19" s="8" t="s">
        <v>135</v>
      </c>
      <c r="C19" s="10">
        <f t="shared" si="1"/>
        <v>21007</v>
      </c>
      <c r="D19" t="s">
        <v>11</v>
      </c>
      <c r="E19" t="s">
        <v>12</v>
      </c>
      <c r="F19" t="s">
        <v>11</v>
      </c>
      <c r="G19" t="s">
        <v>12</v>
      </c>
      <c r="H19" t="s">
        <v>11</v>
      </c>
      <c r="I19" t="s">
        <v>12</v>
      </c>
      <c r="J19" t="s">
        <v>11</v>
      </c>
      <c r="K19" t="s">
        <v>12</v>
      </c>
      <c r="L19" s="12" t="s">
        <v>198</v>
      </c>
      <c r="M19" s="12" t="s">
        <v>127</v>
      </c>
      <c r="N19" s="12" t="s">
        <v>74</v>
      </c>
      <c r="O19" s="12" t="s">
        <v>23</v>
      </c>
      <c r="P19" s="12" t="s">
        <v>215</v>
      </c>
      <c r="Q19" s="7" t="str">
        <f t="shared" si="0"/>
        <v>(1957,27,'1957.07.06',9,14,26,60,81,0),</v>
      </c>
      <c r="R19" s="7" t="str">
        <f t="shared" si="2"/>
        <v>(1957,27,'1957.07.06',9,14,26,60,81),</v>
      </c>
    </row>
    <row r="20" spans="1:18" x14ac:dyDescent="0.25">
      <c r="A20" s="7" t="s">
        <v>5872</v>
      </c>
      <c r="B20" s="8" t="s">
        <v>126</v>
      </c>
      <c r="C20" s="10">
        <f t="shared" si="1"/>
        <v>21014</v>
      </c>
      <c r="D20" t="s">
        <v>11</v>
      </c>
      <c r="E20" t="s">
        <v>12</v>
      </c>
      <c r="F20" t="s">
        <v>11</v>
      </c>
      <c r="G20" t="s">
        <v>12</v>
      </c>
      <c r="H20" t="s">
        <v>11</v>
      </c>
      <c r="I20" t="s">
        <v>12</v>
      </c>
      <c r="J20" t="s">
        <v>11</v>
      </c>
      <c r="K20" t="s">
        <v>12</v>
      </c>
      <c r="L20" s="12" t="s">
        <v>198</v>
      </c>
      <c r="M20" s="12" t="s">
        <v>65</v>
      </c>
      <c r="N20" s="12" t="s">
        <v>33</v>
      </c>
      <c r="O20" s="12" t="s">
        <v>123</v>
      </c>
      <c r="P20" s="12" t="s">
        <v>248</v>
      </c>
      <c r="Q20" s="7" t="str">
        <f t="shared" si="0"/>
        <v>(1957,28,'1957.07.13',9,13,24,54,63,0),</v>
      </c>
      <c r="R20" s="7" t="str">
        <f t="shared" si="2"/>
        <v>(1957,28,'1957.07.13',9,13,24,54,63),</v>
      </c>
    </row>
    <row r="21" spans="1:18" x14ac:dyDescent="0.25">
      <c r="A21" s="7" t="s">
        <v>5872</v>
      </c>
      <c r="B21" s="8" t="s">
        <v>116</v>
      </c>
      <c r="C21" s="10">
        <f t="shared" si="1"/>
        <v>21021</v>
      </c>
      <c r="D21" t="s">
        <v>11</v>
      </c>
      <c r="E21" t="s">
        <v>12</v>
      </c>
      <c r="F21" t="s">
        <v>11</v>
      </c>
      <c r="G21" t="s">
        <v>12</v>
      </c>
      <c r="H21" t="s">
        <v>11</v>
      </c>
      <c r="I21" t="s">
        <v>12</v>
      </c>
      <c r="J21" t="s">
        <v>11</v>
      </c>
      <c r="K21" t="s">
        <v>12</v>
      </c>
      <c r="L21" s="12" t="s">
        <v>90</v>
      </c>
      <c r="M21" s="12" t="s">
        <v>152</v>
      </c>
      <c r="N21" s="12" t="s">
        <v>142</v>
      </c>
      <c r="O21" s="12" t="s">
        <v>22</v>
      </c>
      <c r="P21" s="12" t="s">
        <v>239</v>
      </c>
      <c r="Q21" s="7" t="str">
        <f t="shared" si="0"/>
        <v>(1957,29,'1957.07.20',17,25,44,48,73,0),</v>
      </c>
      <c r="R21" s="7" t="str">
        <f t="shared" si="2"/>
        <v>(1957,29,'1957.07.20',17,25,44,48,73),</v>
      </c>
    </row>
    <row r="22" spans="1:18" x14ac:dyDescent="0.25">
      <c r="A22" s="7" t="s">
        <v>5872</v>
      </c>
      <c r="B22" s="8" t="s">
        <v>107</v>
      </c>
      <c r="C22" s="10">
        <f t="shared" si="1"/>
        <v>21028</v>
      </c>
      <c r="D22" t="s">
        <v>11</v>
      </c>
      <c r="E22" t="s">
        <v>12</v>
      </c>
      <c r="F22" t="s">
        <v>11</v>
      </c>
      <c r="G22" t="s">
        <v>12</v>
      </c>
      <c r="H22" t="s">
        <v>11</v>
      </c>
      <c r="I22" t="s">
        <v>12</v>
      </c>
      <c r="J22" t="s">
        <v>11</v>
      </c>
      <c r="K22" t="s">
        <v>12</v>
      </c>
      <c r="L22" s="12" t="s">
        <v>108</v>
      </c>
      <c r="M22" s="12" t="s">
        <v>152</v>
      </c>
      <c r="N22" s="12" t="s">
        <v>34</v>
      </c>
      <c r="O22" s="12" t="s">
        <v>124</v>
      </c>
      <c r="P22" s="12" t="s">
        <v>106</v>
      </c>
      <c r="Q22" s="7" t="str">
        <f t="shared" si="0"/>
        <v>(1957,30,'1957.07.27',1,25,49,62,75,0),</v>
      </c>
      <c r="R22" s="7" t="str">
        <f t="shared" si="2"/>
        <v>(1957,30,'1957.07.27',1,25,49,62,75),</v>
      </c>
    </row>
    <row r="23" spans="1:18" x14ac:dyDescent="0.25">
      <c r="A23" s="7" t="s">
        <v>5872</v>
      </c>
      <c r="B23" s="8" t="s">
        <v>71</v>
      </c>
      <c r="C23" s="10">
        <f t="shared" si="1"/>
        <v>21035</v>
      </c>
      <c r="D23" t="s">
        <v>11</v>
      </c>
      <c r="E23" t="s">
        <v>12</v>
      </c>
      <c r="F23" t="s">
        <v>11</v>
      </c>
      <c r="G23" t="s">
        <v>12</v>
      </c>
      <c r="H23" t="s">
        <v>11</v>
      </c>
      <c r="I23" t="s">
        <v>12</v>
      </c>
      <c r="J23" t="s">
        <v>11</v>
      </c>
      <c r="K23" t="s">
        <v>12</v>
      </c>
      <c r="L23" s="12" t="s">
        <v>168</v>
      </c>
      <c r="M23" s="12" t="s">
        <v>127</v>
      </c>
      <c r="N23" s="12" t="s">
        <v>32</v>
      </c>
      <c r="O23" s="12" t="s">
        <v>36</v>
      </c>
      <c r="P23" s="12" t="s">
        <v>308</v>
      </c>
      <c r="Q23" s="7" t="str">
        <f t="shared" si="0"/>
        <v>(1957,31,'1957.08.03',4,14,22,38,86,0),</v>
      </c>
      <c r="R23" s="7" t="str">
        <f t="shared" si="2"/>
        <v>(1957,31,'1957.08.03',4,14,22,38,86),</v>
      </c>
    </row>
    <row r="24" spans="1:18" x14ac:dyDescent="0.25">
      <c r="A24" s="7" t="s">
        <v>5872</v>
      </c>
      <c r="B24" s="8" t="s">
        <v>80</v>
      </c>
      <c r="C24" s="10">
        <f t="shared" si="1"/>
        <v>21042</v>
      </c>
      <c r="D24" t="s">
        <v>11</v>
      </c>
      <c r="E24" t="s">
        <v>12</v>
      </c>
      <c r="F24" t="s">
        <v>11</v>
      </c>
      <c r="G24" t="s">
        <v>12</v>
      </c>
      <c r="H24" t="s">
        <v>11</v>
      </c>
      <c r="I24" t="s">
        <v>12</v>
      </c>
      <c r="J24" t="s">
        <v>11</v>
      </c>
      <c r="K24" t="s">
        <v>12</v>
      </c>
      <c r="L24" s="12" t="s">
        <v>232</v>
      </c>
      <c r="M24" s="12" t="s">
        <v>90</v>
      </c>
      <c r="N24" s="12" t="s">
        <v>25</v>
      </c>
      <c r="O24" s="12" t="s">
        <v>122</v>
      </c>
      <c r="P24" s="12" t="s">
        <v>73</v>
      </c>
      <c r="Q24" s="7" t="str">
        <f t="shared" si="0"/>
        <v>(1957,32,'1957.08.10',8,17,34,51,76,0),</v>
      </c>
      <c r="R24" s="7" t="str">
        <f t="shared" si="2"/>
        <v>(1957,32,'1957.08.10',8,17,34,51,76),</v>
      </c>
    </row>
    <row r="25" spans="1:18" x14ac:dyDescent="0.25">
      <c r="A25" s="7" t="s">
        <v>5872</v>
      </c>
      <c r="B25" s="8" t="s">
        <v>20</v>
      </c>
      <c r="C25" s="10">
        <f t="shared" si="1"/>
        <v>21049</v>
      </c>
      <c r="D25" t="s">
        <v>11</v>
      </c>
      <c r="E25" t="s">
        <v>12</v>
      </c>
      <c r="F25" t="s">
        <v>11</v>
      </c>
      <c r="G25" t="s">
        <v>12</v>
      </c>
      <c r="H25" t="s">
        <v>11</v>
      </c>
      <c r="I25" t="s">
        <v>12</v>
      </c>
      <c r="J25" t="s">
        <v>11</v>
      </c>
      <c r="K25" t="s">
        <v>12</v>
      </c>
      <c r="L25" s="12" t="s">
        <v>55</v>
      </c>
      <c r="M25" s="12" t="s">
        <v>33</v>
      </c>
      <c r="N25" s="12" t="s">
        <v>135</v>
      </c>
      <c r="O25" s="12" t="s">
        <v>91</v>
      </c>
      <c r="P25" s="12" t="s">
        <v>92</v>
      </c>
      <c r="Q25" s="7" t="str">
        <f t="shared" si="0"/>
        <v>(1957,33,'1957.08.17',19,24,27,61,68,0),</v>
      </c>
      <c r="R25" s="7" t="str">
        <f t="shared" si="2"/>
        <v>(1957,33,'1957.08.17',19,24,27,61,68),</v>
      </c>
    </row>
    <row r="26" spans="1:18" x14ac:dyDescent="0.25">
      <c r="A26" s="7" t="s">
        <v>5872</v>
      </c>
      <c r="B26" s="8" t="s">
        <v>25</v>
      </c>
      <c r="C26" s="10">
        <f t="shared" si="1"/>
        <v>21056</v>
      </c>
      <c r="D26" t="s">
        <v>11</v>
      </c>
      <c r="E26" t="s">
        <v>12</v>
      </c>
      <c r="F26" t="s">
        <v>11</v>
      </c>
      <c r="G26" t="s">
        <v>12</v>
      </c>
      <c r="H26" t="s">
        <v>11</v>
      </c>
      <c r="I26" t="s">
        <v>12</v>
      </c>
      <c r="J26" t="s">
        <v>11</v>
      </c>
      <c r="K26" t="s">
        <v>12</v>
      </c>
      <c r="L26" s="12" t="s">
        <v>46</v>
      </c>
      <c r="M26" s="12" t="s">
        <v>10</v>
      </c>
      <c r="N26" s="12" t="s">
        <v>22</v>
      </c>
      <c r="O26" s="12" t="s">
        <v>35</v>
      </c>
      <c r="P26" s="12" t="s">
        <v>200</v>
      </c>
      <c r="Q26" s="7" t="str">
        <f t="shared" si="0"/>
        <v>(1957,34,'1957.08.24',37,40,48,65,70,0),</v>
      </c>
      <c r="R26" s="7" t="str">
        <f t="shared" si="2"/>
        <v>(1957,34,'1957.08.24',37,40,48,65,70),</v>
      </c>
    </row>
    <row r="27" spans="1:18" x14ac:dyDescent="0.25">
      <c r="A27" s="7" t="s">
        <v>5872</v>
      </c>
      <c r="B27" s="8" t="s">
        <v>64</v>
      </c>
      <c r="C27" s="10">
        <f t="shared" si="1"/>
        <v>21063</v>
      </c>
      <c r="D27" t="s">
        <v>11</v>
      </c>
      <c r="E27" t="s">
        <v>12</v>
      </c>
      <c r="F27" t="s">
        <v>11</v>
      </c>
      <c r="G27" t="s">
        <v>12</v>
      </c>
      <c r="H27" t="s">
        <v>11</v>
      </c>
      <c r="I27" t="s">
        <v>12</v>
      </c>
      <c r="J27" t="s">
        <v>11</v>
      </c>
      <c r="K27" t="s">
        <v>12</v>
      </c>
      <c r="L27" s="12" t="s">
        <v>20</v>
      </c>
      <c r="M27" s="12" t="s">
        <v>192</v>
      </c>
      <c r="N27" s="12" t="s">
        <v>34</v>
      </c>
      <c r="O27" s="12" t="s">
        <v>622</v>
      </c>
      <c r="P27" s="12" t="s">
        <v>208</v>
      </c>
      <c r="Q27" s="7" t="str">
        <f t="shared" si="0"/>
        <v>(1957,35,'1957.08.31',33,46,49,82,88,0),</v>
      </c>
      <c r="R27" s="7" t="str">
        <f t="shared" si="2"/>
        <v>(1957,35,'1957.08.31',33,46,49,82,88),</v>
      </c>
    </row>
    <row r="28" spans="1:18" x14ac:dyDescent="0.25">
      <c r="A28" s="7" t="s">
        <v>5872</v>
      </c>
      <c r="B28" s="8" t="s">
        <v>21</v>
      </c>
      <c r="C28" s="10">
        <f t="shared" si="1"/>
        <v>21070</v>
      </c>
      <c r="D28" t="s">
        <v>11</v>
      </c>
      <c r="E28" t="s">
        <v>12</v>
      </c>
      <c r="F28" t="s">
        <v>11</v>
      </c>
      <c r="G28" t="s">
        <v>12</v>
      </c>
      <c r="H28" t="s">
        <v>11</v>
      </c>
      <c r="I28" t="s">
        <v>12</v>
      </c>
      <c r="J28" t="s">
        <v>11</v>
      </c>
      <c r="K28" t="s">
        <v>12</v>
      </c>
      <c r="L28" s="12" t="s">
        <v>24</v>
      </c>
      <c r="M28" s="12" t="s">
        <v>245</v>
      </c>
      <c r="N28" s="12" t="s">
        <v>73</v>
      </c>
      <c r="O28" s="12" t="s">
        <v>63</v>
      </c>
      <c r="P28" s="12" t="s">
        <v>301</v>
      </c>
      <c r="Q28" s="7" t="str">
        <f t="shared" si="0"/>
        <v>(1957,36,'1957.09.07',39,74,76,78,80,0),</v>
      </c>
      <c r="R28" s="7" t="str">
        <f t="shared" si="2"/>
        <v>(1957,36,'1957.09.07',39,74,76,78,80),</v>
      </c>
    </row>
    <row r="29" spans="1:18" x14ac:dyDescent="0.25">
      <c r="A29" s="7" t="s">
        <v>5872</v>
      </c>
      <c r="B29" s="8" t="s">
        <v>46</v>
      </c>
      <c r="C29" s="10">
        <f t="shared" si="1"/>
        <v>21077</v>
      </c>
      <c r="D29" t="s">
        <v>11</v>
      </c>
      <c r="E29" t="s">
        <v>12</v>
      </c>
      <c r="F29" t="s">
        <v>11</v>
      </c>
      <c r="G29" t="s">
        <v>12</v>
      </c>
      <c r="H29" t="s">
        <v>11</v>
      </c>
      <c r="I29" t="s">
        <v>12</v>
      </c>
      <c r="J29" t="s">
        <v>11</v>
      </c>
      <c r="K29" t="s">
        <v>12</v>
      </c>
      <c r="L29" s="12" t="s">
        <v>33</v>
      </c>
      <c r="M29" s="12" t="s">
        <v>123</v>
      </c>
      <c r="N29" s="12" t="s">
        <v>214</v>
      </c>
      <c r="O29" s="12" t="s">
        <v>143</v>
      </c>
      <c r="P29" s="12" t="s">
        <v>301</v>
      </c>
      <c r="Q29" s="7" t="str">
        <f t="shared" si="0"/>
        <v>(1957,37,'1957.09.14',24,54,64,77,80,0),</v>
      </c>
      <c r="R29" s="7" t="str">
        <f t="shared" si="2"/>
        <v>(1957,37,'1957.09.14',24,54,64,77,80),</v>
      </c>
    </row>
    <row r="30" spans="1:18" x14ac:dyDescent="0.25">
      <c r="A30" s="7" t="s">
        <v>5872</v>
      </c>
      <c r="B30" s="8" t="s">
        <v>36</v>
      </c>
      <c r="C30" s="10">
        <f t="shared" si="1"/>
        <v>21084</v>
      </c>
      <c r="D30" t="s">
        <v>11</v>
      </c>
      <c r="E30" t="s">
        <v>12</v>
      </c>
      <c r="F30" t="s">
        <v>11</v>
      </c>
      <c r="G30" t="s">
        <v>12</v>
      </c>
      <c r="H30" t="s">
        <v>11</v>
      </c>
      <c r="I30" t="s">
        <v>12</v>
      </c>
      <c r="J30" t="s">
        <v>11</v>
      </c>
      <c r="K30" t="s">
        <v>12</v>
      </c>
      <c r="L30" s="12" t="s">
        <v>83</v>
      </c>
      <c r="M30" s="12" t="s">
        <v>135</v>
      </c>
      <c r="N30" s="12" t="s">
        <v>199</v>
      </c>
      <c r="O30" s="12" t="s">
        <v>72</v>
      </c>
      <c r="P30" s="12" t="s">
        <v>56</v>
      </c>
      <c r="Q30" s="7" t="str">
        <f t="shared" si="0"/>
        <v>(1957,38,'1957.09.21',11,27,53,67,71,0),</v>
      </c>
      <c r="R30" s="7" t="str">
        <f t="shared" si="2"/>
        <v>(1957,38,'1957.09.21',11,27,53,67,71),</v>
      </c>
    </row>
    <row r="31" spans="1:18" x14ac:dyDescent="0.25">
      <c r="A31" s="7" t="s">
        <v>5872</v>
      </c>
      <c r="B31" s="8" t="s">
        <v>24</v>
      </c>
      <c r="C31" s="10">
        <f t="shared" si="1"/>
        <v>21091</v>
      </c>
      <c r="D31" t="s">
        <v>11</v>
      </c>
      <c r="E31" t="s">
        <v>12</v>
      </c>
      <c r="F31" t="s">
        <v>11</v>
      </c>
      <c r="G31" t="s">
        <v>12</v>
      </c>
      <c r="H31" t="s">
        <v>11</v>
      </c>
      <c r="I31" t="s">
        <v>12</v>
      </c>
      <c r="J31" t="s">
        <v>11</v>
      </c>
      <c r="K31" t="s">
        <v>12</v>
      </c>
      <c r="L31" s="12" t="s">
        <v>89</v>
      </c>
      <c r="M31" s="12" t="s">
        <v>232</v>
      </c>
      <c r="N31" s="12" t="s">
        <v>192</v>
      </c>
      <c r="O31" s="12" t="s">
        <v>248</v>
      </c>
      <c r="P31" s="12" t="s">
        <v>239</v>
      </c>
      <c r="Q31" s="7" t="str">
        <f t="shared" si="0"/>
        <v>(1957,39,'1957.09.28',5,8,46,63,73,0),</v>
      </c>
      <c r="R31" s="7" t="str">
        <f t="shared" si="2"/>
        <v>(1957,39,'1957.09.28',5,8,46,63,73),</v>
      </c>
    </row>
    <row r="32" spans="1:18" x14ac:dyDescent="0.25">
      <c r="A32" s="7" t="s">
        <v>5872</v>
      </c>
      <c r="B32" s="8" t="s">
        <v>10</v>
      </c>
      <c r="C32" s="10">
        <f t="shared" si="1"/>
        <v>21098</v>
      </c>
      <c r="D32" t="s">
        <v>11</v>
      </c>
      <c r="E32" t="s">
        <v>12</v>
      </c>
      <c r="F32" t="s">
        <v>11</v>
      </c>
      <c r="G32" t="s">
        <v>12</v>
      </c>
      <c r="H32" t="s">
        <v>11</v>
      </c>
      <c r="I32" t="s">
        <v>12</v>
      </c>
      <c r="J32" t="s">
        <v>11</v>
      </c>
      <c r="K32" t="s">
        <v>12</v>
      </c>
      <c r="L32" s="12" t="s">
        <v>53</v>
      </c>
      <c r="M32" s="12" t="s">
        <v>65</v>
      </c>
      <c r="N32" s="12" t="s">
        <v>150</v>
      </c>
      <c r="O32" s="12" t="s">
        <v>47</v>
      </c>
      <c r="P32" s="12" t="s">
        <v>56</v>
      </c>
      <c r="Q32" s="7" t="str">
        <f t="shared" si="0"/>
        <v>(1957,40,'1957.10.05',7,13,57,69,71,0),</v>
      </c>
      <c r="R32" s="7" t="str">
        <f t="shared" si="2"/>
        <v>(1957,40,'1957.10.05',7,13,57,69,71),</v>
      </c>
    </row>
    <row r="33" spans="1:18" x14ac:dyDescent="0.25">
      <c r="A33" s="7" t="s">
        <v>5872</v>
      </c>
      <c r="B33" s="8" t="s">
        <v>13</v>
      </c>
      <c r="C33" s="10">
        <f t="shared" si="1"/>
        <v>21105</v>
      </c>
      <c r="D33" t="s">
        <v>11</v>
      </c>
      <c r="E33" t="s">
        <v>12</v>
      </c>
      <c r="F33" t="s">
        <v>11</v>
      </c>
      <c r="G33" t="s">
        <v>12</v>
      </c>
      <c r="H33" t="s">
        <v>11</v>
      </c>
      <c r="I33" t="s">
        <v>12</v>
      </c>
      <c r="J33" t="s">
        <v>11</v>
      </c>
      <c r="K33" t="s">
        <v>12</v>
      </c>
      <c r="L33" s="12" t="s">
        <v>108</v>
      </c>
      <c r="M33" s="12" t="s">
        <v>105</v>
      </c>
      <c r="N33" s="12" t="s">
        <v>233</v>
      </c>
      <c r="O33" s="12" t="s">
        <v>239</v>
      </c>
      <c r="P33" s="12" t="s">
        <v>143</v>
      </c>
      <c r="Q33" s="7" t="str">
        <f t="shared" si="0"/>
        <v>(1957,41,'1957.10.12',1,50,66,73,77,0),</v>
      </c>
      <c r="R33" s="7" t="str">
        <f t="shared" si="2"/>
        <v>(1957,41,'1957.10.12',1,50,66,73,77),</v>
      </c>
    </row>
    <row r="34" spans="1:18" x14ac:dyDescent="0.25">
      <c r="A34" s="7" t="s">
        <v>5872</v>
      </c>
      <c r="B34" s="8" t="s">
        <v>98</v>
      </c>
      <c r="C34" s="10">
        <f t="shared" si="1"/>
        <v>21112</v>
      </c>
      <c r="D34" t="s">
        <v>11</v>
      </c>
      <c r="E34" t="s">
        <v>12</v>
      </c>
      <c r="F34" t="s">
        <v>11</v>
      </c>
      <c r="G34" t="s">
        <v>12</v>
      </c>
      <c r="H34" t="s">
        <v>11</v>
      </c>
      <c r="I34" t="s">
        <v>12</v>
      </c>
      <c r="J34" t="s">
        <v>11</v>
      </c>
      <c r="K34" t="s">
        <v>12</v>
      </c>
      <c r="L34" s="12" t="s">
        <v>207</v>
      </c>
      <c r="M34" s="12" t="s">
        <v>232</v>
      </c>
      <c r="N34" s="12" t="s">
        <v>43</v>
      </c>
      <c r="O34" s="12" t="s">
        <v>25</v>
      </c>
      <c r="P34" s="12" t="s">
        <v>133</v>
      </c>
      <c r="Q34" s="7" t="str">
        <f t="shared" si="0"/>
        <v>(1957,42,'1957.10.19',2,8,16,34,45,0),</v>
      </c>
      <c r="R34" s="7" t="str">
        <f t="shared" si="2"/>
        <v>(1957,42,'1957.10.19',2,8,16,34,45),</v>
      </c>
    </row>
    <row r="35" spans="1:18" x14ac:dyDescent="0.25">
      <c r="A35" s="7" t="s">
        <v>5872</v>
      </c>
      <c r="B35" s="8" t="s">
        <v>45</v>
      </c>
      <c r="C35" s="10">
        <f t="shared" si="1"/>
        <v>21119</v>
      </c>
      <c r="D35" t="s">
        <v>11</v>
      </c>
      <c r="E35" t="s">
        <v>12</v>
      </c>
      <c r="F35" t="s">
        <v>11</v>
      </c>
      <c r="G35" t="s">
        <v>12</v>
      </c>
      <c r="H35" t="s">
        <v>11</v>
      </c>
      <c r="I35" t="s">
        <v>12</v>
      </c>
      <c r="J35" t="s">
        <v>11</v>
      </c>
      <c r="K35" t="s">
        <v>12</v>
      </c>
      <c r="L35" s="12" t="s">
        <v>90</v>
      </c>
      <c r="M35" s="12" t="s">
        <v>10</v>
      </c>
      <c r="N35" s="12" t="s">
        <v>201</v>
      </c>
      <c r="O35" s="12" t="s">
        <v>73</v>
      </c>
      <c r="P35" s="12" t="s">
        <v>125</v>
      </c>
      <c r="Q35" s="7" t="str">
        <f t="shared" si="0"/>
        <v>(1957,43,'1957.10.26',17,40,72,76,83,0),</v>
      </c>
      <c r="R35" s="7" t="str">
        <f t="shared" si="2"/>
        <v>(1957,43,'1957.10.26',17,40,72,76,83),</v>
      </c>
    </row>
    <row r="36" spans="1:18" x14ac:dyDescent="0.25">
      <c r="A36" s="7" t="s">
        <v>5872</v>
      </c>
      <c r="B36" s="8" t="s">
        <v>142</v>
      </c>
      <c r="C36" s="10">
        <f t="shared" si="1"/>
        <v>21126</v>
      </c>
      <c r="D36" t="s">
        <v>11</v>
      </c>
      <c r="E36" t="s">
        <v>12</v>
      </c>
      <c r="F36" t="s">
        <v>11</v>
      </c>
      <c r="G36" t="s">
        <v>12</v>
      </c>
      <c r="H36" t="s">
        <v>11</v>
      </c>
      <c r="I36" t="s">
        <v>12</v>
      </c>
      <c r="J36" t="s">
        <v>11</v>
      </c>
      <c r="K36" t="s">
        <v>12</v>
      </c>
      <c r="L36" s="12" t="s">
        <v>80</v>
      </c>
      <c r="M36" s="12" t="s">
        <v>21</v>
      </c>
      <c r="N36" s="12" t="s">
        <v>151</v>
      </c>
      <c r="O36" s="12" t="s">
        <v>269</v>
      </c>
      <c r="P36" s="12" t="s">
        <v>186</v>
      </c>
      <c r="Q36" s="7" t="str">
        <f t="shared" si="0"/>
        <v>(1957,44,'1957.11.02',32,36,79,87,90,0),</v>
      </c>
      <c r="R36" s="7" t="str">
        <f t="shared" si="2"/>
        <v>(1957,44,'1957.11.02',32,36,79,87,90),</v>
      </c>
    </row>
    <row r="37" spans="1:18" x14ac:dyDescent="0.25">
      <c r="A37" s="7" t="s">
        <v>5872</v>
      </c>
      <c r="B37" s="8" t="s">
        <v>133</v>
      </c>
      <c r="C37" s="10">
        <f t="shared" si="1"/>
        <v>21133</v>
      </c>
      <c r="D37" t="s">
        <v>11</v>
      </c>
      <c r="E37" t="s">
        <v>12</v>
      </c>
      <c r="F37" t="s">
        <v>11</v>
      </c>
      <c r="G37" t="s">
        <v>12</v>
      </c>
      <c r="H37" t="s">
        <v>11</v>
      </c>
      <c r="I37" t="s">
        <v>12</v>
      </c>
      <c r="J37" t="s">
        <v>11</v>
      </c>
      <c r="K37" t="s">
        <v>12</v>
      </c>
      <c r="L37" s="12" t="s">
        <v>108</v>
      </c>
      <c r="M37" s="12" t="s">
        <v>168</v>
      </c>
      <c r="N37" s="12" t="s">
        <v>74</v>
      </c>
      <c r="O37" s="12" t="s">
        <v>192</v>
      </c>
      <c r="P37" s="12" t="s">
        <v>56</v>
      </c>
      <c r="Q37" s="7" t="str">
        <f t="shared" si="0"/>
        <v>(1957,45,'1957.11.09',1,4,26,46,71,0),</v>
      </c>
      <c r="R37" s="7" t="str">
        <f t="shared" si="2"/>
        <v>(1957,45,'1957.11.09',1,4,26,46,71),</v>
      </c>
    </row>
    <row r="38" spans="1:18" x14ac:dyDescent="0.25">
      <c r="A38" s="7" t="s">
        <v>5872</v>
      </c>
      <c r="B38" s="8" t="s">
        <v>192</v>
      </c>
      <c r="C38" s="10">
        <f t="shared" si="1"/>
        <v>21140</v>
      </c>
      <c r="D38" t="s">
        <v>11</v>
      </c>
      <c r="E38" t="s">
        <v>12</v>
      </c>
      <c r="F38" t="s">
        <v>11</v>
      </c>
      <c r="G38" t="s">
        <v>12</v>
      </c>
      <c r="H38" t="s">
        <v>11</v>
      </c>
      <c r="I38" t="s">
        <v>12</v>
      </c>
      <c r="J38" t="s">
        <v>11</v>
      </c>
      <c r="K38" t="s">
        <v>12</v>
      </c>
      <c r="L38" s="12" t="s">
        <v>127</v>
      </c>
      <c r="M38" s="12" t="s">
        <v>55</v>
      </c>
      <c r="N38" s="12" t="s">
        <v>135</v>
      </c>
      <c r="O38" s="12" t="s">
        <v>46</v>
      </c>
      <c r="P38" s="12" t="s">
        <v>150</v>
      </c>
      <c r="Q38" s="7" t="str">
        <f t="shared" si="0"/>
        <v>(1957,46,'1957.11.16',14,19,27,37,57,0),</v>
      </c>
      <c r="R38" s="7" t="str">
        <f t="shared" si="2"/>
        <v>(1957,46,'1957.11.16',14,19,27,37,57),</v>
      </c>
    </row>
    <row r="39" spans="1:18" x14ac:dyDescent="0.25">
      <c r="A39" s="7" t="s">
        <v>5872</v>
      </c>
      <c r="B39" s="8" t="s">
        <v>81</v>
      </c>
      <c r="C39" s="10">
        <f t="shared" si="1"/>
        <v>21147</v>
      </c>
      <c r="D39" t="s">
        <v>11</v>
      </c>
      <c r="E39" t="s">
        <v>12</v>
      </c>
      <c r="F39" t="s">
        <v>11</v>
      </c>
      <c r="G39" t="s">
        <v>12</v>
      </c>
      <c r="H39" t="s">
        <v>11</v>
      </c>
      <c r="I39" t="s">
        <v>12</v>
      </c>
      <c r="J39" t="s">
        <v>11</v>
      </c>
      <c r="K39" t="s">
        <v>12</v>
      </c>
      <c r="L39" s="12" t="s">
        <v>83</v>
      </c>
      <c r="M39" s="12" t="s">
        <v>54</v>
      </c>
      <c r="N39" s="12" t="s">
        <v>44</v>
      </c>
      <c r="O39" s="12" t="s">
        <v>23</v>
      </c>
      <c r="P39" s="12" t="s">
        <v>186</v>
      </c>
      <c r="Q39" s="7" t="str">
        <f t="shared" si="0"/>
        <v>(1957,47,'1957.11.23',11,15,21,60,90,0),</v>
      </c>
      <c r="R39" s="7" t="str">
        <f t="shared" si="2"/>
        <v>(1957,47,'1957.11.23',11,15,21,60,90),</v>
      </c>
    </row>
    <row r="40" spans="1:18" x14ac:dyDescent="0.25">
      <c r="A40" s="7" t="s">
        <v>5872</v>
      </c>
      <c r="B40" s="8" t="s">
        <v>22</v>
      </c>
      <c r="C40" s="10">
        <f t="shared" si="1"/>
        <v>21154</v>
      </c>
      <c r="D40" t="s">
        <v>11</v>
      </c>
      <c r="E40" t="s">
        <v>12</v>
      </c>
      <c r="F40" t="s">
        <v>11</v>
      </c>
      <c r="G40" t="s">
        <v>12</v>
      </c>
      <c r="H40" t="s">
        <v>11</v>
      </c>
      <c r="I40" t="s">
        <v>12</v>
      </c>
      <c r="J40" t="s">
        <v>11</v>
      </c>
      <c r="K40" t="s">
        <v>12</v>
      </c>
      <c r="L40" s="12" t="s">
        <v>232</v>
      </c>
      <c r="M40" s="12" t="s">
        <v>72</v>
      </c>
      <c r="N40" s="12" t="s">
        <v>245</v>
      </c>
      <c r="O40" s="12" t="s">
        <v>468</v>
      </c>
      <c r="P40" s="12" t="s">
        <v>308</v>
      </c>
      <c r="Q40" s="7" t="str">
        <f t="shared" si="0"/>
        <v>(1957,48,'1957.11.30',8,67,74,85,86,0),</v>
      </c>
      <c r="R40" s="7" t="str">
        <f t="shared" si="2"/>
        <v>(1957,48,'1957.11.30',8,67,74,85,86),</v>
      </c>
    </row>
    <row r="41" spans="1:18" x14ac:dyDescent="0.25">
      <c r="A41" s="7" t="s">
        <v>5872</v>
      </c>
      <c r="B41" s="8" t="s">
        <v>34</v>
      </c>
      <c r="C41" s="10">
        <f t="shared" si="1"/>
        <v>21161</v>
      </c>
      <c r="D41" t="s">
        <v>11</v>
      </c>
      <c r="E41" t="s">
        <v>12</v>
      </c>
      <c r="F41" t="s">
        <v>11</v>
      </c>
      <c r="G41" t="s">
        <v>12</v>
      </c>
      <c r="H41" t="s">
        <v>11</v>
      </c>
      <c r="I41" t="s">
        <v>12</v>
      </c>
      <c r="J41" t="s">
        <v>11</v>
      </c>
      <c r="K41" t="s">
        <v>12</v>
      </c>
      <c r="L41" s="12" t="s">
        <v>42</v>
      </c>
      <c r="M41" s="12" t="s">
        <v>83</v>
      </c>
      <c r="N41" s="12" t="s">
        <v>135</v>
      </c>
      <c r="O41" s="12" t="s">
        <v>36</v>
      </c>
      <c r="P41" s="12" t="s">
        <v>143</v>
      </c>
      <c r="Q41" s="7" t="str">
        <f t="shared" si="0"/>
        <v>(1957,49,'1957.12.07',3,11,27,38,77,0),</v>
      </c>
      <c r="R41" s="7" t="str">
        <f t="shared" si="2"/>
        <v>(1957,49,'1957.12.07',3,11,27,38,77),</v>
      </c>
    </row>
    <row r="42" spans="1:18" x14ac:dyDescent="0.25">
      <c r="A42" s="7" t="s">
        <v>5872</v>
      </c>
      <c r="B42" s="8" t="s">
        <v>105</v>
      </c>
      <c r="C42" s="10">
        <f t="shared" si="1"/>
        <v>21168</v>
      </c>
      <c r="D42" t="s">
        <v>11</v>
      </c>
      <c r="E42" t="s">
        <v>12</v>
      </c>
      <c r="F42" t="s">
        <v>11</v>
      </c>
      <c r="G42" t="s">
        <v>12</v>
      </c>
      <c r="H42" t="s">
        <v>11</v>
      </c>
      <c r="I42" t="s">
        <v>12</v>
      </c>
      <c r="J42" t="s">
        <v>11</v>
      </c>
      <c r="K42" t="s">
        <v>12</v>
      </c>
      <c r="L42" s="12" t="s">
        <v>53</v>
      </c>
      <c r="M42" s="12" t="s">
        <v>74</v>
      </c>
      <c r="N42" s="12" t="s">
        <v>82</v>
      </c>
      <c r="O42" s="12" t="s">
        <v>239</v>
      </c>
      <c r="P42" s="12" t="s">
        <v>301</v>
      </c>
      <c r="Q42" s="7" t="str">
        <f t="shared" si="0"/>
        <v>(1957,50,'1957.12.14',7,26,59,73,80,0),</v>
      </c>
      <c r="R42" s="7" t="str">
        <f t="shared" si="2"/>
        <v>(1957,50,'1957.12.14',7,26,59,73,80),</v>
      </c>
    </row>
    <row r="43" spans="1:18" x14ac:dyDescent="0.25">
      <c r="A43" s="7" t="s">
        <v>5872</v>
      </c>
      <c r="B43" s="8" t="s">
        <v>122</v>
      </c>
      <c r="C43" s="10">
        <f t="shared" si="1"/>
        <v>21175</v>
      </c>
      <c r="D43" t="s">
        <v>11</v>
      </c>
      <c r="E43" t="s">
        <v>12</v>
      </c>
      <c r="F43" t="s">
        <v>11</v>
      </c>
      <c r="G43" t="s">
        <v>12</v>
      </c>
      <c r="H43" t="s">
        <v>11</v>
      </c>
      <c r="I43" t="s">
        <v>12</v>
      </c>
      <c r="J43" t="s">
        <v>11</v>
      </c>
      <c r="K43" t="s">
        <v>12</v>
      </c>
      <c r="L43" s="12" t="s">
        <v>198</v>
      </c>
      <c r="M43" s="12" t="s">
        <v>55</v>
      </c>
      <c r="N43" s="12" t="s">
        <v>33</v>
      </c>
      <c r="O43" s="12" t="s">
        <v>80</v>
      </c>
      <c r="P43" s="12" t="s">
        <v>63</v>
      </c>
      <c r="Q43" s="7" t="str">
        <f t="shared" si="0"/>
        <v>(1957,51,'1957.12.21',9,19,24,32,78,0),</v>
      </c>
      <c r="R43" s="7" t="str">
        <f t="shared" si="2"/>
        <v>(1957,51,'1957.12.21',9,19,24,32,78),</v>
      </c>
    </row>
    <row r="44" spans="1:18" x14ac:dyDescent="0.25">
      <c r="A44" s="7" t="s">
        <v>5872</v>
      </c>
      <c r="B44" s="8" t="s">
        <v>99</v>
      </c>
      <c r="C44" s="10">
        <f t="shared" si="1"/>
        <v>21182</v>
      </c>
      <c r="D44" t="s">
        <v>11</v>
      </c>
      <c r="E44" t="s">
        <v>12</v>
      </c>
      <c r="F44" t="s">
        <v>11</v>
      </c>
      <c r="G44" t="s">
        <v>12</v>
      </c>
      <c r="H44" t="s">
        <v>11</v>
      </c>
      <c r="I44" t="s">
        <v>12</v>
      </c>
      <c r="J44" t="s">
        <v>11</v>
      </c>
      <c r="K44" t="s">
        <v>12</v>
      </c>
      <c r="L44" s="12" t="s">
        <v>270</v>
      </c>
      <c r="M44" s="12" t="s">
        <v>198</v>
      </c>
      <c r="N44" s="12" t="s">
        <v>47</v>
      </c>
      <c r="O44" s="12" t="s">
        <v>239</v>
      </c>
      <c r="P44" s="12" t="s">
        <v>215</v>
      </c>
      <c r="Q44" s="7" t="str">
        <f t="shared" si="0"/>
        <v>(1957,52,'1957.12.28',6,9,69,73,81,0),</v>
      </c>
      <c r="R44" s="7" t="str">
        <f t="shared" si="2"/>
        <v>(1957,52,'1957.12.28',6,9,69,73,81),</v>
      </c>
    </row>
    <row r="45" spans="1:18" x14ac:dyDescent="0.25">
      <c r="A45" s="7" t="s">
        <v>601</v>
      </c>
      <c r="B45" s="8" t="s">
        <v>108</v>
      </c>
      <c r="C45" s="10">
        <f t="shared" si="1"/>
        <v>21189</v>
      </c>
      <c r="D45" t="s">
        <v>11</v>
      </c>
      <c r="E45" t="s">
        <v>12</v>
      </c>
      <c r="F45" t="s">
        <v>11</v>
      </c>
      <c r="G45" t="s">
        <v>12</v>
      </c>
      <c r="H45" t="s">
        <v>11</v>
      </c>
      <c r="I45" t="s">
        <v>12</v>
      </c>
      <c r="J45" t="s">
        <v>11</v>
      </c>
      <c r="K45" t="s">
        <v>12</v>
      </c>
      <c r="L45" s="12" t="s">
        <v>108</v>
      </c>
      <c r="M45" s="12" t="s">
        <v>62</v>
      </c>
      <c r="N45" s="12" t="s">
        <v>45</v>
      </c>
      <c r="O45" s="12" t="s">
        <v>123</v>
      </c>
      <c r="P45" s="12" t="s">
        <v>106</v>
      </c>
      <c r="Q45" s="7" t="str">
        <f t="shared" si="0"/>
        <v>(1958,1,'1958.01.04',1,10,43,54,75,0),</v>
      </c>
      <c r="R45" s="7" t="str">
        <f t="shared" si="2"/>
        <v>(1958,1,'1958.01.04',1,10,43,54,75),</v>
      </c>
    </row>
    <row r="46" spans="1:18" x14ac:dyDescent="0.25">
      <c r="A46" s="7" t="s">
        <v>601</v>
      </c>
      <c r="B46" s="8" t="s">
        <v>207</v>
      </c>
      <c r="C46" s="10">
        <f t="shared" si="1"/>
        <v>21196</v>
      </c>
      <c r="D46" t="s">
        <v>11</v>
      </c>
      <c r="E46" t="s">
        <v>12</v>
      </c>
      <c r="F46" t="s">
        <v>11</v>
      </c>
      <c r="G46" t="s">
        <v>12</v>
      </c>
      <c r="H46" t="s">
        <v>11</v>
      </c>
      <c r="I46" t="s">
        <v>12</v>
      </c>
      <c r="J46" t="s">
        <v>11</v>
      </c>
      <c r="K46" t="s">
        <v>12</v>
      </c>
      <c r="L46" s="12" t="s">
        <v>32</v>
      </c>
      <c r="M46" s="12" t="s">
        <v>126</v>
      </c>
      <c r="N46" s="12" t="s">
        <v>21</v>
      </c>
      <c r="O46" s="12" t="s">
        <v>91</v>
      </c>
      <c r="P46" s="12" t="s">
        <v>215</v>
      </c>
      <c r="Q46" s="7" t="str">
        <f t="shared" si="0"/>
        <v>(1958,2,'1958.01.11',22,28,36,61,81,0),</v>
      </c>
      <c r="R46" s="7" t="str">
        <f t="shared" si="2"/>
        <v>(1958,2,'1958.01.11',22,28,36,61,81),</v>
      </c>
    </row>
    <row r="47" spans="1:18" x14ac:dyDescent="0.25">
      <c r="A47" s="7" t="s">
        <v>601</v>
      </c>
      <c r="B47" s="8" t="s">
        <v>42</v>
      </c>
      <c r="C47" s="10">
        <f t="shared" si="1"/>
        <v>21203</v>
      </c>
      <c r="D47" t="s">
        <v>11</v>
      </c>
      <c r="E47" t="s">
        <v>12</v>
      </c>
      <c r="F47" t="s">
        <v>11</v>
      </c>
      <c r="G47" t="s">
        <v>12</v>
      </c>
      <c r="H47" t="s">
        <v>11</v>
      </c>
      <c r="I47" t="s">
        <v>12</v>
      </c>
      <c r="J47" t="s">
        <v>11</v>
      </c>
      <c r="K47" t="s">
        <v>12</v>
      </c>
      <c r="L47" s="12" t="s">
        <v>65</v>
      </c>
      <c r="M47" s="12" t="s">
        <v>13</v>
      </c>
      <c r="N47" s="12" t="s">
        <v>45</v>
      </c>
      <c r="O47" s="12" t="s">
        <v>122</v>
      </c>
      <c r="P47" s="12" t="s">
        <v>245</v>
      </c>
      <c r="Q47" s="7" t="str">
        <f t="shared" si="0"/>
        <v>(1958,3,'1958.01.18',13,41,43,51,74,0),</v>
      </c>
      <c r="R47" s="7" t="str">
        <f t="shared" si="2"/>
        <v>(1958,3,'1958.01.18',13,41,43,51,74),</v>
      </c>
    </row>
    <row r="48" spans="1:18" x14ac:dyDescent="0.25">
      <c r="A48" s="7" t="s">
        <v>601</v>
      </c>
      <c r="B48" s="8" t="s">
        <v>168</v>
      </c>
      <c r="C48" s="10">
        <f t="shared" si="1"/>
        <v>21210</v>
      </c>
      <c r="D48" t="s">
        <v>11</v>
      </c>
      <c r="E48" t="s">
        <v>12</v>
      </c>
      <c r="F48" t="s">
        <v>11</v>
      </c>
      <c r="G48" t="s">
        <v>12</v>
      </c>
      <c r="H48" t="s">
        <v>11</v>
      </c>
      <c r="I48" t="s">
        <v>12</v>
      </c>
      <c r="J48" t="s">
        <v>11</v>
      </c>
      <c r="K48" t="s">
        <v>12</v>
      </c>
      <c r="L48" s="12" t="s">
        <v>19</v>
      </c>
      <c r="M48" s="12" t="s">
        <v>33</v>
      </c>
      <c r="N48" s="12" t="s">
        <v>192</v>
      </c>
      <c r="O48" s="12" t="s">
        <v>248</v>
      </c>
      <c r="P48" s="12" t="s">
        <v>468</v>
      </c>
      <c r="Q48" s="7" t="str">
        <f t="shared" si="0"/>
        <v>(1958,4,'1958.01.25',18,24,46,63,85,0),</v>
      </c>
      <c r="R48" s="7" t="str">
        <f t="shared" si="2"/>
        <v>(1958,4,'1958.01.25',18,24,46,63,85),</v>
      </c>
    </row>
    <row r="49" spans="1:18" x14ac:dyDescent="0.25">
      <c r="A49" s="7" t="s">
        <v>601</v>
      </c>
      <c r="B49" s="8" t="s">
        <v>89</v>
      </c>
      <c r="C49" s="10">
        <f t="shared" si="1"/>
        <v>21217</v>
      </c>
      <c r="D49" t="s">
        <v>11</v>
      </c>
      <c r="E49" t="s">
        <v>12</v>
      </c>
      <c r="F49" t="s">
        <v>11</v>
      </c>
      <c r="G49" t="s">
        <v>12</v>
      </c>
      <c r="H49" t="s">
        <v>11</v>
      </c>
      <c r="I49" t="s">
        <v>12</v>
      </c>
      <c r="J49" t="s">
        <v>11</v>
      </c>
      <c r="K49" t="s">
        <v>12</v>
      </c>
      <c r="L49" s="12" t="s">
        <v>65</v>
      </c>
      <c r="M49" s="12" t="s">
        <v>13</v>
      </c>
      <c r="N49" s="12" t="s">
        <v>81</v>
      </c>
      <c r="O49" s="12" t="s">
        <v>301</v>
      </c>
      <c r="P49" s="12" t="s">
        <v>269</v>
      </c>
      <c r="Q49" s="7" t="str">
        <f t="shared" si="0"/>
        <v>(1958,5,'1958.02.01',13,41,47,80,87,0),</v>
      </c>
      <c r="R49" s="7" t="str">
        <f t="shared" si="2"/>
        <v>(1958,5,'1958.02.01',13,41,47,80,87),</v>
      </c>
    </row>
    <row r="50" spans="1:18" x14ac:dyDescent="0.25">
      <c r="A50" s="7" t="s">
        <v>601</v>
      </c>
      <c r="B50" s="8" t="s">
        <v>270</v>
      </c>
      <c r="C50" s="10">
        <f t="shared" si="1"/>
        <v>21224</v>
      </c>
      <c r="D50" t="s">
        <v>11</v>
      </c>
      <c r="E50" t="s">
        <v>12</v>
      </c>
      <c r="F50" t="s">
        <v>11</v>
      </c>
      <c r="G50" t="s">
        <v>12</v>
      </c>
      <c r="H50" t="s">
        <v>11</v>
      </c>
      <c r="I50" t="s">
        <v>12</v>
      </c>
      <c r="J50" t="s">
        <v>11</v>
      </c>
      <c r="K50" t="s">
        <v>12</v>
      </c>
      <c r="L50" s="12" t="s">
        <v>122</v>
      </c>
      <c r="M50" s="12" t="s">
        <v>214</v>
      </c>
      <c r="N50" s="12" t="s">
        <v>72</v>
      </c>
      <c r="O50" s="12" t="s">
        <v>239</v>
      </c>
      <c r="P50" s="12" t="s">
        <v>269</v>
      </c>
      <c r="Q50" s="7" t="str">
        <f t="shared" si="0"/>
        <v>(1958,6,'1958.02.08',51,64,67,73,87,0),</v>
      </c>
      <c r="R50" s="7" t="str">
        <f t="shared" si="2"/>
        <v>(1958,6,'1958.02.08',51,64,67,73,87),</v>
      </c>
    </row>
    <row r="51" spans="1:18" x14ac:dyDescent="0.25">
      <c r="A51" s="7" t="s">
        <v>601</v>
      </c>
      <c r="B51" s="8" t="s">
        <v>53</v>
      </c>
      <c r="C51" s="10">
        <f t="shared" si="1"/>
        <v>21231</v>
      </c>
      <c r="D51" t="s">
        <v>11</v>
      </c>
      <c r="E51" t="s">
        <v>12</v>
      </c>
      <c r="F51" t="s">
        <v>11</v>
      </c>
      <c r="G51" t="s">
        <v>12</v>
      </c>
      <c r="H51" t="s">
        <v>11</v>
      </c>
      <c r="I51" t="s">
        <v>12</v>
      </c>
      <c r="J51" t="s">
        <v>11</v>
      </c>
      <c r="K51" t="s">
        <v>12</v>
      </c>
      <c r="L51" s="12" t="s">
        <v>108</v>
      </c>
      <c r="M51" s="12" t="s">
        <v>53</v>
      </c>
      <c r="N51" s="12" t="s">
        <v>43</v>
      </c>
      <c r="O51" s="12" t="s">
        <v>13</v>
      </c>
      <c r="P51" s="12" t="s">
        <v>23</v>
      </c>
      <c r="Q51" s="7" t="str">
        <f t="shared" si="0"/>
        <v>(1958,7,'1958.02.15',1,7,16,41,60,0),</v>
      </c>
      <c r="R51" s="7" t="str">
        <f t="shared" si="2"/>
        <v>(1958,7,'1958.02.15',1,7,16,41,60),</v>
      </c>
    </row>
    <row r="52" spans="1:18" x14ac:dyDescent="0.25">
      <c r="A52" s="7" t="s">
        <v>601</v>
      </c>
      <c r="B52" s="8" t="s">
        <v>232</v>
      </c>
      <c r="C52" s="10">
        <f t="shared" si="1"/>
        <v>21238</v>
      </c>
      <c r="D52" t="s">
        <v>11</v>
      </c>
      <c r="E52" t="s">
        <v>12</v>
      </c>
      <c r="F52" t="s">
        <v>11</v>
      </c>
      <c r="G52" t="s">
        <v>12</v>
      </c>
      <c r="H52" t="s">
        <v>11</v>
      </c>
      <c r="I52" t="s">
        <v>12</v>
      </c>
      <c r="J52" t="s">
        <v>11</v>
      </c>
      <c r="K52" t="s">
        <v>12</v>
      </c>
      <c r="L52" s="12" t="s">
        <v>43</v>
      </c>
      <c r="M52" s="12" t="s">
        <v>19</v>
      </c>
      <c r="N52" s="12" t="s">
        <v>21</v>
      </c>
      <c r="O52" s="12" t="s">
        <v>63</v>
      </c>
      <c r="P52" s="12" t="s">
        <v>622</v>
      </c>
      <c r="Q52" s="7" t="str">
        <f t="shared" si="0"/>
        <v>(1958,8,'1958.02.22',16,18,36,78,82,0),</v>
      </c>
      <c r="R52" s="7" t="str">
        <f t="shared" si="2"/>
        <v>(1958,8,'1958.02.22',16,18,36,78,82),</v>
      </c>
    </row>
    <row r="53" spans="1:18" x14ac:dyDescent="0.25">
      <c r="A53" s="7" t="s">
        <v>601</v>
      </c>
      <c r="B53" s="8" t="s">
        <v>198</v>
      </c>
      <c r="C53" s="10">
        <f t="shared" si="1"/>
        <v>21245</v>
      </c>
      <c r="D53" t="s">
        <v>11</v>
      </c>
      <c r="E53" t="s">
        <v>12</v>
      </c>
      <c r="F53" t="s">
        <v>11</v>
      </c>
      <c r="G53" t="s">
        <v>12</v>
      </c>
      <c r="H53" t="s">
        <v>11</v>
      </c>
      <c r="I53" t="s">
        <v>12</v>
      </c>
      <c r="J53" t="s">
        <v>11</v>
      </c>
      <c r="K53" t="s">
        <v>12</v>
      </c>
      <c r="L53" s="12" t="s">
        <v>163</v>
      </c>
      <c r="M53" s="12" t="s">
        <v>126</v>
      </c>
      <c r="N53" s="12" t="s">
        <v>134</v>
      </c>
      <c r="O53" s="12" t="s">
        <v>47</v>
      </c>
      <c r="P53" s="12" t="s">
        <v>143</v>
      </c>
      <c r="Q53" s="7" t="str">
        <f t="shared" si="0"/>
        <v>(1958,9,'1958.03.01',23,28,56,69,77,0),</v>
      </c>
      <c r="R53" s="7" t="str">
        <f t="shared" si="2"/>
        <v>(1958,9,'1958.03.01',23,28,56,69,77),</v>
      </c>
    </row>
    <row r="54" spans="1:18" x14ac:dyDescent="0.25">
      <c r="A54" s="7" t="s">
        <v>601</v>
      </c>
      <c r="B54" s="8" t="s">
        <v>62</v>
      </c>
      <c r="C54" s="10">
        <f t="shared" si="1"/>
        <v>21252</v>
      </c>
      <c r="D54" t="s">
        <v>11</v>
      </c>
      <c r="E54" t="s">
        <v>12</v>
      </c>
      <c r="F54" t="s">
        <v>11</v>
      </c>
      <c r="G54" t="s">
        <v>12</v>
      </c>
      <c r="H54" t="s">
        <v>11</v>
      </c>
      <c r="I54" t="s">
        <v>12</v>
      </c>
      <c r="J54" t="s">
        <v>11</v>
      </c>
      <c r="K54" t="s">
        <v>12</v>
      </c>
      <c r="L54" s="12" t="s">
        <v>33</v>
      </c>
      <c r="M54" s="12" t="s">
        <v>45</v>
      </c>
      <c r="N54" s="12" t="s">
        <v>124</v>
      </c>
      <c r="O54" s="12" t="s">
        <v>622</v>
      </c>
      <c r="P54" s="12" t="s">
        <v>468</v>
      </c>
      <c r="Q54" s="7" t="str">
        <f t="shared" si="0"/>
        <v>(1958,10,'1958.03.08',24,43,62,82,85,0),</v>
      </c>
      <c r="R54" s="7" t="str">
        <f t="shared" si="2"/>
        <v>(1958,10,'1958.03.08',24,43,62,82,85),</v>
      </c>
    </row>
    <row r="55" spans="1:18" x14ac:dyDescent="0.25">
      <c r="A55" s="7" t="s">
        <v>601</v>
      </c>
      <c r="B55" s="8" t="s">
        <v>83</v>
      </c>
      <c r="C55" s="10">
        <f t="shared" si="1"/>
        <v>21259</v>
      </c>
      <c r="D55" t="s">
        <v>11</v>
      </c>
      <c r="E55" t="s">
        <v>12</v>
      </c>
      <c r="F55" t="s">
        <v>11</v>
      </c>
      <c r="G55" t="s">
        <v>12</v>
      </c>
      <c r="H55" t="s">
        <v>11</v>
      </c>
      <c r="I55" t="s">
        <v>12</v>
      </c>
      <c r="J55" t="s">
        <v>11</v>
      </c>
      <c r="K55" t="s">
        <v>12</v>
      </c>
      <c r="L55" s="12" t="s">
        <v>163</v>
      </c>
      <c r="M55" s="12" t="s">
        <v>142</v>
      </c>
      <c r="N55" s="12" t="s">
        <v>122</v>
      </c>
      <c r="O55" s="12" t="s">
        <v>56</v>
      </c>
      <c r="P55" s="12" t="s">
        <v>622</v>
      </c>
      <c r="Q55" s="7" t="str">
        <f t="shared" si="0"/>
        <v>(1958,11,'1958.03.15',23,44,51,71,82,0),</v>
      </c>
      <c r="R55" s="7" t="str">
        <f t="shared" si="2"/>
        <v>(1958,11,'1958.03.15',23,44,51,71,82),</v>
      </c>
    </row>
    <row r="56" spans="1:18" x14ac:dyDescent="0.25">
      <c r="A56" s="7" t="s">
        <v>601</v>
      </c>
      <c r="B56" s="8" t="s">
        <v>31</v>
      </c>
      <c r="C56" s="10">
        <f t="shared" si="1"/>
        <v>21266</v>
      </c>
      <c r="D56" t="s">
        <v>11</v>
      </c>
      <c r="E56" t="s">
        <v>12</v>
      </c>
      <c r="F56" t="s">
        <v>11</v>
      </c>
      <c r="G56" t="s">
        <v>12</v>
      </c>
      <c r="H56" t="s">
        <v>11</v>
      </c>
      <c r="I56" t="s">
        <v>12</v>
      </c>
      <c r="J56" t="s">
        <v>11</v>
      </c>
      <c r="K56" t="s">
        <v>12</v>
      </c>
      <c r="L56" s="12" t="s">
        <v>270</v>
      </c>
      <c r="M56" s="12" t="s">
        <v>46</v>
      </c>
      <c r="N56" s="12" t="s">
        <v>13</v>
      </c>
      <c r="O56" s="12" t="s">
        <v>23</v>
      </c>
      <c r="P56" s="12" t="s">
        <v>151</v>
      </c>
      <c r="Q56" s="7" t="str">
        <f t="shared" si="0"/>
        <v>(1958,12,'1958.03.22',6,37,41,60,79,0),</v>
      </c>
      <c r="R56" s="7" t="str">
        <f t="shared" si="2"/>
        <v>(1958,12,'1958.03.22',6,37,41,60,79),</v>
      </c>
    </row>
    <row r="57" spans="1:18" x14ac:dyDescent="0.25">
      <c r="A57" s="7" t="s">
        <v>601</v>
      </c>
      <c r="B57" s="8" t="s">
        <v>65</v>
      </c>
      <c r="C57" s="10">
        <f t="shared" si="1"/>
        <v>21273</v>
      </c>
      <c r="D57" t="s">
        <v>11</v>
      </c>
      <c r="E57" t="s">
        <v>12</v>
      </c>
      <c r="F57" t="s">
        <v>11</v>
      </c>
      <c r="G57" t="s">
        <v>12</v>
      </c>
      <c r="H57" t="s">
        <v>11</v>
      </c>
      <c r="I57" t="s">
        <v>12</v>
      </c>
      <c r="J57" t="s">
        <v>11</v>
      </c>
      <c r="K57" t="s">
        <v>12</v>
      </c>
      <c r="L57" s="12" t="s">
        <v>270</v>
      </c>
      <c r="M57" s="12" t="s">
        <v>115</v>
      </c>
      <c r="N57" s="12" t="s">
        <v>135</v>
      </c>
      <c r="O57" s="12" t="s">
        <v>47</v>
      </c>
      <c r="P57" s="12" t="s">
        <v>308</v>
      </c>
      <c r="Q57" s="7" t="str">
        <f t="shared" si="0"/>
        <v>(1958,13,'1958.03.29',6,20,27,69,86,0),</v>
      </c>
      <c r="R57" s="7" t="str">
        <f t="shared" si="2"/>
        <v>(1958,13,'1958.03.29',6,20,27,69,86),</v>
      </c>
    </row>
    <row r="58" spans="1:18" x14ac:dyDescent="0.25">
      <c r="A58" s="7" t="s">
        <v>601</v>
      </c>
      <c r="B58" s="8" t="s">
        <v>127</v>
      </c>
      <c r="C58" s="10">
        <f t="shared" si="1"/>
        <v>21280</v>
      </c>
      <c r="D58" t="s">
        <v>11</v>
      </c>
      <c r="E58" t="s">
        <v>12</v>
      </c>
      <c r="F58" t="s">
        <v>11</v>
      </c>
      <c r="G58" t="s">
        <v>12</v>
      </c>
      <c r="H58" t="s">
        <v>11</v>
      </c>
      <c r="I58" t="s">
        <v>12</v>
      </c>
      <c r="J58" t="s">
        <v>11</v>
      </c>
      <c r="K58" t="s">
        <v>12</v>
      </c>
      <c r="L58" s="12" t="s">
        <v>32</v>
      </c>
      <c r="M58" s="12" t="s">
        <v>64</v>
      </c>
      <c r="N58" s="12" t="s">
        <v>123</v>
      </c>
      <c r="O58" s="12" t="s">
        <v>214</v>
      </c>
      <c r="P58" s="12" t="s">
        <v>269</v>
      </c>
      <c r="Q58" s="7" t="str">
        <f t="shared" si="0"/>
        <v>(1958,14,'1958.04.05',22,35,54,64,87,0),</v>
      </c>
      <c r="R58" s="7" t="str">
        <f t="shared" si="2"/>
        <v>(1958,14,'1958.04.05',22,35,54,64,87),</v>
      </c>
    </row>
    <row r="59" spans="1:18" x14ac:dyDescent="0.25">
      <c r="A59" s="7" t="s">
        <v>601</v>
      </c>
      <c r="B59" s="8" t="s">
        <v>54</v>
      </c>
      <c r="C59" s="10">
        <f t="shared" si="1"/>
        <v>21287</v>
      </c>
      <c r="D59" t="s">
        <v>11</v>
      </c>
      <c r="E59" t="s">
        <v>12</v>
      </c>
      <c r="F59" t="s">
        <v>11</v>
      </c>
      <c r="G59" t="s">
        <v>12</v>
      </c>
      <c r="H59" t="s">
        <v>11</v>
      </c>
      <c r="I59" t="s">
        <v>12</v>
      </c>
      <c r="J59" t="s">
        <v>11</v>
      </c>
      <c r="K59" t="s">
        <v>12</v>
      </c>
      <c r="L59" s="12" t="s">
        <v>43</v>
      </c>
      <c r="M59" s="12" t="s">
        <v>126</v>
      </c>
      <c r="N59" s="12" t="s">
        <v>98</v>
      </c>
      <c r="O59" s="12" t="s">
        <v>142</v>
      </c>
      <c r="P59" s="12" t="s">
        <v>92</v>
      </c>
      <c r="Q59" s="7" t="str">
        <f t="shared" si="0"/>
        <v>(1958,15,'1958.04.12',16,28,42,44,68,0),</v>
      </c>
      <c r="R59" s="7" t="str">
        <f t="shared" si="2"/>
        <v>(1958,15,'1958.04.12',16,28,42,44,68),</v>
      </c>
    </row>
    <row r="60" spans="1:18" x14ac:dyDescent="0.25">
      <c r="A60" s="7" t="s">
        <v>601</v>
      </c>
      <c r="B60" s="8" t="s">
        <v>43</v>
      </c>
      <c r="C60" s="10">
        <f t="shared" si="1"/>
        <v>21294</v>
      </c>
      <c r="D60" t="s">
        <v>11</v>
      </c>
      <c r="E60" t="s">
        <v>12</v>
      </c>
      <c r="F60" t="s">
        <v>11</v>
      </c>
      <c r="G60" t="s">
        <v>12</v>
      </c>
      <c r="H60" t="s">
        <v>11</v>
      </c>
      <c r="I60" t="s">
        <v>12</v>
      </c>
      <c r="J60" t="s">
        <v>11</v>
      </c>
      <c r="K60" t="s">
        <v>12</v>
      </c>
      <c r="L60" s="12" t="s">
        <v>65</v>
      </c>
      <c r="M60" s="12" t="s">
        <v>34</v>
      </c>
      <c r="N60" s="12" t="s">
        <v>56</v>
      </c>
      <c r="O60" s="12" t="s">
        <v>143</v>
      </c>
      <c r="P60" s="12" t="s">
        <v>301</v>
      </c>
      <c r="Q60" s="7" t="str">
        <f t="shared" si="0"/>
        <v>(1958,16,'1958.04.19',13,49,71,77,80,0),</v>
      </c>
      <c r="R60" s="7" t="str">
        <f t="shared" si="2"/>
        <v>(1958,16,'1958.04.19',13,49,71,77,80),</v>
      </c>
    </row>
    <row r="61" spans="1:18" x14ac:dyDescent="0.25">
      <c r="A61" s="7" t="s">
        <v>601</v>
      </c>
      <c r="B61" s="8" t="s">
        <v>90</v>
      </c>
      <c r="C61" s="10">
        <f t="shared" si="1"/>
        <v>21301</v>
      </c>
      <c r="D61" t="s">
        <v>11</v>
      </c>
      <c r="E61" t="s">
        <v>12</v>
      </c>
      <c r="F61" t="s">
        <v>11</v>
      </c>
      <c r="G61" t="s">
        <v>12</v>
      </c>
      <c r="H61" t="s">
        <v>11</v>
      </c>
      <c r="I61" t="s">
        <v>12</v>
      </c>
      <c r="J61" t="s">
        <v>11</v>
      </c>
      <c r="K61" t="s">
        <v>12</v>
      </c>
      <c r="L61" s="12" t="s">
        <v>55</v>
      </c>
      <c r="M61" s="12" t="s">
        <v>21</v>
      </c>
      <c r="N61" s="12" t="s">
        <v>45</v>
      </c>
      <c r="O61" s="12" t="s">
        <v>122</v>
      </c>
      <c r="P61" s="12" t="s">
        <v>269</v>
      </c>
      <c r="Q61" s="7" t="str">
        <f t="shared" si="0"/>
        <v>(1958,17,'1958.04.26',19,36,43,51,87,0),</v>
      </c>
      <c r="R61" s="7" t="str">
        <f t="shared" si="2"/>
        <v>(1958,17,'1958.04.26',19,36,43,51,87),</v>
      </c>
    </row>
    <row r="62" spans="1:18" x14ac:dyDescent="0.25">
      <c r="A62" s="7" t="s">
        <v>601</v>
      </c>
      <c r="B62" s="8" t="s">
        <v>19</v>
      </c>
      <c r="C62" s="10">
        <f t="shared" si="1"/>
        <v>21308</v>
      </c>
      <c r="D62" t="s">
        <v>11</v>
      </c>
      <c r="E62" t="s">
        <v>12</v>
      </c>
      <c r="F62" t="s">
        <v>11</v>
      </c>
      <c r="G62" t="s">
        <v>12</v>
      </c>
      <c r="H62" t="s">
        <v>11</v>
      </c>
      <c r="I62" t="s">
        <v>12</v>
      </c>
      <c r="J62" t="s">
        <v>11</v>
      </c>
      <c r="K62" t="s">
        <v>12</v>
      </c>
      <c r="L62" s="12" t="s">
        <v>98</v>
      </c>
      <c r="M62" s="12" t="s">
        <v>124</v>
      </c>
      <c r="N62" s="12" t="s">
        <v>47</v>
      </c>
      <c r="O62" s="12" t="s">
        <v>63</v>
      </c>
      <c r="P62" s="12" t="s">
        <v>379</v>
      </c>
      <c r="Q62" s="7" t="str">
        <f t="shared" si="0"/>
        <v>(1958,18,'1958.05.03',42,62,69,78,89,0),</v>
      </c>
      <c r="R62" s="7" t="str">
        <f t="shared" si="2"/>
        <v>(1958,18,'1958.05.03',42,62,69,78,89),</v>
      </c>
    </row>
    <row r="63" spans="1:18" x14ac:dyDescent="0.25">
      <c r="A63" s="7" t="s">
        <v>601</v>
      </c>
      <c r="B63" s="8" t="s">
        <v>55</v>
      </c>
      <c r="C63" s="10">
        <f t="shared" si="1"/>
        <v>21315</v>
      </c>
      <c r="D63" t="s">
        <v>11</v>
      </c>
      <c r="E63" t="s">
        <v>12</v>
      </c>
      <c r="F63" t="s">
        <v>11</v>
      </c>
      <c r="G63" t="s">
        <v>12</v>
      </c>
      <c r="H63" t="s">
        <v>11</v>
      </c>
      <c r="I63" t="s">
        <v>12</v>
      </c>
      <c r="J63" t="s">
        <v>11</v>
      </c>
      <c r="K63" t="s">
        <v>12</v>
      </c>
      <c r="L63" s="12" t="s">
        <v>53</v>
      </c>
      <c r="M63" s="12" t="s">
        <v>54</v>
      </c>
      <c r="N63" s="12" t="s">
        <v>33</v>
      </c>
      <c r="O63" s="12" t="s">
        <v>36</v>
      </c>
      <c r="P63" s="12" t="s">
        <v>45</v>
      </c>
      <c r="Q63" s="7" t="str">
        <f t="shared" si="0"/>
        <v>(1958,19,'1958.05.10',7,15,24,38,43,0),</v>
      </c>
      <c r="R63" s="7" t="str">
        <f t="shared" si="2"/>
        <v>(1958,19,'1958.05.10',7,15,24,38,43),</v>
      </c>
    </row>
    <row r="64" spans="1:18" x14ac:dyDescent="0.25">
      <c r="A64" s="7" t="s">
        <v>601</v>
      </c>
      <c r="B64" s="8" t="s">
        <v>115</v>
      </c>
      <c r="C64" s="10">
        <f t="shared" si="1"/>
        <v>21322</v>
      </c>
      <c r="D64" t="s">
        <v>11</v>
      </c>
      <c r="E64" t="s">
        <v>12</v>
      </c>
      <c r="F64" t="s">
        <v>11</v>
      </c>
      <c r="G64" t="s">
        <v>12</v>
      </c>
      <c r="H64" t="s">
        <v>11</v>
      </c>
      <c r="I64" t="s">
        <v>12</v>
      </c>
      <c r="J64" t="s">
        <v>11</v>
      </c>
      <c r="K64" t="s">
        <v>12</v>
      </c>
      <c r="L64" s="12" t="s">
        <v>31</v>
      </c>
      <c r="M64" s="12" t="s">
        <v>19</v>
      </c>
      <c r="N64" s="12" t="s">
        <v>36</v>
      </c>
      <c r="O64" s="12" t="s">
        <v>134</v>
      </c>
      <c r="P64" s="12" t="s">
        <v>169</v>
      </c>
      <c r="Q64" s="7" t="str">
        <f t="shared" si="0"/>
        <v>(1958,20,'1958.05.17',12,18,38,56,58,0),</v>
      </c>
      <c r="R64" s="7" t="str">
        <f t="shared" si="2"/>
        <v>(1958,20,'1958.05.17',12,18,38,56,58),</v>
      </c>
    </row>
    <row r="65" spans="1:18" x14ac:dyDescent="0.25">
      <c r="A65" s="7" t="s">
        <v>601</v>
      </c>
      <c r="B65" s="8" t="s">
        <v>44</v>
      </c>
      <c r="C65" s="10">
        <f t="shared" si="1"/>
        <v>21329</v>
      </c>
      <c r="D65" t="s">
        <v>11</v>
      </c>
      <c r="E65" t="s">
        <v>12</v>
      </c>
      <c r="F65" t="s">
        <v>11</v>
      </c>
      <c r="G65" t="s">
        <v>12</v>
      </c>
      <c r="H65" t="s">
        <v>11</v>
      </c>
      <c r="I65" t="s">
        <v>12</v>
      </c>
      <c r="J65" t="s">
        <v>11</v>
      </c>
      <c r="K65" t="s">
        <v>12</v>
      </c>
      <c r="L65" s="12" t="s">
        <v>53</v>
      </c>
      <c r="M65" s="12" t="s">
        <v>33</v>
      </c>
      <c r="N65" s="12" t="s">
        <v>46</v>
      </c>
      <c r="O65" s="12" t="s">
        <v>142</v>
      </c>
      <c r="P65" s="12" t="s">
        <v>246</v>
      </c>
      <c r="Q65" s="7" t="str">
        <f t="shared" si="0"/>
        <v>(1958,21,'1958.05.24',7,24,37,44,84,0),</v>
      </c>
      <c r="R65" s="7" t="str">
        <f t="shared" si="2"/>
        <v>(1958,21,'1958.05.24',7,24,37,44,84),</v>
      </c>
    </row>
    <row r="66" spans="1:18" x14ac:dyDescent="0.25">
      <c r="A66" s="7" t="s">
        <v>601</v>
      </c>
      <c r="B66" s="8" t="s">
        <v>32</v>
      </c>
      <c r="C66" s="10">
        <f t="shared" si="1"/>
        <v>21336</v>
      </c>
      <c r="D66" t="s">
        <v>11</v>
      </c>
      <c r="E66" t="s">
        <v>12</v>
      </c>
      <c r="F66" t="s">
        <v>11</v>
      </c>
      <c r="G66" t="s">
        <v>12</v>
      </c>
      <c r="H66" t="s">
        <v>11</v>
      </c>
      <c r="I66" t="s">
        <v>12</v>
      </c>
      <c r="J66" t="s">
        <v>11</v>
      </c>
      <c r="K66" t="s">
        <v>12</v>
      </c>
      <c r="L66" s="12" t="s">
        <v>115</v>
      </c>
      <c r="M66" s="12" t="s">
        <v>44</v>
      </c>
      <c r="N66" s="12" t="s">
        <v>33</v>
      </c>
      <c r="O66" s="12" t="s">
        <v>46</v>
      </c>
      <c r="P66" s="12" t="s">
        <v>56</v>
      </c>
      <c r="Q66" s="7" t="str">
        <f t="shared" ref="Q66:Q129" si="4">"("&amp;A66&amp;","&amp;B66&amp;",'"&amp;TEXT(C66,"éééé.hh.nn")&amp;"',"&amp;L66&amp;","&amp;M66&amp;","&amp;N66&amp;","&amp;O66&amp;","&amp;P66&amp;",0)"&amp;IF(P67&lt;&gt;0,",","")</f>
        <v>(1958,22,'1958.05.31',20,21,24,37,71,0),</v>
      </c>
      <c r="R66" s="7" t="str">
        <f t="shared" si="2"/>
        <v>(1958,22,'1958.05.31',20,21,24,37,71),</v>
      </c>
    </row>
    <row r="67" spans="1:18" x14ac:dyDescent="0.25">
      <c r="A67" s="7" t="s">
        <v>601</v>
      </c>
      <c r="B67" s="8" t="s">
        <v>163</v>
      </c>
      <c r="C67" s="10">
        <f t="shared" ref="C67:C130" si="5">+C66+7</f>
        <v>21343</v>
      </c>
      <c r="D67" t="s">
        <v>11</v>
      </c>
      <c r="E67" t="s">
        <v>12</v>
      </c>
      <c r="F67" t="s">
        <v>11</v>
      </c>
      <c r="G67" t="s">
        <v>12</v>
      </c>
      <c r="H67" t="s">
        <v>11</v>
      </c>
      <c r="I67" t="s">
        <v>12</v>
      </c>
      <c r="J67" t="s">
        <v>11</v>
      </c>
      <c r="K67" t="s">
        <v>12</v>
      </c>
      <c r="L67" s="12" t="s">
        <v>107</v>
      </c>
      <c r="M67" s="12" t="s">
        <v>99</v>
      </c>
      <c r="N67" s="12" t="s">
        <v>134</v>
      </c>
      <c r="O67" s="12" t="s">
        <v>73</v>
      </c>
      <c r="P67" s="12" t="s">
        <v>125</v>
      </c>
      <c r="Q67" s="7" t="str">
        <f t="shared" si="4"/>
        <v>(1958,23,'1958.06.07',30,52,56,76,83,0),</v>
      </c>
      <c r="R67" s="7" t="str">
        <f t="shared" ref="R67:R130" si="6">IF(TRIM(P67)="","","("&amp;A67&amp;","&amp;B67&amp;",'"&amp;TEXT(C67,"éééé.hh.nn")&amp;"',"&amp;L67&amp;","&amp;M67&amp;","&amp;N67&amp;","&amp;O67&amp;","&amp;P67&amp;")"&amp;IF(P68=0,";",","))</f>
        <v>(1958,23,'1958.06.07',30,52,56,76,83),</v>
      </c>
    </row>
    <row r="68" spans="1:18" x14ac:dyDescent="0.25">
      <c r="A68" s="7" t="s">
        <v>601</v>
      </c>
      <c r="B68" s="8" t="s">
        <v>33</v>
      </c>
      <c r="C68" s="10">
        <f t="shared" si="5"/>
        <v>21350</v>
      </c>
      <c r="D68" t="s">
        <v>11</v>
      </c>
      <c r="E68" t="s">
        <v>12</v>
      </c>
      <c r="F68" t="s">
        <v>11</v>
      </c>
      <c r="G68" t="s">
        <v>12</v>
      </c>
      <c r="H68" t="s">
        <v>11</v>
      </c>
      <c r="I68" t="s">
        <v>12</v>
      </c>
      <c r="J68" t="s">
        <v>11</v>
      </c>
      <c r="K68" t="s">
        <v>12</v>
      </c>
      <c r="L68" s="12" t="s">
        <v>127</v>
      </c>
      <c r="M68" s="12" t="s">
        <v>54</v>
      </c>
      <c r="N68" s="12" t="s">
        <v>152</v>
      </c>
      <c r="O68" s="12" t="s">
        <v>134</v>
      </c>
      <c r="P68" s="12" t="s">
        <v>82</v>
      </c>
      <c r="Q68" s="7" t="str">
        <f t="shared" si="4"/>
        <v>(1958,24,'1958.06.14',14,15,25,56,59,0),</v>
      </c>
      <c r="R68" s="7" t="str">
        <f t="shared" si="6"/>
        <v>(1958,24,'1958.06.14',14,15,25,56,59),</v>
      </c>
    </row>
    <row r="69" spans="1:18" x14ac:dyDescent="0.25">
      <c r="A69" s="7" t="s">
        <v>601</v>
      </c>
      <c r="B69" s="8" t="s">
        <v>152</v>
      </c>
      <c r="C69" s="10">
        <f t="shared" si="5"/>
        <v>21357</v>
      </c>
      <c r="D69" t="s">
        <v>11</v>
      </c>
      <c r="E69" t="s">
        <v>12</v>
      </c>
      <c r="F69" t="s">
        <v>11</v>
      </c>
      <c r="G69" t="s">
        <v>12</v>
      </c>
      <c r="H69" t="s">
        <v>11</v>
      </c>
      <c r="I69" t="s">
        <v>12</v>
      </c>
      <c r="J69" t="s">
        <v>11</v>
      </c>
      <c r="K69" t="s">
        <v>12</v>
      </c>
      <c r="L69" s="12" t="s">
        <v>152</v>
      </c>
      <c r="M69" s="12" t="s">
        <v>622</v>
      </c>
      <c r="N69" s="12" t="s">
        <v>246</v>
      </c>
      <c r="O69" s="12" t="s">
        <v>468</v>
      </c>
      <c r="P69" s="12" t="s">
        <v>208</v>
      </c>
      <c r="Q69" s="7" t="str">
        <f t="shared" si="4"/>
        <v>(1958,25,'1958.06.21',25,82,84,85,88,0),</v>
      </c>
      <c r="R69" s="7" t="str">
        <f t="shared" si="6"/>
        <v>(1958,25,'1958.06.21',25,82,84,85,88),</v>
      </c>
    </row>
    <row r="70" spans="1:18" x14ac:dyDescent="0.25">
      <c r="A70" s="7" t="s">
        <v>601</v>
      </c>
      <c r="B70" s="8" t="s">
        <v>74</v>
      </c>
      <c r="C70" s="10">
        <f t="shared" si="5"/>
        <v>21364</v>
      </c>
      <c r="D70" t="s">
        <v>11</v>
      </c>
      <c r="E70" t="s">
        <v>12</v>
      </c>
      <c r="F70" t="s">
        <v>11</v>
      </c>
      <c r="G70" t="s">
        <v>12</v>
      </c>
      <c r="H70" t="s">
        <v>11</v>
      </c>
      <c r="I70" t="s">
        <v>12</v>
      </c>
      <c r="J70" t="s">
        <v>11</v>
      </c>
      <c r="K70" t="s">
        <v>12</v>
      </c>
      <c r="L70" s="12" t="s">
        <v>31</v>
      </c>
      <c r="M70" s="12" t="s">
        <v>44</v>
      </c>
      <c r="N70" s="12" t="s">
        <v>175</v>
      </c>
      <c r="O70" s="12" t="s">
        <v>200</v>
      </c>
      <c r="P70" s="12" t="s">
        <v>125</v>
      </c>
      <c r="Q70" s="7" t="str">
        <f t="shared" si="4"/>
        <v>(1958,26,'1958.06.28',12,21,55,70,83,0),</v>
      </c>
      <c r="R70" s="7" t="str">
        <f t="shared" si="6"/>
        <v>(1958,26,'1958.06.28',12,21,55,70,83),</v>
      </c>
    </row>
    <row r="71" spans="1:18" x14ac:dyDescent="0.25">
      <c r="A71" s="7" t="s">
        <v>601</v>
      </c>
      <c r="B71" s="8" t="s">
        <v>135</v>
      </c>
      <c r="C71" s="10">
        <f t="shared" si="5"/>
        <v>21371</v>
      </c>
      <c r="D71" t="s">
        <v>11</v>
      </c>
      <c r="E71" t="s">
        <v>12</v>
      </c>
      <c r="F71" t="s">
        <v>11</v>
      </c>
      <c r="G71" t="s">
        <v>12</v>
      </c>
      <c r="H71" t="s">
        <v>11</v>
      </c>
      <c r="I71" t="s">
        <v>12</v>
      </c>
      <c r="J71" t="s">
        <v>11</v>
      </c>
      <c r="K71" t="s">
        <v>12</v>
      </c>
      <c r="L71" s="12" t="s">
        <v>270</v>
      </c>
      <c r="M71" s="12" t="s">
        <v>25</v>
      </c>
      <c r="N71" s="12" t="s">
        <v>99</v>
      </c>
      <c r="O71" s="12" t="s">
        <v>622</v>
      </c>
      <c r="P71" s="12" t="s">
        <v>125</v>
      </c>
      <c r="Q71" s="7" t="str">
        <f t="shared" si="4"/>
        <v>(1958,27,'1958.07.05',6,34,52,82,83,0),</v>
      </c>
      <c r="R71" s="7" t="str">
        <f t="shared" si="6"/>
        <v>(1958,27,'1958.07.05',6,34,52,82,83),</v>
      </c>
    </row>
    <row r="72" spans="1:18" x14ac:dyDescent="0.25">
      <c r="A72" s="7" t="s">
        <v>601</v>
      </c>
      <c r="B72" s="8" t="s">
        <v>126</v>
      </c>
      <c r="C72" s="10">
        <f t="shared" si="5"/>
        <v>21378</v>
      </c>
      <c r="D72" t="s">
        <v>11</v>
      </c>
      <c r="E72" t="s">
        <v>12</v>
      </c>
      <c r="F72" t="s">
        <v>11</v>
      </c>
      <c r="G72" t="s">
        <v>12</v>
      </c>
      <c r="H72" t="s">
        <v>11</v>
      </c>
      <c r="I72" t="s">
        <v>12</v>
      </c>
      <c r="J72" t="s">
        <v>11</v>
      </c>
      <c r="K72" t="s">
        <v>12</v>
      </c>
      <c r="L72" s="12" t="s">
        <v>33</v>
      </c>
      <c r="M72" s="12" t="s">
        <v>169</v>
      </c>
      <c r="N72" s="12" t="s">
        <v>72</v>
      </c>
      <c r="O72" s="12" t="s">
        <v>200</v>
      </c>
      <c r="P72" s="12" t="s">
        <v>246</v>
      </c>
      <c r="Q72" s="7" t="str">
        <f t="shared" si="4"/>
        <v>(1958,28,'1958.07.12',24,58,67,70,84,0),</v>
      </c>
      <c r="R72" s="7" t="str">
        <f t="shared" si="6"/>
        <v>(1958,28,'1958.07.12',24,58,67,70,84),</v>
      </c>
    </row>
    <row r="73" spans="1:18" x14ac:dyDescent="0.25">
      <c r="A73" s="7" t="s">
        <v>601</v>
      </c>
      <c r="B73" s="8" t="s">
        <v>116</v>
      </c>
      <c r="C73" s="10">
        <f t="shared" si="5"/>
        <v>21385</v>
      </c>
      <c r="D73" t="s">
        <v>11</v>
      </c>
      <c r="E73" t="s">
        <v>12</v>
      </c>
      <c r="F73" t="s">
        <v>11</v>
      </c>
      <c r="G73" t="s">
        <v>12</v>
      </c>
      <c r="H73" t="s">
        <v>11</v>
      </c>
      <c r="I73" t="s">
        <v>12</v>
      </c>
      <c r="J73" t="s">
        <v>11</v>
      </c>
      <c r="K73" t="s">
        <v>12</v>
      </c>
      <c r="L73" s="12" t="s">
        <v>198</v>
      </c>
      <c r="M73" s="12" t="s">
        <v>127</v>
      </c>
      <c r="N73" s="12" t="s">
        <v>44</v>
      </c>
      <c r="O73" s="12" t="s">
        <v>82</v>
      </c>
      <c r="P73" s="12" t="s">
        <v>200</v>
      </c>
      <c r="Q73" s="7" t="str">
        <f t="shared" si="4"/>
        <v>(1958,29,'1958.07.19',9,14,21,59,70,0),</v>
      </c>
      <c r="R73" s="7" t="str">
        <f t="shared" si="6"/>
        <v>(1958,29,'1958.07.19',9,14,21,59,70),</v>
      </c>
    </row>
    <row r="74" spans="1:18" x14ac:dyDescent="0.25">
      <c r="A74" s="7" t="s">
        <v>601</v>
      </c>
      <c r="B74" s="8" t="s">
        <v>107</v>
      </c>
      <c r="C74" s="10">
        <f t="shared" si="5"/>
        <v>21392</v>
      </c>
      <c r="D74" t="s">
        <v>11</v>
      </c>
      <c r="E74" t="s">
        <v>12</v>
      </c>
      <c r="F74" t="s">
        <v>11</v>
      </c>
      <c r="G74" t="s">
        <v>12</v>
      </c>
      <c r="H74" t="s">
        <v>11</v>
      </c>
      <c r="I74" t="s">
        <v>12</v>
      </c>
      <c r="J74" t="s">
        <v>11</v>
      </c>
      <c r="K74" t="s">
        <v>12</v>
      </c>
      <c r="L74" s="12" t="s">
        <v>54</v>
      </c>
      <c r="M74" s="12" t="s">
        <v>90</v>
      </c>
      <c r="N74" s="12" t="s">
        <v>13</v>
      </c>
      <c r="O74" s="12" t="s">
        <v>134</v>
      </c>
      <c r="P74" s="12" t="s">
        <v>246</v>
      </c>
      <c r="Q74" s="7" t="str">
        <f t="shared" si="4"/>
        <v>(1958,30,'1958.07.26',15,17,41,56,84,0),</v>
      </c>
      <c r="R74" s="7" t="str">
        <f t="shared" si="6"/>
        <v>(1958,30,'1958.07.26',15,17,41,56,84),</v>
      </c>
    </row>
    <row r="75" spans="1:18" x14ac:dyDescent="0.25">
      <c r="A75" s="7" t="s">
        <v>601</v>
      </c>
      <c r="B75" s="8" t="s">
        <v>71</v>
      </c>
      <c r="C75" s="10">
        <f t="shared" si="5"/>
        <v>21399</v>
      </c>
      <c r="D75" t="s">
        <v>11</v>
      </c>
      <c r="E75" t="s">
        <v>12</v>
      </c>
      <c r="F75" t="s">
        <v>11</v>
      </c>
      <c r="G75" t="s">
        <v>12</v>
      </c>
      <c r="H75" t="s">
        <v>11</v>
      </c>
      <c r="I75" t="s">
        <v>12</v>
      </c>
      <c r="J75" t="s">
        <v>11</v>
      </c>
      <c r="K75" t="s">
        <v>12</v>
      </c>
      <c r="L75" s="12" t="s">
        <v>168</v>
      </c>
      <c r="M75" s="12" t="s">
        <v>21</v>
      </c>
      <c r="N75" s="12" t="s">
        <v>122</v>
      </c>
      <c r="O75" s="12" t="s">
        <v>47</v>
      </c>
      <c r="P75" s="12" t="s">
        <v>201</v>
      </c>
      <c r="Q75" s="7" t="str">
        <f t="shared" si="4"/>
        <v>(1958,31,'1958.08.02',4,36,51,69,72,0),</v>
      </c>
      <c r="R75" s="7" t="str">
        <f t="shared" si="6"/>
        <v>(1958,31,'1958.08.02',4,36,51,69,72),</v>
      </c>
    </row>
    <row r="76" spans="1:18" x14ac:dyDescent="0.25">
      <c r="A76" s="7" t="s">
        <v>601</v>
      </c>
      <c r="B76" s="8" t="s">
        <v>80</v>
      </c>
      <c r="C76" s="10">
        <f t="shared" si="5"/>
        <v>21406</v>
      </c>
      <c r="D76" t="s">
        <v>11</v>
      </c>
      <c r="E76" t="s">
        <v>12</v>
      </c>
      <c r="F76" t="s">
        <v>11</v>
      </c>
      <c r="G76" t="s">
        <v>12</v>
      </c>
      <c r="H76" t="s">
        <v>11</v>
      </c>
      <c r="I76" t="s">
        <v>12</v>
      </c>
      <c r="J76" t="s">
        <v>11</v>
      </c>
      <c r="K76" t="s">
        <v>12</v>
      </c>
      <c r="L76" s="12" t="s">
        <v>126</v>
      </c>
      <c r="M76" s="12" t="s">
        <v>142</v>
      </c>
      <c r="N76" s="12" t="s">
        <v>22</v>
      </c>
      <c r="O76" s="12" t="s">
        <v>63</v>
      </c>
      <c r="P76" s="12" t="s">
        <v>208</v>
      </c>
      <c r="Q76" s="7" t="str">
        <f t="shared" si="4"/>
        <v>(1958,32,'1958.08.09',28,44,48,78,88,0),</v>
      </c>
      <c r="R76" s="7" t="str">
        <f t="shared" si="6"/>
        <v>(1958,32,'1958.08.09',28,44,48,78,88),</v>
      </c>
    </row>
    <row r="77" spans="1:18" x14ac:dyDescent="0.25">
      <c r="A77" s="7" t="s">
        <v>601</v>
      </c>
      <c r="B77" s="8" t="s">
        <v>20</v>
      </c>
      <c r="C77" s="10">
        <f t="shared" si="5"/>
        <v>21413</v>
      </c>
      <c r="D77" t="s">
        <v>11</v>
      </c>
      <c r="E77" t="s">
        <v>12</v>
      </c>
      <c r="F77" t="s">
        <v>11</v>
      </c>
      <c r="G77" t="s">
        <v>12</v>
      </c>
      <c r="H77" t="s">
        <v>11</v>
      </c>
      <c r="I77" t="s">
        <v>12</v>
      </c>
      <c r="J77" t="s">
        <v>11</v>
      </c>
      <c r="K77" t="s">
        <v>12</v>
      </c>
      <c r="L77" s="12" t="s">
        <v>42</v>
      </c>
      <c r="M77" s="12" t="s">
        <v>232</v>
      </c>
      <c r="N77" s="12" t="s">
        <v>115</v>
      </c>
      <c r="O77" s="12" t="s">
        <v>44</v>
      </c>
      <c r="P77" s="12" t="s">
        <v>36</v>
      </c>
      <c r="Q77" s="7" t="str">
        <f t="shared" si="4"/>
        <v>(1958,33,'1958.08.16',3,8,20,21,38,0),</v>
      </c>
      <c r="R77" s="7" t="str">
        <f t="shared" si="6"/>
        <v>(1958,33,'1958.08.16',3,8,20,21,38),</v>
      </c>
    </row>
    <row r="78" spans="1:18" x14ac:dyDescent="0.25">
      <c r="A78" s="7" t="s">
        <v>601</v>
      </c>
      <c r="B78" s="8" t="s">
        <v>25</v>
      </c>
      <c r="C78" s="10">
        <f t="shared" si="5"/>
        <v>21420</v>
      </c>
      <c r="D78" t="s">
        <v>11</v>
      </c>
      <c r="E78" t="s">
        <v>12</v>
      </c>
      <c r="F78" t="s">
        <v>11</v>
      </c>
      <c r="G78" t="s">
        <v>12</v>
      </c>
      <c r="H78" t="s">
        <v>11</v>
      </c>
      <c r="I78" t="s">
        <v>12</v>
      </c>
      <c r="J78" t="s">
        <v>11</v>
      </c>
      <c r="K78" t="s">
        <v>12</v>
      </c>
      <c r="L78" s="12" t="s">
        <v>168</v>
      </c>
      <c r="M78" s="12" t="s">
        <v>127</v>
      </c>
      <c r="N78" s="12" t="s">
        <v>74</v>
      </c>
      <c r="O78" s="12" t="s">
        <v>72</v>
      </c>
      <c r="P78" s="12" t="s">
        <v>245</v>
      </c>
      <c r="Q78" s="7" t="str">
        <f t="shared" si="4"/>
        <v>(1958,34,'1958.08.23',4,14,26,67,74,0),</v>
      </c>
      <c r="R78" s="7" t="str">
        <f t="shared" si="6"/>
        <v>(1958,34,'1958.08.23',4,14,26,67,74),</v>
      </c>
    </row>
    <row r="79" spans="1:18" x14ac:dyDescent="0.25">
      <c r="A79" s="7" t="s">
        <v>601</v>
      </c>
      <c r="B79" s="8" t="s">
        <v>64</v>
      </c>
      <c r="C79" s="10">
        <f t="shared" si="5"/>
        <v>21427</v>
      </c>
      <c r="D79" t="s">
        <v>11</v>
      </c>
      <c r="E79" t="s">
        <v>12</v>
      </c>
      <c r="F79" t="s">
        <v>11</v>
      </c>
      <c r="G79" t="s">
        <v>12</v>
      </c>
      <c r="H79" t="s">
        <v>11</v>
      </c>
      <c r="I79" t="s">
        <v>12</v>
      </c>
      <c r="J79" t="s">
        <v>11</v>
      </c>
      <c r="K79" t="s">
        <v>12</v>
      </c>
      <c r="L79" s="12" t="s">
        <v>32</v>
      </c>
      <c r="M79" s="12" t="s">
        <v>116</v>
      </c>
      <c r="N79" s="12" t="s">
        <v>214</v>
      </c>
      <c r="O79" s="12" t="s">
        <v>125</v>
      </c>
      <c r="P79" s="12" t="s">
        <v>186</v>
      </c>
      <c r="Q79" s="7" t="str">
        <f t="shared" si="4"/>
        <v>(1958,35,'1958.08.30',22,29,64,83,90,0),</v>
      </c>
      <c r="R79" s="7" t="str">
        <f t="shared" si="6"/>
        <v>(1958,35,'1958.08.30',22,29,64,83,90),</v>
      </c>
    </row>
    <row r="80" spans="1:18" x14ac:dyDescent="0.25">
      <c r="A80" s="7" t="s">
        <v>601</v>
      </c>
      <c r="B80" s="8" t="s">
        <v>21</v>
      </c>
      <c r="C80" s="10">
        <f t="shared" si="5"/>
        <v>21434</v>
      </c>
      <c r="D80" t="s">
        <v>11</v>
      </c>
      <c r="E80" t="s">
        <v>12</v>
      </c>
      <c r="F80" t="s">
        <v>11</v>
      </c>
      <c r="G80" t="s">
        <v>12</v>
      </c>
      <c r="H80" t="s">
        <v>11</v>
      </c>
      <c r="I80" t="s">
        <v>12</v>
      </c>
      <c r="J80" t="s">
        <v>11</v>
      </c>
      <c r="K80" t="s">
        <v>12</v>
      </c>
      <c r="L80" s="12" t="s">
        <v>62</v>
      </c>
      <c r="M80" s="12" t="s">
        <v>36</v>
      </c>
      <c r="N80" s="12" t="s">
        <v>122</v>
      </c>
      <c r="O80" s="12" t="s">
        <v>72</v>
      </c>
      <c r="P80" s="12" t="s">
        <v>379</v>
      </c>
      <c r="Q80" s="7" t="str">
        <f t="shared" si="4"/>
        <v>(1958,36,'1958.09.06',10,38,51,67,89,0),</v>
      </c>
      <c r="R80" s="7" t="str">
        <f t="shared" si="6"/>
        <v>(1958,36,'1958.09.06',10,38,51,67,89),</v>
      </c>
    </row>
    <row r="81" spans="1:18" x14ac:dyDescent="0.25">
      <c r="A81" s="7" t="s">
        <v>601</v>
      </c>
      <c r="B81" s="8" t="s">
        <v>46</v>
      </c>
      <c r="C81" s="10">
        <f t="shared" si="5"/>
        <v>21441</v>
      </c>
      <c r="D81" t="s">
        <v>11</v>
      </c>
      <c r="E81" t="s">
        <v>12</v>
      </c>
      <c r="F81" t="s">
        <v>11</v>
      </c>
      <c r="G81" t="s">
        <v>12</v>
      </c>
      <c r="H81" t="s">
        <v>11</v>
      </c>
      <c r="I81" t="s">
        <v>12</v>
      </c>
      <c r="J81" t="s">
        <v>11</v>
      </c>
      <c r="K81" t="s">
        <v>12</v>
      </c>
      <c r="L81" s="12" t="s">
        <v>53</v>
      </c>
      <c r="M81" s="12" t="s">
        <v>163</v>
      </c>
      <c r="N81" s="12" t="s">
        <v>74</v>
      </c>
      <c r="O81" s="12" t="s">
        <v>200</v>
      </c>
      <c r="P81" s="12" t="s">
        <v>208</v>
      </c>
      <c r="Q81" s="7" t="str">
        <f t="shared" si="4"/>
        <v>(1958,37,'1958.09.13',7,23,26,70,88,0),</v>
      </c>
      <c r="R81" s="7" t="str">
        <f t="shared" si="6"/>
        <v>(1958,37,'1958.09.13',7,23,26,70,88),</v>
      </c>
    </row>
    <row r="82" spans="1:18" x14ac:dyDescent="0.25">
      <c r="A82" s="7" t="s">
        <v>601</v>
      </c>
      <c r="B82" s="8" t="s">
        <v>36</v>
      </c>
      <c r="C82" s="10">
        <f t="shared" si="5"/>
        <v>21448</v>
      </c>
      <c r="D82" t="s">
        <v>11</v>
      </c>
      <c r="E82" t="s">
        <v>12</v>
      </c>
      <c r="F82" t="s">
        <v>11</v>
      </c>
      <c r="G82" t="s">
        <v>12</v>
      </c>
      <c r="H82" t="s">
        <v>11</v>
      </c>
      <c r="I82" t="s">
        <v>12</v>
      </c>
      <c r="J82" t="s">
        <v>11</v>
      </c>
      <c r="K82" t="s">
        <v>12</v>
      </c>
      <c r="L82" s="12" t="s">
        <v>71</v>
      </c>
      <c r="M82" s="12" t="s">
        <v>133</v>
      </c>
      <c r="N82" s="12" t="s">
        <v>35</v>
      </c>
      <c r="O82" s="12" t="s">
        <v>56</v>
      </c>
      <c r="P82" s="12" t="s">
        <v>245</v>
      </c>
      <c r="Q82" s="7" t="str">
        <f t="shared" si="4"/>
        <v>(1958,38,'1958.09.20',31,45,65,71,74,0),</v>
      </c>
      <c r="R82" s="7" t="str">
        <f t="shared" si="6"/>
        <v>(1958,38,'1958.09.20',31,45,65,71,74),</v>
      </c>
    </row>
    <row r="83" spans="1:18" x14ac:dyDescent="0.25">
      <c r="A83" s="7" t="s">
        <v>601</v>
      </c>
      <c r="B83" s="8" t="s">
        <v>24</v>
      </c>
      <c r="C83" s="10">
        <f t="shared" si="5"/>
        <v>21455</v>
      </c>
      <c r="D83" t="s">
        <v>11</v>
      </c>
      <c r="E83" t="s">
        <v>12</v>
      </c>
      <c r="F83" t="s">
        <v>11</v>
      </c>
      <c r="G83" t="s">
        <v>12</v>
      </c>
      <c r="H83" t="s">
        <v>11</v>
      </c>
      <c r="I83" t="s">
        <v>12</v>
      </c>
      <c r="J83" t="s">
        <v>11</v>
      </c>
      <c r="K83" t="s">
        <v>12</v>
      </c>
      <c r="L83" s="12" t="s">
        <v>198</v>
      </c>
      <c r="M83" s="12" t="s">
        <v>115</v>
      </c>
      <c r="N83" s="12" t="s">
        <v>163</v>
      </c>
      <c r="O83" s="12" t="s">
        <v>134</v>
      </c>
      <c r="P83" s="12" t="s">
        <v>186</v>
      </c>
      <c r="Q83" s="7" t="str">
        <f t="shared" si="4"/>
        <v>(1958,39,'1958.09.27',9,20,23,56,90,0),</v>
      </c>
      <c r="R83" s="7" t="str">
        <f t="shared" si="6"/>
        <v>(1958,39,'1958.09.27',9,20,23,56,90),</v>
      </c>
    </row>
    <row r="84" spans="1:18" x14ac:dyDescent="0.25">
      <c r="A84" s="7" t="s">
        <v>601</v>
      </c>
      <c r="B84" s="8" t="s">
        <v>10</v>
      </c>
      <c r="C84" s="10">
        <f t="shared" si="5"/>
        <v>21462</v>
      </c>
      <c r="D84" t="s">
        <v>11</v>
      </c>
      <c r="E84" t="s">
        <v>12</v>
      </c>
      <c r="F84" t="s">
        <v>11</v>
      </c>
      <c r="G84" t="s">
        <v>12</v>
      </c>
      <c r="H84" t="s">
        <v>11</v>
      </c>
      <c r="I84" t="s">
        <v>12</v>
      </c>
      <c r="J84" t="s">
        <v>11</v>
      </c>
      <c r="K84" t="s">
        <v>12</v>
      </c>
      <c r="L84" s="12" t="s">
        <v>168</v>
      </c>
      <c r="M84" s="12" t="s">
        <v>198</v>
      </c>
      <c r="N84" s="12" t="s">
        <v>163</v>
      </c>
      <c r="O84" s="12" t="s">
        <v>105</v>
      </c>
      <c r="P84" s="12" t="s">
        <v>125</v>
      </c>
      <c r="Q84" s="7" t="str">
        <f t="shared" si="4"/>
        <v>(1958,40,'1958.10.04',4,9,23,50,83,0),</v>
      </c>
      <c r="R84" s="7" t="str">
        <f t="shared" si="6"/>
        <v>(1958,40,'1958.10.04',4,9,23,50,83),</v>
      </c>
    </row>
    <row r="85" spans="1:18" x14ac:dyDescent="0.25">
      <c r="A85" s="7" t="s">
        <v>601</v>
      </c>
      <c r="B85" s="8" t="s">
        <v>13</v>
      </c>
      <c r="C85" s="10">
        <f t="shared" si="5"/>
        <v>21469</v>
      </c>
      <c r="D85" t="s">
        <v>11</v>
      </c>
      <c r="E85" t="s">
        <v>12</v>
      </c>
      <c r="F85" t="s">
        <v>11</v>
      </c>
      <c r="G85" t="s">
        <v>12</v>
      </c>
      <c r="H85" t="s">
        <v>11</v>
      </c>
      <c r="I85" t="s">
        <v>12</v>
      </c>
      <c r="J85" t="s">
        <v>11</v>
      </c>
      <c r="K85" t="s">
        <v>12</v>
      </c>
      <c r="L85" s="12" t="s">
        <v>108</v>
      </c>
      <c r="M85" s="12" t="s">
        <v>54</v>
      </c>
      <c r="N85" s="12" t="s">
        <v>64</v>
      </c>
      <c r="O85" s="12" t="s">
        <v>192</v>
      </c>
      <c r="P85" s="12" t="s">
        <v>34</v>
      </c>
      <c r="Q85" s="7" t="str">
        <f t="shared" si="4"/>
        <v>(1958,41,'1958.10.11',1,15,35,46,49,0),</v>
      </c>
      <c r="R85" s="7" t="str">
        <f t="shared" si="6"/>
        <v>(1958,41,'1958.10.11',1,15,35,46,49),</v>
      </c>
    </row>
    <row r="86" spans="1:18" x14ac:dyDescent="0.25">
      <c r="A86" s="7" t="s">
        <v>601</v>
      </c>
      <c r="B86" s="8" t="s">
        <v>98</v>
      </c>
      <c r="C86" s="10">
        <f t="shared" si="5"/>
        <v>21476</v>
      </c>
      <c r="D86" t="s">
        <v>11</v>
      </c>
      <c r="E86" t="s">
        <v>12</v>
      </c>
      <c r="F86" t="s">
        <v>11</v>
      </c>
      <c r="G86" t="s">
        <v>12</v>
      </c>
      <c r="H86" t="s">
        <v>11</v>
      </c>
      <c r="I86" t="s">
        <v>12</v>
      </c>
      <c r="J86" t="s">
        <v>11</v>
      </c>
      <c r="K86" t="s">
        <v>12</v>
      </c>
      <c r="L86" s="12" t="s">
        <v>168</v>
      </c>
      <c r="M86" s="12" t="s">
        <v>90</v>
      </c>
      <c r="N86" s="12" t="s">
        <v>36</v>
      </c>
      <c r="O86" s="12" t="s">
        <v>72</v>
      </c>
      <c r="P86" s="12" t="s">
        <v>245</v>
      </c>
      <c r="Q86" s="7" t="str">
        <f t="shared" si="4"/>
        <v>(1958,42,'1958.10.18',4,17,38,67,74,0),</v>
      </c>
      <c r="R86" s="7" t="str">
        <f t="shared" si="6"/>
        <v>(1958,42,'1958.10.18',4,17,38,67,74),</v>
      </c>
    </row>
    <row r="87" spans="1:18" x14ac:dyDescent="0.25">
      <c r="A87" s="7" t="s">
        <v>601</v>
      </c>
      <c r="B87" s="8" t="s">
        <v>45</v>
      </c>
      <c r="C87" s="10">
        <f t="shared" si="5"/>
        <v>21483</v>
      </c>
      <c r="D87" t="s">
        <v>11</v>
      </c>
      <c r="E87" t="s">
        <v>12</v>
      </c>
      <c r="F87" t="s">
        <v>11</v>
      </c>
      <c r="G87" t="s">
        <v>12</v>
      </c>
      <c r="H87" t="s">
        <v>11</v>
      </c>
      <c r="I87" t="s">
        <v>12</v>
      </c>
      <c r="J87" t="s">
        <v>11</v>
      </c>
      <c r="K87" t="s">
        <v>12</v>
      </c>
      <c r="L87" s="12" t="s">
        <v>115</v>
      </c>
      <c r="M87" s="12" t="s">
        <v>21</v>
      </c>
      <c r="N87" s="12" t="s">
        <v>245</v>
      </c>
      <c r="O87" s="12" t="s">
        <v>301</v>
      </c>
      <c r="P87" s="12" t="s">
        <v>186</v>
      </c>
      <c r="Q87" s="7" t="str">
        <f t="shared" si="4"/>
        <v>(1958,43,'1958.10.25',20,36,74,80,90,0),</v>
      </c>
      <c r="R87" s="7" t="str">
        <f t="shared" si="6"/>
        <v>(1958,43,'1958.10.25',20,36,74,80,90),</v>
      </c>
    </row>
    <row r="88" spans="1:18" x14ac:dyDescent="0.25">
      <c r="A88" s="7" t="s">
        <v>601</v>
      </c>
      <c r="B88" s="8" t="s">
        <v>142</v>
      </c>
      <c r="C88" s="10">
        <f t="shared" si="5"/>
        <v>21490</v>
      </c>
      <c r="D88" t="s">
        <v>11</v>
      </c>
      <c r="E88" t="s">
        <v>12</v>
      </c>
      <c r="F88" t="s">
        <v>11</v>
      </c>
      <c r="G88" t="s">
        <v>12</v>
      </c>
      <c r="H88" t="s">
        <v>11</v>
      </c>
      <c r="I88" t="s">
        <v>12</v>
      </c>
      <c r="J88" t="s">
        <v>11</v>
      </c>
      <c r="K88" t="s">
        <v>12</v>
      </c>
      <c r="L88" s="12" t="s">
        <v>90</v>
      </c>
      <c r="M88" s="12" t="s">
        <v>163</v>
      </c>
      <c r="N88" s="12" t="s">
        <v>116</v>
      </c>
      <c r="O88" s="12" t="s">
        <v>133</v>
      </c>
      <c r="P88" s="12" t="s">
        <v>215</v>
      </c>
      <c r="Q88" s="7" t="str">
        <f t="shared" si="4"/>
        <v>(1958,44,'1958.11.01',17,23,29,45,81,0),</v>
      </c>
      <c r="R88" s="7" t="str">
        <f t="shared" si="6"/>
        <v>(1958,44,'1958.11.01',17,23,29,45,81),</v>
      </c>
    </row>
    <row r="89" spans="1:18" x14ac:dyDescent="0.25">
      <c r="A89" s="7" t="s">
        <v>601</v>
      </c>
      <c r="B89" s="8" t="s">
        <v>133</v>
      </c>
      <c r="C89" s="10">
        <f t="shared" si="5"/>
        <v>21497</v>
      </c>
      <c r="D89" t="s">
        <v>11</v>
      </c>
      <c r="E89" t="s">
        <v>12</v>
      </c>
      <c r="F89" t="s">
        <v>11</v>
      </c>
      <c r="G89" t="s">
        <v>12</v>
      </c>
      <c r="H89" t="s">
        <v>11</v>
      </c>
      <c r="I89" t="s">
        <v>12</v>
      </c>
      <c r="J89" t="s">
        <v>11</v>
      </c>
      <c r="K89" t="s">
        <v>12</v>
      </c>
      <c r="L89" s="12" t="s">
        <v>107</v>
      </c>
      <c r="M89" s="12" t="s">
        <v>80</v>
      </c>
      <c r="N89" s="12" t="s">
        <v>45</v>
      </c>
      <c r="O89" s="12" t="s">
        <v>199</v>
      </c>
      <c r="P89" s="12" t="s">
        <v>169</v>
      </c>
      <c r="Q89" s="7" t="str">
        <f t="shared" si="4"/>
        <v>(1958,45,'1958.11.08',30,32,43,53,58,0),</v>
      </c>
      <c r="R89" s="7" t="str">
        <f t="shared" si="6"/>
        <v>(1958,45,'1958.11.08',30,32,43,53,58),</v>
      </c>
    </row>
    <row r="90" spans="1:18" x14ac:dyDescent="0.25">
      <c r="A90" s="7" t="s">
        <v>601</v>
      </c>
      <c r="B90" s="8" t="s">
        <v>192</v>
      </c>
      <c r="C90" s="10">
        <f t="shared" si="5"/>
        <v>21504</v>
      </c>
      <c r="D90" t="s">
        <v>11</v>
      </c>
      <c r="E90" t="s">
        <v>12</v>
      </c>
      <c r="F90" t="s">
        <v>11</v>
      </c>
      <c r="G90" t="s">
        <v>12</v>
      </c>
      <c r="H90" t="s">
        <v>11</v>
      </c>
      <c r="I90" t="s">
        <v>12</v>
      </c>
      <c r="J90" t="s">
        <v>11</v>
      </c>
      <c r="K90" t="s">
        <v>12</v>
      </c>
      <c r="L90" s="12" t="s">
        <v>32</v>
      </c>
      <c r="M90" s="12" t="s">
        <v>152</v>
      </c>
      <c r="N90" s="12" t="s">
        <v>622</v>
      </c>
      <c r="O90" s="12" t="s">
        <v>125</v>
      </c>
      <c r="P90" s="12" t="s">
        <v>269</v>
      </c>
      <c r="Q90" s="7" t="str">
        <f t="shared" si="4"/>
        <v>(1958,46,'1958.11.15',22,25,82,83,87,0),</v>
      </c>
      <c r="R90" s="7" t="str">
        <f t="shared" si="6"/>
        <v>(1958,46,'1958.11.15',22,25,82,83,87),</v>
      </c>
    </row>
    <row r="91" spans="1:18" x14ac:dyDescent="0.25">
      <c r="A91" s="7" t="s">
        <v>601</v>
      </c>
      <c r="B91" s="8" t="s">
        <v>81</v>
      </c>
      <c r="C91" s="10">
        <f t="shared" si="5"/>
        <v>21511</v>
      </c>
      <c r="D91" t="s">
        <v>11</v>
      </c>
      <c r="E91" t="s">
        <v>12</v>
      </c>
      <c r="F91" t="s">
        <v>11</v>
      </c>
      <c r="G91" t="s">
        <v>12</v>
      </c>
      <c r="H91" t="s">
        <v>11</v>
      </c>
      <c r="I91" t="s">
        <v>12</v>
      </c>
      <c r="J91" t="s">
        <v>11</v>
      </c>
      <c r="K91" t="s">
        <v>12</v>
      </c>
      <c r="L91" s="12" t="s">
        <v>163</v>
      </c>
      <c r="M91" s="12" t="s">
        <v>71</v>
      </c>
      <c r="N91" s="12" t="s">
        <v>98</v>
      </c>
      <c r="O91" s="12" t="s">
        <v>56</v>
      </c>
      <c r="P91" s="12" t="s">
        <v>245</v>
      </c>
      <c r="Q91" s="7" t="str">
        <f t="shared" si="4"/>
        <v>(1958,47,'1958.11.22',23,31,42,71,74,0),</v>
      </c>
      <c r="R91" s="7" t="str">
        <f t="shared" si="6"/>
        <v>(1958,47,'1958.11.22',23,31,42,71,74),</v>
      </c>
    </row>
    <row r="92" spans="1:18" x14ac:dyDescent="0.25">
      <c r="A92" s="7" t="s">
        <v>601</v>
      </c>
      <c r="B92" s="8" t="s">
        <v>22</v>
      </c>
      <c r="C92" s="10">
        <f t="shared" si="5"/>
        <v>21518</v>
      </c>
      <c r="D92" t="s">
        <v>11</v>
      </c>
      <c r="E92" t="s">
        <v>12</v>
      </c>
      <c r="F92" t="s">
        <v>11</v>
      </c>
      <c r="G92" t="s">
        <v>12</v>
      </c>
      <c r="H92" t="s">
        <v>11</v>
      </c>
      <c r="I92" t="s">
        <v>12</v>
      </c>
      <c r="J92" t="s">
        <v>11</v>
      </c>
      <c r="K92" t="s">
        <v>12</v>
      </c>
      <c r="L92" s="12" t="s">
        <v>108</v>
      </c>
      <c r="M92" s="12" t="s">
        <v>89</v>
      </c>
      <c r="N92" s="12" t="s">
        <v>71</v>
      </c>
      <c r="O92" s="12" t="s">
        <v>25</v>
      </c>
      <c r="P92" s="12" t="s">
        <v>150</v>
      </c>
      <c r="Q92" s="7" t="str">
        <f t="shared" si="4"/>
        <v>(1958,48,'1958.11.29',1,5,31,34,57,0),</v>
      </c>
      <c r="R92" s="7" t="str">
        <f t="shared" si="6"/>
        <v>(1958,48,'1958.11.29',1,5,31,34,57),</v>
      </c>
    </row>
    <row r="93" spans="1:18" x14ac:dyDescent="0.25">
      <c r="A93" s="7" t="s">
        <v>601</v>
      </c>
      <c r="B93" s="8" t="s">
        <v>34</v>
      </c>
      <c r="C93" s="10">
        <f t="shared" si="5"/>
        <v>21525</v>
      </c>
      <c r="D93" t="s">
        <v>11</v>
      </c>
      <c r="E93" t="s">
        <v>12</v>
      </c>
      <c r="F93" t="s">
        <v>11</v>
      </c>
      <c r="G93" t="s">
        <v>12</v>
      </c>
      <c r="H93" t="s">
        <v>11</v>
      </c>
      <c r="I93" t="s">
        <v>12</v>
      </c>
      <c r="J93" t="s">
        <v>11</v>
      </c>
      <c r="K93" t="s">
        <v>12</v>
      </c>
      <c r="L93" s="12" t="s">
        <v>232</v>
      </c>
      <c r="M93" s="12" t="s">
        <v>150</v>
      </c>
      <c r="N93" s="12" t="s">
        <v>248</v>
      </c>
      <c r="O93" s="12" t="s">
        <v>106</v>
      </c>
      <c r="P93" s="12" t="s">
        <v>143</v>
      </c>
      <c r="Q93" s="7" t="str">
        <f t="shared" si="4"/>
        <v>(1958,49,'1958.12.06',8,57,63,75,77,0),</v>
      </c>
      <c r="R93" s="7" t="str">
        <f t="shared" si="6"/>
        <v>(1958,49,'1958.12.06',8,57,63,75,77),</v>
      </c>
    </row>
    <row r="94" spans="1:18" x14ac:dyDescent="0.25">
      <c r="A94" s="7" t="s">
        <v>601</v>
      </c>
      <c r="B94" s="8" t="s">
        <v>105</v>
      </c>
      <c r="C94" s="10">
        <f t="shared" si="5"/>
        <v>21532</v>
      </c>
      <c r="D94" t="s">
        <v>11</v>
      </c>
      <c r="E94" t="s">
        <v>12</v>
      </c>
      <c r="F94" t="s">
        <v>11</v>
      </c>
      <c r="G94" t="s">
        <v>12</v>
      </c>
      <c r="H94" t="s">
        <v>11</v>
      </c>
      <c r="I94" t="s">
        <v>12</v>
      </c>
      <c r="J94" t="s">
        <v>11</v>
      </c>
      <c r="K94" t="s">
        <v>12</v>
      </c>
      <c r="L94" s="12" t="s">
        <v>71</v>
      </c>
      <c r="M94" s="12" t="s">
        <v>46</v>
      </c>
      <c r="N94" s="12" t="s">
        <v>199</v>
      </c>
      <c r="O94" s="12" t="s">
        <v>123</v>
      </c>
      <c r="P94" s="12" t="s">
        <v>73</v>
      </c>
      <c r="Q94" s="7" t="str">
        <f t="shared" si="4"/>
        <v>(1958,50,'1958.12.13',31,37,53,54,76,0),</v>
      </c>
      <c r="R94" s="7" t="str">
        <f t="shared" si="6"/>
        <v>(1958,50,'1958.12.13',31,37,53,54,76),</v>
      </c>
    </row>
    <row r="95" spans="1:18" x14ac:dyDescent="0.25">
      <c r="A95" s="7" t="s">
        <v>601</v>
      </c>
      <c r="B95" s="8" t="s">
        <v>122</v>
      </c>
      <c r="C95" s="10">
        <f t="shared" si="5"/>
        <v>21539</v>
      </c>
      <c r="D95" t="s">
        <v>11</v>
      </c>
      <c r="E95" t="s">
        <v>12</v>
      </c>
      <c r="F95" t="s">
        <v>11</v>
      </c>
      <c r="G95" t="s">
        <v>12</v>
      </c>
      <c r="H95" t="s">
        <v>11</v>
      </c>
      <c r="I95" t="s">
        <v>12</v>
      </c>
      <c r="J95" t="s">
        <v>11</v>
      </c>
      <c r="K95" t="s">
        <v>12</v>
      </c>
      <c r="L95" s="12" t="s">
        <v>55</v>
      </c>
      <c r="M95" s="12" t="s">
        <v>116</v>
      </c>
      <c r="N95" s="12" t="s">
        <v>122</v>
      </c>
      <c r="O95" s="12" t="s">
        <v>214</v>
      </c>
      <c r="P95" s="12" t="s">
        <v>151</v>
      </c>
      <c r="Q95" s="7" t="str">
        <f t="shared" si="4"/>
        <v>(1958,51,'1958.12.20',19,29,51,64,79,0),</v>
      </c>
      <c r="R95" s="7" t="str">
        <f t="shared" si="6"/>
        <v>(1958,51,'1958.12.20',19,29,51,64,79),</v>
      </c>
    </row>
    <row r="96" spans="1:18" x14ac:dyDescent="0.25">
      <c r="A96" s="7" t="s">
        <v>601</v>
      </c>
      <c r="B96" s="8" t="s">
        <v>99</v>
      </c>
      <c r="C96" s="10">
        <f t="shared" si="5"/>
        <v>21546</v>
      </c>
      <c r="D96" t="s">
        <v>11</v>
      </c>
      <c r="E96" t="s">
        <v>12</v>
      </c>
      <c r="F96" t="s">
        <v>11</v>
      </c>
      <c r="G96" t="s">
        <v>12</v>
      </c>
      <c r="H96" t="s">
        <v>11</v>
      </c>
      <c r="I96" t="s">
        <v>12</v>
      </c>
      <c r="J96" t="s">
        <v>11</v>
      </c>
      <c r="K96" t="s">
        <v>12</v>
      </c>
      <c r="L96" s="12" t="s">
        <v>168</v>
      </c>
      <c r="M96" s="12" t="s">
        <v>46</v>
      </c>
      <c r="N96" s="12" t="s">
        <v>10</v>
      </c>
      <c r="O96" s="12" t="s">
        <v>233</v>
      </c>
      <c r="P96" s="12" t="s">
        <v>200</v>
      </c>
      <c r="Q96" s="7" t="str">
        <f t="shared" si="4"/>
        <v>(1958,52,'1958.12.27',4,37,40,66,70,0),</v>
      </c>
      <c r="R96" s="7" t="str">
        <f t="shared" si="6"/>
        <v>(1958,52,'1958.12.27',4,37,40,66,70),</v>
      </c>
    </row>
    <row r="97" spans="1:18" x14ac:dyDescent="0.25">
      <c r="A97" s="7" t="s">
        <v>5871</v>
      </c>
      <c r="B97" s="8" t="s">
        <v>108</v>
      </c>
      <c r="C97" s="10">
        <f t="shared" si="5"/>
        <v>21553</v>
      </c>
      <c r="D97" t="s">
        <v>11</v>
      </c>
      <c r="E97" t="s">
        <v>12</v>
      </c>
      <c r="F97" t="s">
        <v>11</v>
      </c>
      <c r="G97" t="s">
        <v>12</v>
      </c>
      <c r="H97" t="s">
        <v>11</v>
      </c>
      <c r="I97" t="s">
        <v>12</v>
      </c>
      <c r="J97" t="s">
        <v>11</v>
      </c>
      <c r="K97" t="s">
        <v>12</v>
      </c>
      <c r="L97" s="12" t="s">
        <v>42</v>
      </c>
      <c r="M97" s="12" t="s">
        <v>168</v>
      </c>
      <c r="N97" s="12" t="s">
        <v>65</v>
      </c>
      <c r="O97" s="12" t="s">
        <v>151</v>
      </c>
      <c r="P97" s="12" t="s">
        <v>308</v>
      </c>
      <c r="Q97" s="7" t="str">
        <f t="shared" si="4"/>
        <v>(1959,1,'1959.01.03',3,4,13,79,86,0),</v>
      </c>
      <c r="R97" s="7" t="str">
        <f t="shared" si="6"/>
        <v>(1959,1,'1959.01.03',3,4,13,79,86),</v>
      </c>
    </row>
    <row r="98" spans="1:18" x14ac:dyDescent="0.25">
      <c r="A98" s="7" t="s">
        <v>5871</v>
      </c>
      <c r="B98" s="8" t="s">
        <v>207</v>
      </c>
      <c r="C98" s="10">
        <f t="shared" si="5"/>
        <v>21560</v>
      </c>
      <c r="D98" t="s">
        <v>11</v>
      </c>
      <c r="E98" t="s">
        <v>12</v>
      </c>
      <c r="F98" t="s">
        <v>11</v>
      </c>
      <c r="G98" t="s">
        <v>12</v>
      </c>
      <c r="H98" t="s">
        <v>11</v>
      </c>
      <c r="I98" t="s">
        <v>12</v>
      </c>
      <c r="J98" t="s">
        <v>11</v>
      </c>
      <c r="K98" t="s">
        <v>12</v>
      </c>
      <c r="L98" s="12" t="s">
        <v>44</v>
      </c>
      <c r="M98" s="12" t="s">
        <v>80</v>
      </c>
      <c r="N98" s="12" t="s">
        <v>239</v>
      </c>
      <c r="O98" s="12" t="s">
        <v>143</v>
      </c>
      <c r="P98" s="12" t="s">
        <v>125</v>
      </c>
      <c r="Q98" s="7" t="str">
        <f t="shared" si="4"/>
        <v>(1959,2,'1959.01.10',21,32,73,77,83,0),</v>
      </c>
      <c r="R98" s="7" t="str">
        <f t="shared" si="6"/>
        <v>(1959,2,'1959.01.10',21,32,73,77,83),</v>
      </c>
    </row>
    <row r="99" spans="1:18" x14ac:dyDescent="0.25">
      <c r="A99" s="7" t="s">
        <v>5871</v>
      </c>
      <c r="B99" s="8" t="s">
        <v>42</v>
      </c>
      <c r="C99" s="10">
        <f t="shared" si="5"/>
        <v>21567</v>
      </c>
      <c r="D99" t="s">
        <v>11</v>
      </c>
      <c r="E99" t="s">
        <v>12</v>
      </c>
      <c r="F99" t="s">
        <v>11</v>
      </c>
      <c r="G99" t="s">
        <v>12</v>
      </c>
      <c r="H99" t="s">
        <v>11</v>
      </c>
      <c r="I99" t="s">
        <v>12</v>
      </c>
      <c r="J99" t="s">
        <v>11</v>
      </c>
      <c r="K99" t="s">
        <v>12</v>
      </c>
      <c r="L99" s="12" t="s">
        <v>89</v>
      </c>
      <c r="M99" s="12" t="s">
        <v>10</v>
      </c>
      <c r="N99" s="12" t="s">
        <v>98</v>
      </c>
      <c r="O99" s="12" t="s">
        <v>151</v>
      </c>
      <c r="P99" s="12" t="s">
        <v>301</v>
      </c>
      <c r="Q99" s="7" t="str">
        <f t="shared" si="4"/>
        <v>(1959,3,'1959.01.17',5,40,42,79,80,0),</v>
      </c>
      <c r="R99" s="7" t="str">
        <f t="shared" si="6"/>
        <v>(1959,3,'1959.01.17',5,40,42,79,80),</v>
      </c>
    </row>
    <row r="100" spans="1:18" x14ac:dyDescent="0.25">
      <c r="A100" s="7" t="s">
        <v>5871</v>
      </c>
      <c r="B100" s="8" t="s">
        <v>168</v>
      </c>
      <c r="C100" s="10">
        <f t="shared" si="5"/>
        <v>21574</v>
      </c>
      <c r="D100" t="s">
        <v>11</v>
      </c>
      <c r="E100" t="s">
        <v>12</v>
      </c>
      <c r="F100" t="s">
        <v>11</v>
      </c>
      <c r="G100" t="s">
        <v>12</v>
      </c>
      <c r="H100" t="s">
        <v>11</v>
      </c>
      <c r="I100" t="s">
        <v>12</v>
      </c>
      <c r="J100" t="s">
        <v>11</v>
      </c>
      <c r="K100" t="s">
        <v>12</v>
      </c>
      <c r="L100" s="12" t="s">
        <v>270</v>
      </c>
      <c r="M100" s="12" t="s">
        <v>24</v>
      </c>
      <c r="N100" s="12" t="s">
        <v>199</v>
      </c>
      <c r="O100" s="12" t="s">
        <v>233</v>
      </c>
      <c r="P100" s="12" t="s">
        <v>151</v>
      </c>
      <c r="Q100" s="7" t="str">
        <f t="shared" si="4"/>
        <v>(1959,4,'1959.01.24',6,39,53,66,79,0),</v>
      </c>
      <c r="R100" s="7" t="str">
        <f t="shared" si="6"/>
        <v>(1959,4,'1959.01.24',6,39,53,66,79),</v>
      </c>
    </row>
    <row r="101" spans="1:18" x14ac:dyDescent="0.25">
      <c r="A101" s="7" t="s">
        <v>5871</v>
      </c>
      <c r="B101" s="8" t="s">
        <v>89</v>
      </c>
      <c r="C101" s="10">
        <f t="shared" si="5"/>
        <v>21581</v>
      </c>
      <c r="D101" t="s">
        <v>11</v>
      </c>
      <c r="E101" t="s">
        <v>12</v>
      </c>
      <c r="F101" t="s">
        <v>11</v>
      </c>
      <c r="G101" t="s">
        <v>12</v>
      </c>
      <c r="H101" t="s">
        <v>11</v>
      </c>
      <c r="I101" t="s">
        <v>12</v>
      </c>
      <c r="J101" t="s">
        <v>11</v>
      </c>
      <c r="K101" t="s">
        <v>12</v>
      </c>
      <c r="L101" s="12" t="s">
        <v>53</v>
      </c>
      <c r="M101" s="12" t="s">
        <v>232</v>
      </c>
      <c r="N101" s="12" t="s">
        <v>32</v>
      </c>
      <c r="O101" s="12" t="s">
        <v>24</v>
      </c>
      <c r="P101" s="12" t="s">
        <v>106</v>
      </c>
      <c r="Q101" s="7" t="str">
        <f t="shared" si="4"/>
        <v>(1959,5,'1959.01.31',7,8,22,39,75,0),</v>
      </c>
      <c r="R101" s="7" t="str">
        <f t="shared" si="6"/>
        <v>(1959,5,'1959.01.31',7,8,22,39,75),</v>
      </c>
    </row>
    <row r="102" spans="1:18" x14ac:dyDescent="0.25">
      <c r="A102" s="7" t="s">
        <v>5871</v>
      </c>
      <c r="B102" s="8" t="s">
        <v>270</v>
      </c>
      <c r="C102" s="10">
        <f t="shared" si="5"/>
        <v>21588</v>
      </c>
      <c r="D102" t="s">
        <v>11</v>
      </c>
      <c r="E102" t="s">
        <v>12</v>
      </c>
      <c r="F102" t="s">
        <v>11</v>
      </c>
      <c r="G102" t="s">
        <v>12</v>
      </c>
      <c r="H102" t="s">
        <v>11</v>
      </c>
      <c r="I102" t="s">
        <v>12</v>
      </c>
      <c r="J102" t="s">
        <v>11</v>
      </c>
      <c r="K102" t="s">
        <v>12</v>
      </c>
      <c r="L102" s="12" t="s">
        <v>53</v>
      </c>
      <c r="M102" s="12" t="s">
        <v>25</v>
      </c>
      <c r="N102" s="12" t="s">
        <v>98</v>
      </c>
      <c r="O102" s="12" t="s">
        <v>133</v>
      </c>
      <c r="P102" s="12" t="s">
        <v>99</v>
      </c>
      <c r="Q102" s="7" t="str">
        <f t="shared" si="4"/>
        <v>(1959,6,'1959.02.07',7,34,42,45,52,0),</v>
      </c>
      <c r="R102" s="7" t="str">
        <f t="shared" si="6"/>
        <v>(1959,6,'1959.02.07',7,34,42,45,52),</v>
      </c>
    </row>
    <row r="103" spans="1:18" x14ac:dyDescent="0.25">
      <c r="A103" s="7" t="s">
        <v>5871</v>
      </c>
      <c r="B103" s="8" t="s">
        <v>53</v>
      </c>
      <c r="C103" s="10">
        <f t="shared" si="5"/>
        <v>21595</v>
      </c>
      <c r="D103" t="s">
        <v>11</v>
      </c>
      <c r="E103" t="s">
        <v>12</v>
      </c>
      <c r="F103" t="s">
        <v>11</v>
      </c>
      <c r="G103" t="s">
        <v>12</v>
      </c>
      <c r="H103" t="s">
        <v>11</v>
      </c>
      <c r="I103" t="s">
        <v>12</v>
      </c>
      <c r="J103" t="s">
        <v>11</v>
      </c>
      <c r="K103" t="s">
        <v>12</v>
      </c>
      <c r="L103" s="12" t="s">
        <v>42</v>
      </c>
      <c r="M103" s="12" t="s">
        <v>200</v>
      </c>
      <c r="N103" s="12" t="s">
        <v>239</v>
      </c>
      <c r="O103" s="12" t="s">
        <v>143</v>
      </c>
      <c r="P103" s="12" t="s">
        <v>622</v>
      </c>
      <c r="Q103" s="7" t="str">
        <f t="shared" si="4"/>
        <v>(1959,7,'1959.02.14',3,70,73,77,82,0),</v>
      </c>
      <c r="R103" s="7" t="str">
        <f t="shared" si="6"/>
        <v>(1959,7,'1959.02.14',3,70,73,77,82),</v>
      </c>
    </row>
    <row r="104" spans="1:18" x14ac:dyDescent="0.25">
      <c r="A104" s="7" t="s">
        <v>5871</v>
      </c>
      <c r="B104" s="8" t="s">
        <v>232</v>
      </c>
      <c r="C104" s="10">
        <f t="shared" si="5"/>
        <v>21602</v>
      </c>
      <c r="D104" t="s">
        <v>11</v>
      </c>
      <c r="E104" t="s">
        <v>12</v>
      </c>
      <c r="F104" t="s">
        <v>11</v>
      </c>
      <c r="G104" t="s">
        <v>12</v>
      </c>
      <c r="H104" t="s">
        <v>11</v>
      </c>
      <c r="I104" t="s">
        <v>12</v>
      </c>
      <c r="J104" t="s">
        <v>11</v>
      </c>
      <c r="K104" t="s">
        <v>12</v>
      </c>
      <c r="L104" s="12" t="s">
        <v>127</v>
      </c>
      <c r="M104" s="12" t="s">
        <v>115</v>
      </c>
      <c r="N104" s="12" t="s">
        <v>105</v>
      </c>
      <c r="O104" s="12" t="s">
        <v>239</v>
      </c>
      <c r="P104" s="12" t="s">
        <v>245</v>
      </c>
      <c r="Q104" s="7" t="str">
        <f t="shared" si="4"/>
        <v>(1959,8,'1959.02.21',14,20,50,73,74,0),</v>
      </c>
      <c r="R104" s="7" t="str">
        <f t="shared" si="6"/>
        <v>(1959,8,'1959.02.21',14,20,50,73,74),</v>
      </c>
    </row>
    <row r="105" spans="1:18" x14ac:dyDescent="0.25">
      <c r="A105" s="7" t="s">
        <v>5871</v>
      </c>
      <c r="B105" s="8" t="s">
        <v>198</v>
      </c>
      <c r="C105" s="10">
        <f t="shared" si="5"/>
        <v>21609</v>
      </c>
      <c r="D105" t="s">
        <v>11</v>
      </c>
      <c r="E105" t="s">
        <v>12</v>
      </c>
      <c r="F105" t="s">
        <v>11</v>
      </c>
      <c r="G105" t="s">
        <v>12</v>
      </c>
      <c r="H105" t="s">
        <v>11</v>
      </c>
      <c r="I105" t="s">
        <v>12</v>
      </c>
      <c r="J105" t="s">
        <v>11</v>
      </c>
      <c r="K105" t="s">
        <v>12</v>
      </c>
      <c r="L105" s="12" t="s">
        <v>207</v>
      </c>
      <c r="M105" s="12" t="s">
        <v>71</v>
      </c>
      <c r="N105" s="12" t="s">
        <v>22</v>
      </c>
      <c r="O105" s="12" t="s">
        <v>106</v>
      </c>
      <c r="P105" s="12" t="s">
        <v>269</v>
      </c>
      <c r="Q105" s="7" t="str">
        <f t="shared" si="4"/>
        <v>(1959,9,'1959.02.28',2,31,48,75,87,0),</v>
      </c>
      <c r="R105" s="7" t="str">
        <f t="shared" si="6"/>
        <v>(1959,9,'1959.02.28',2,31,48,75,87),</v>
      </c>
    </row>
    <row r="106" spans="1:18" x14ac:dyDescent="0.25">
      <c r="A106" s="7" t="s">
        <v>5871</v>
      </c>
      <c r="B106" s="8" t="s">
        <v>62</v>
      </c>
      <c r="C106" s="10">
        <f t="shared" si="5"/>
        <v>21616</v>
      </c>
      <c r="D106" t="s">
        <v>11</v>
      </c>
      <c r="E106" t="s">
        <v>12</v>
      </c>
      <c r="F106" t="s">
        <v>11</v>
      </c>
      <c r="G106" t="s">
        <v>12</v>
      </c>
      <c r="H106" t="s">
        <v>11</v>
      </c>
      <c r="I106" t="s">
        <v>12</v>
      </c>
      <c r="J106" t="s">
        <v>11</v>
      </c>
      <c r="K106" t="s">
        <v>12</v>
      </c>
      <c r="L106" s="12" t="s">
        <v>53</v>
      </c>
      <c r="M106" s="12" t="s">
        <v>65</v>
      </c>
      <c r="N106" s="12" t="s">
        <v>25</v>
      </c>
      <c r="O106" s="12" t="s">
        <v>269</v>
      </c>
      <c r="P106" s="12" t="s">
        <v>379</v>
      </c>
      <c r="Q106" s="7" t="str">
        <f t="shared" si="4"/>
        <v>(1959,10,'1959.03.07',7,13,34,87,89,0),</v>
      </c>
      <c r="R106" s="7" t="str">
        <f t="shared" si="6"/>
        <v>(1959,10,'1959.03.07',7,13,34,87,89),</v>
      </c>
    </row>
    <row r="107" spans="1:18" x14ac:dyDescent="0.25">
      <c r="A107" s="7" t="s">
        <v>5871</v>
      </c>
      <c r="B107" s="8" t="s">
        <v>83</v>
      </c>
      <c r="C107" s="10">
        <f t="shared" si="5"/>
        <v>21623</v>
      </c>
      <c r="D107" t="s">
        <v>11</v>
      </c>
      <c r="E107" t="s">
        <v>12</v>
      </c>
      <c r="F107" t="s">
        <v>11</v>
      </c>
      <c r="G107" t="s">
        <v>12</v>
      </c>
      <c r="H107" t="s">
        <v>11</v>
      </c>
      <c r="I107" t="s">
        <v>12</v>
      </c>
      <c r="J107" t="s">
        <v>11</v>
      </c>
      <c r="K107" t="s">
        <v>12</v>
      </c>
      <c r="L107" s="12" t="s">
        <v>98</v>
      </c>
      <c r="M107" s="12" t="s">
        <v>35</v>
      </c>
      <c r="N107" s="12" t="s">
        <v>92</v>
      </c>
      <c r="O107" s="12" t="s">
        <v>106</v>
      </c>
      <c r="P107" s="12" t="s">
        <v>63</v>
      </c>
      <c r="Q107" s="7" t="str">
        <f t="shared" si="4"/>
        <v>(1959,11,'1959.03.14',42,65,68,75,78,0),</v>
      </c>
      <c r="R107" s="7" t="str">
        <f t="shared" si="6"/>
        <v>(1959,11,'1959.03.14',42,65,68,75,78),</v>
      </c>
    </row>
    <row r="108" spans="1:18" x14ac:dyDescent="0.25">
      <c r="A108" s="7" t="s">
        <v>5871</v>
      </c>
      <c r="B108" s="8" t="s">
        <v>31</v>
      </c>
      <c r="C108" s="10">
        <f t="shared" si="5"/>
        <v>21630</v>
      </c>
      <c r="D108" t="s">
        <v>11</v>
      </c>
      <c r="E108" t="s">
        <v>12</v>
      </c>
      <c r="F108" t="s">
        <v>11</v>
      </c>
      <c r="G108" t="s">
        <v>12</v>
      </c>
      <c r="H108" t="s">
        <v>11</v>
      </c>
      <c r="I108" t="s">
        <v>12</v>
      </c>
      <c r="J108" t="s">
        <v>11</v>
      </c>
      <c r="K108" t="s">
        <v>12</v>
      </c>
      <c r="L108" s="12" t="s">
        <v>53</v>
      </c>
      <c r="M108" s="12" t="s">
        <v>198</v>
      </c>
      <c r="N108" s="12" t="s">
        <v>99</v>
      </c>
      <c r="O108" s="12" t="s">
        <v>82</v>
      </c>
      <c r="P108" s="12" t="s">
        <v>379</v>
      </c>
      <c r="Q108" s="7" t="str">
        <f t="shared" si="4"/>
        <v>(1959,12,'1959.03.21',7,9,52,59,89,0),</v>
      </c>
      <c r="R108" s="7" t="str">
        <f t="shared" si="6"/>
        <v>(1959,12,'1959.03.21',7,9,52,59,89),</v>
      </c>
    </row>
    <row r="109" spans="1:18" x14ac:dyDescent="0.25">
      <c r="A109" s="7" t="s">
        <v>5871</v>
      </c>
      <c r="B109" s="8" t="s">
        <v>65</v>
      </c>
      <c r="C109" s="10">
        <f t="shared" si="5"/>
        <v>21637</v>
      </c>
      <c r="D109" t="s">
        <v>11</v>
      </c>
      <c r="E109" t="s">
        <v>12</v>
      </c>
      <c r="F109" t="s">
        <v>11</v>
      </c>
      <c r="G109" t="s">
        <v>12</v>
      </c>
      <c r="H109" t="s">
        <v>11</v>
      </c>
      <c r="I109" t="s">
        <v>12</v>
      </c>
      <c r="J109" t="s">
        <v>11</v>
      </c>
      <c r="K109" t="s">
        <v>12</v>
      </c>
      <c r="L109" s="12" t="s">
        <v>207</v>
      </c>
      <c r="M109" s="12" t="s">
        <v>71</v>
      </c>
      <c r="N109" s="12" t="s">
        <v>36</v>
      </c>
      <c r="O109" s="12" t="s">
        <v>123</v>
      </c>
      <c r="P109" s="12" t="s">
        <v>91</v>
      </c>
      <c r="Q109" s="7" t="str">
        <f t="shared" si="4"/>
        <v>(1959,13,'1959.03.28',2,31,38,54,61,0),</v>
      </c>
      <c r="R109" s="7" t="str">
        <f t="shared" si="6"/>
        <v>(1959,13,'1959.03.28',2,31,38,54,61),</v>
      </c>
    </row>
    <row r="110" spans="1:18" x14ac:dyDescent="0.25">
      <c r="A110" s="7" t="s">
        <v>5871</v>
      </c>
      <c r="B110" s="8" t="s">
        <v>127</v>
      </c>
      <c r="C110" s="10">
        <f t="shared" si="5"/>
        <v>21644</v>
      </c>
      <c r="D110" t="s">
        <v>11</v>
      </c>
      <c r="E110" t="s">
        <v>12</v>
      </c>
      <c r="F110" t="s">
        <v>11</v>
      </c>
      <c r="G110" t="s">
        <v>12</v>
      </c>
      <c r="H110" t="s">
        <v>11</v>
      </c>
      <c r="I110" t="s">
        <v>12</v>
      </c>
      <c r="J110" t="s">
        <v>11</v>
      </c>
      <c r="K110" t="s">
        <v>12</v>
      </c>
      <c r="L110" s="12" t="s">
        <v>232</v>
      </c>
      <c r="M110" s="12" t="s">
        <v>135</v>
      </c>
      <c r="N110" s="12" t="s">
        <v>25</v>
      </c>
      <c r="O110" s="12" t="s">
        <v>122</v>
      </c>
      <c r="P110" s="12" t="s">
        <v>308</v>
      </c>
      <c r="Q110" s="7" t="str">
        <f t="shared" si="4"/>
        <v>(1959,14,'1959.04.04',8,27,34,51,86,0),</v>
      </c>
      <c r="R110" s="7" t="str">
        <f t="shared" si="6"/>
        <v>(1959,14,'1959.04.04',8,27,34,51,86),</v>
      </c>
    </row>
    <row r="111" spans="1:18" x14ac:dyDescent="0.25">
      <c r="A111" s="7" t="s">
        <v>5871</v>
      </c>
      <c r="B111" s="8" t="s">
        <v>54</v>
      </c>
      <c r="C111" s="10">
        <f t="shared" si="5"/>
        <v>21651</v>
      </c>
      <c r="D111" t="s">
        <v>11</v>
      </c>
      <c r="E111" t="s">
        <v>12</v>
      </c>
      <c r="F111" t="s">
        <v>11</v>
      </c>
      <c r="G111" t="s">
        <v>12</v>
      </c>
      <c r="H111" t="s">
        <v>11</v>
      </c>
      <c r="I111" t="s">
        <v>12</v>
      </c>
      <c r="J111" t="s">
        <v>11</v>
      </c>
      <c r="K111" t="s">
        <v>12</v>
      </c>
      <c r="L111" s="12" t="s">
        <v>42</v>
      </c>
      <c r="M111" s="12" t="s">
        <v>74</v>
      </c>
      <c r="N111" s="12" t="s">
        <v>135</v>
      </c>
      <c r="O111" s="12" t="s">
        <v>71</v>
      </c>
      <c r="P111" s="12" t="s">
        <v>34</v>
      </c>
      <c r="Q111" s="7" t="str">
        <f t="shared" si="4"/>
        <v>(1959,15,'1959.04.11',3,26,27,31,49,0),</v>
      </c>
      <c r="R111" s="7" t="str">
        <f t="shared" si="6"/>
        <v>(1959,15,'1959.04.11',3,26,27,31,49),</v>
      </c>
    </row>
    <row r="112" spans="1:18" x14ac:dyDescent="0.25">
      <c r="A112" s="7" t="s">
        <v>5871</v>
      </c>
      <c r="B112" s="8" t="s">
        <v>43</v>
      </c>
      <c r="C112" s="10">
        <f t="shared" si="5"/>
        <v>21658</v>
      </c>
      <c r="D112" t="s">
        <v>11</v>
      </c>
      <c r="E112" t="s">
        <v>12</v>
      </c>
      <c r="F112" t="s">
        <v>11</v>
      </c>
      <c r="G112" t="s">
        <v>12</v>
      </c>
      <c r="H112" t="s">
        <v>11</v>
      </c>
      <c r="I112" t="s">
        <v>12</v>
      </c>
      <c r="J112" t="s">
        <v>11</v>
      </c>
      <c r="K112" t="s">
        <v>12</v>
      </c>
      <c r="L112" s="12" t="s">
        <v>89</v>
      </c>
      <c r="M112" s="12" t="s">
        <v>126</v>
      </c>
      <c r="N112" s="12" t="s">
        <v>20</v>
      </c>
      <c r="O112" s="12" t="s">
        <v>169</v>
      </c>
      <c r="P112" s="12" t="s">
        <v>143</v>
      </c>
      <c r="Q112" s="7" t="str">
        <f t="shared" si="4"/>
        <v>(1959,16,'1959.04.18',5,28,33,58,77,0),</v>
      </c>
      <c r="R112" s="7" t="str">
        <f t="shared" si="6"/>
        <v>(1959,16,'1959.04.18',5,28,33,58,77),</v>
      </c>
    </row>
    <row r="113" spans="1:18" x14ac:dyDescent="0.25">
      <c r="A113" s="7" t="s">
        <v>5871</v>
      </c>
      <c r="B113" s="8" t="s">
        <v>90</v>
      </c>
      <c r="C113" s="10">
        <f t="shared" si="5"/>
        <v>21665</v>
      </c>
      <c r="D113" t="s">
        <v>11</v>
      </c>
      <c r="E113" t="s">
        <v>12</v>
      </c>
      <c r="F113" t="s">
        <v>11</v>
      </c>
      <c r="G113" t="s">
        <v>12</v>
      </c>
      <c r="H113" t="s">
        <v>11</v>
      </c>
      <c r="I113" t="s">
        <v>12</v>
      </c>
      <c r="J113" t="s">
        <v>11</v>
      </c>
      <c r="K113" t="s">
        <v>12</v>
      </c>
      <c r="L113" s="12" t="s">
        <v>168</v>
      </c>
      <c r="M113" s="12" t="s">
        <v>270</v>
      </c>
      <c r="N113" s="12" t="s">
        <v>163</v>
      </c>
      <c r="O113" s="12" t="s">
        <v>98</v>
      </c>
      <c r="P113" s="12" t="s">
        <v>379</v>
      </c>
      <c r="Q113" s="7" t="str">
        <f t="shared" si="4"/>
        <v>(1959,17,'1959.04.25',4,6,23,42,89,0),</v>
      </c>
      <c r="R113" s="7" t="str">
        <f t="shared" si="6"/>
        <v>(1959,17,'1959.04.25',4,6,23,42,89),</v>
      </c>
    </row>
    <row r="114" spans="1:18" x14ac:dyDescent="0.25">
      <c r="A114" s="7" t="s">
        <v>5871</v>
      </c>
      <c r="B114" s="8" t="s">
        <v>19</v>
      </c>
      <c r="C114" s="10">
        <f t="shared" si="5"/>
        <v>21672</v>
      </c>
      <c r="D114" t="s">
        <v>11</v>
      </c>
      <c r="E114" t="s">
        <v>12</v>
      </c>
      <c r="F114" t="s">
        <v>11</v>
      </c>
      <c r="G114" t="s">
        <v>12</v>
      </c>
      <c r="H114" t="s">
        <v>11</v>
      </c>
      <c r="I114" t="s">
        <v>12</v>
      </c>
      <c r="J114" t="s">
        <v>11</v>
      </c>
      <c r="K114" t="s">
        <v>12</v>
      </c>
      <c r="L114" s="12" t="s">
        <v>89</v>
      </c>
      <c r="M114" s="12" t="s">
        <v>90</v>
      </c>
      <c r="N114" s="12" t="s">
        <v>133</v>
      </c>
      <c r="O114" s="12" t="s">
        <v>199</v>
      </c>
      <c r="P114" s="12" t="s">
        <v>35</v>
      </c>
      <c r="Q114" s="7" t="str">
        <f t="shared" si="4"/>
        <v>(1959,18,'1959.05.02',5,17,45,53,65,0),</v>
      </c>
      <c r="R114" s="7" t="str">
        <f t="shared" si="6"/>
        <v>(1959,18,'1959.05.02',5,17,45,53,65),</v>
      </c>
    </row>
    <row r="115" spans="1:18" x14ac:dyDescent="0.25">
      <c r="A115" s="7" t="s">
        <v>5871</v>
      </c>
      <c r="B115" s="8" t="s">
        <v>55</v>
      </c>
      <c r="C115" s="10">
        <f t="shared" si="5"/>
        <v>21679</v>
      </c>
      <c r="D115" t="s">
        <v>11</v>
      </c>
      <c r="E115" t="s">
        <v>12</v>
      </c>
      <c r="F115" t="s">
        <v>11</v>
      </c>
      <c r="G115" t="s">
        <v>12</v>
      </c>
      <c r="H115" t="s">
        <v>11</v>
      </c>
      <c r="I115" t="s">
        <v>12</v>
      </c>
      <c r="J115" t="s">
        <v>11</v>
      </c>
      <c r="K115" t="s">
        <v>12</v>
      </c>
      <c r="L115" s="12" t="s">
        <v>31</v>
      </c>
      <c r="M115" s="12" t="s">
        <v>32</v>
      </c>
      <c r="N115" s="12" t="s">
        <v>116</v>
      </c>
      <c r="O115" s="12" t="s">
        <v>20</v>
      </c>
      <c r="P115" s="12" t="s">
        <v>47</v>
      </c>
      <c r="Q115" s="7" t="str">
        <f t="shared" si="4"/>
        <v>(1959,19,'1959.05.09',12,22,29,33,69,0),</v>
      </c>
      <c r="R115" s="7" t="str">
        <f t="shared" si="6"/>
        <v>(1959,19,'1959.05.09',12,22,29,33,69),</v>
      </c>
    </row>
    <row r="116" spans="1:18" x14ac:dyDescent="0.25">
      <c r="A116" s="7" t="s">
        <v>5871</v>
      </c>
      <c r="B116" s="8" t="s">
        <v>115</v>
      </c>
      <c r="C116" s="10">
        <f t="shared" si="5"/>
        <v>21686</v>
      </c>
      <c r="D116" t="s">
        <v>11</v>
      </c>
      <c r="E116" t="s">
        <v>12</v>
      </c>
      <c r="F116" t="s">
        <v>11</v>
      </c>
      <c r="G116" t="s">
        <v>12</v>
      </c>
      <c r="H116" t="s">
        <v>11</v>
      </c>
      <c r="I116" t="s">
        <v>12</v>
      </c>
      <c r="J116" t="s">
        <v>11</v>
      </c>
      <c r="K116" t="s">
        <v>12</v>
      </c>
      <c r="L116" s="12" t="s">
        <v>207</v>
      </c>
      <c r="M116" s="12" t="s">
        <v>31</v>
      </c>
      <c r="N116" s="12" t="s">
        <v>134</v>
      </c>
      <c r="O116" s="12" t="s">
        <v>301</v>
      </c>
      <c r="P116" s="12" t="s">
        <v>246</v>
      </c>
      <c r="Q116" s="7" t="str">
        <f t="shared" si="4"/>
        <v>(1959,20,'1959.05.16',2,12,56,80,84,0),</v>
      </c>
      <c r="R116" s="7" t="str">
        <f t="shared" si="6"/>
        <v>(1959,20,'1959.05.16',2,12,56,80,84),</v>
      </c>
    </row>
    <row r="117" spans="1:18" x14ac:dyDescent="0.25">
      <c r="A117" s="7" t="s">
        <v>5871</v>
      </c>
      <c r="B117" s="8" t="s">
        <v>44</v>
      </c>
      <c r="C117" s="10">
        <f t="shared" si="5"/>
        <v>21693</v>
      </c>
      <c r="D117" t="s">
        <v>11</v>
      </c>
      <c r="E117" t="s">
        <v>12</v>
      </c>
      <c r="F117" t="s">
        <v>11</v>
      </c>
      <c r="G117" t="s">
        <v>12</v>
      </c>
      <c r="H117" t="s">
        <v>11</v>
      </c>
      <c r="I117" t="s">
        <v>12</v>
      </c>
      <c r="J117" t="s">
        <v>11</v>
      </c>
      <c r="K117" t="s">
        <v>12</v>
      </c>
      <c r="L117" s="12" t="s">
        <v>168</v>
      </c>
      <c r="M117" s="12" t="s">
        <v>270</v>
      </c>
      <c r="N117" s="12" t="s">
        <v>115</v>
      </c>
      <c r="O117" s="12" t="s">
        <v>163</v>
      </c>
      <c r="P117" s="12" t="s">
        <v>233</v>
      </c>
      <c r="Q117" s="7" t="str">
        <f t="shared" si="4"/>
        <v>(1959,21,'1959.05.23',4,6,20,23,66,0),</v>
      </c>
      <c r="R117" s="7" t="str">
        <f t="shared" si="6"/>
        <v>(1959,21,'1959.05.23',4,6,20,23,66),</v>
      </c>
    </row>
    <row r="118" spans="1:18" x14ac:dyDescent="0.25">
      <c r="A118" s="7" t="s">
        <v>5871</v>
      </c>
      <c r="B118" s="8" t="s">
        <v>32</v>
      </c>
      <c r="C118" s="10">
        <f t="shared" si="5"/>
        <v>21700</v>
      </c>
      <c r="D118" t="s">
        <v>11</v>
      </c>
      <c r="E118" t="s">
        <v>12</v>
      </c>
      <c r="F118" t="s">
        <v>11</v>
      </c>
      <c r="G118" t="s">
        <v>12</v>
      </c>
      <c r="H118" t="s">
        <v>11</v>
      </c>
      <c r="I118" t="s">
        <v>12</v>
      </c>
      <c r="J118" t="s">
        <v>11</v>
      </c>
      <c r="K118" t="s">
        <v>12</v>
      </c>
      <c r="L118" s="12" t="s">
        <v>89</v>
      </c>
      <c r="M118" s="12" t="s">
        <v>152</v>
      </c>
      <c r="N118" s="12" t="s">
        <v>13</v>
      </c>
      <c r="O118" s="12" t="s">
        <v>99</v>
      </c>
      <c r="P118" s="12" t="s">
        <v>379</v>
      </c>
      <c r="Q118" s="7" t="str">
        <f t="shared" si="4"/>
        <v>(1959,22,'1959.05.30',5,25,41,52,89,0),</v>
      </c>
      <c r="R118" s="7" t="str">
        <f t="shared" si="6"/>
        <v>(1959,22,'1959.05.30',5,25,41,52,89),</v>
      </c>
    </row>
    <row r="119" spans="1:18" x14ac:dyDescent="0.25">
      <c r="A119" s="7" t="s">
        <v>5871</v>
      </c>
      <c r="B119" s="8" t="s">
        <v>163</v>
      </c>
      <c r="C119" s="10">
        <f t="shared" si="5"/>
        <v>21707</v>
      </c>
      <c r="D119" t="s">
        <v>11</v>
      </c>
      <c r="E119" t="s">
        <v>12</v>
      </c>
      <c r="F119" t="s">
        <v>11</v>
      </c>
      <c r="G119" t="s">
        <v>12</v>
      </c>
      <c r="H119" t="s">
        <v>11</v>
      </c>
      <c r="I119" t="s">
        <v>12</v>
      </c>
      <c r="J119" t="s">
        <v>11</v>
      </c>
      <c r="K119" t="s">
        <v>12</v>
      </c>
      <c r="L119" s="12" t="s">
        <v>135</v>
      </c>
      <c r="M119" s="12" t="s">
        <v>36</v>
      </c>
      <c r="N119" s="12" t="s">
        <v>124</v>
      </c>
      <c r="O119" s="12" t="s">
        <v>201</v>
      </c>
      <c r="P119" s="12" t="s">
        <v>125</v>
      </c>
      <c r="Q119" s="7" t="str">
        <f t="shared" si="4"/>
        <v>(1959,23,'1959.06.06',27,38,62,72,83,0),</v>
      </c>
      <c r="R119" s="7" t="str">
        <f t="shared" si="6"/>
        <v>(1959,23,'1959.06.06',27,38,62,72,83),</v>
      </c>
    </row>
    <row r="120" spans="1:18" x14ac:dyDescent="0.25">
      <c r="A120" s="7" t="s">
        <v>5871</v>
      </c>
      <c r="B120" s="8" t="s">
        <v>33</v>
      </c>
      <c r="C120" s="10">
        <f t="shared" si="5"/>
        <v>21714</v>
      </c>
      <c r="D120" t="s">
        <v>11</v>
      </c>
      <c r="E120" t="s">
        <v>12</v>
      </c>
      <c r="F120" t="s">
        <v>11</v>
      </c>
      <c r="G120" t="s">
        <v>12</v>
      </c>
      <c r="H120" t="s">
        <v>11</v>
      </c>
      <c r="I120" t="s">
        <v>12</v>
      </c>
      <c r="J120" t="s">
        <v>11</v>
      </c>
      <c r="K120" t="s">
        <v>12</v>
      </c>
      <c r="L120" s="12" t="s">
        <v>55</v>
      </c>
      <c r="M120" s="12" t="s">
        <v>122</v>
      </c>
      <c r="N120" s="12" t="s">
        <v>35</v>
      </c>
      <c r="O120" s="12" t="s">
        <v>246</v>
      </c>
      <c r="P120" s="12" t="s">
        <v>379</v>
      </c>
      <c r="Q120" s="7" t="str">
        <f t="shared" si="4"/>
        <v>(1959,24,'1959.06.13',19,51,65,84,89,0),</v>
      </c>
      <c r="R120" s="7" t="str">
        <f t="shared" si="6"/>
        <v>(1959,24,'1959.06.13',19,51,65,84,89),</v>
      </c>
    </row>
    <row r="121" spans="1:18" x14ac:dyDescent="0.25">
      <c r="A121" s="7" t="s">
        <v>5871</v>
      </c>
      <c r="B121" s="8" t="s">
        <v>152</v>
      </c>
      <c r="C121" s="10">
        <f t="shared" si="5"/>
        <v>21721</v>
      </c>
      <c r="D121" t="s">
        <v>11</v>
      </c>
      <c r="E121" t="s">
        <v>12</v>
      </c>
      <c r="F121" t="s">
        <v>11</v>
      </c>
      <c r="G121" t="s">
        <v>12</v>
      </c>
      <c r="H121" t="s">
        <v>11</v>
      </c>
      <c r="I121" t="s">
        <v>12</v>
      </c>
      <c r="J121" t="s">
        <v>11</v>
      </c>
      <c r="K121" t="s">
        <v>12</v>
      </c>
      <c r="L121" s="12" t="s">
        <v>198</v>
      </c>
      <c r="M121" s="12" t="s">
        <v>19</v>
      </c>
      <c r="N121" s="12" t="s">
        <v>116</v>
      </c>
      <c r="O121" s="12" t="s">
        <v>134</v>
      </c>
      <c r="P121" s="12" t="s">
        <v>301</v>
      </c>
      <c r="Q121" s="7" t="str">
        <f t="shared" si="4"/>
        <v>(1959,25,'1959.06.20',9,18,29,56,80,0),</v>
      </c>
      <c r="R121" s="7" t="str">
        <f t="shared" si="6"/>
        <v>(1959,25,'1959.06.20',9,18,29,56,80),</v>
      </c>
    </row>
    <row r="122" spans="1:18" x14ac:dyDescent="0.25">
      <c r="A122" s="7" t="s">
        <v>5871</v>
      </c>
      <c r="B122" s="8" t="s">
        <v>74</v>
      </c>
      <c r="C122" s="10">
        <f t="shared" si="5"/>
        <v>21728</v>
      </c>
      <c r="D122" t="s">
        <v>11</v>
      </c>
      <c r="E122" t="s">
        <v>12</v>
      </c>
      <c r="F122" t="s">
        <v>11</v>
      </c>
      <c r="G122" t="s">
        <v>12</v>
      </c>
      <c r="H122" t="s">
        <v>11</v>
      </c>
      <c r="I122" t="s">
        <v>12</v>
      </c>
      <c r="J122" t="s">
        <v>11</v>
      </c>
      <c r="K122" t="s">
        <v>12</v>
      </c>
      <c r="L122" s="12" t="s">
        <v>46</v>
      </c>
      <c r="M122" s="12" t="s">
        <v>91</v>
      </c>
      <c r="N122" s="12" t="s">
        <v>56</v>
      </c>
      <c r="O122" s="12" t="s">
        <v>143</v>
      </c>
      <c r="P122" s="12" t="s">
        <v>468</v>
      </c>
      <c r="Q122" s="7" t="str">
        <f t="shared" si="4"/>
        <v>(1959,26,'1959.06.27',37,61,71,77,85,0),</v>
      </c>
      <c r="R122" s="7" t="str">
        <f t="shared" si="6"/>
        <v>(1959,26,'1959.06.27',37,61,71,77,85),</v>
      </c>
    </row>
    <row r="123" spans="1:18" x14ac:dyDescent="0.25">
      <c r="A123" s="7" t="s">
        <v>5871</v>
      </c>
      <c r="B123" s="8" t="s">
        <v>135</v>
      </c>
      <c r="C123" s="10">
        <f t="shared" si="5"/>
        <v>21735</v>
      </c>
      <c r="D123" t="s">
        <v>11</v>
      </c>
      <c r="E123" t="s">
        <v>12</v>
      </c>
      <c r="F123" t="s">
        <v>11</v>
      </c>
      <c r="G123" t="s">
        <v>12</v>
      </c>
      <c r="H123" t="s">
        <v>11</v>
      </c>
      <c r="I123" t="s">
        <v>12</v>
      </c>
      <c r="J123" t="s">
        <v>11</v>
      </c>
      <c r="K123" t="s">
        <v>12</v>
      </c>
      <c r="L123" s="12" t="s">
        <v>62</v>
      </c>
      <c r="M123" s="12" t="s">
        <v>55</v>
      </c>
      <c r="N123" s="12" t="s">
        <v>80</v>
      </c>
      <c r="O123" s="12" t="s">
        <v>175</v>
      </c>
      <c r="P123" s="12" t="s">
        <v>92</v>
      </c>
      <c r="Q123" s="7" t="str">
        <f t="shared" si="4"/>
        <v>(1959,27,'1959.07.04',10,19,32,55,68,0),</v>
      </c>
      <c r="R123" s="7" t="str">
        <f t="shared" si="6"/>
        <v>(1959,27,'1959.07.04',10,19,32,55,68),</v>
      </c>
    </row>
    <row r="124" spans="1:18" x14ac:dyDescent="0.25">
      <c r="A124" s="7" t="s">
        <v>5871</v>
      </c>
      <c r="B124" s="8" t="s">
        <v>126</v>
      </c>
      <c r="C124" s="10">
        <f t="shared" si="5"/>
        <v>21742</v>
      </c>
      <c r="D124" t="s">
        <v>11</v>
      </c>
      <c r="E124" t="s">
        <v>12</v>
      </c>
      <c r="F124" t="s">
        <v>11</v>
      </c>
      <c r="G124" t="s">
        <v>12</v>
      </c>
      <c r="H124" t="s">
        <v>11</v>
      </c>
      <c r="I124" t="s">
        <v>12</v>
      </c>
      <c r="J124" t="s">
        <v>11</v>
      </c>
      <c r="K124" t="s">
        <v>12</v>
      </c>
      <c r="L124" s="12" t="s">
        <v>83</v>
      </c>
      <c r="M124" s="12" t="s">
        <v>90</v>
      </c>
      <c r="N124" s="12" t="s">
        <v>35</v>
      </c>
      <c r="O124" s="12" t="s">
        <v>47</v>
      </c>
      <c r="P124" s="12" t="s">
        <v>106</v>
      </c>
      <c r="Q124" s="7" t="str">
        <f t="shared" si="4"/>
        <v>(1959,28,'1959.07.11',11,17,65,69,75,0),</v>
      </c>
      <c r="R124" s="7" t="str">
        <f t="shared" si="6"/>
        <v>(1959,28,'1959.07.11',11,17,65,69,75),</v>
      </c>
    </row>
    <row r="125" spans="1:18" x14ac:dyDescent="0.25">
      <c r="A125" s="7" t="s">
        <v>5871</v>
      </c>
      <c r="B125" s="8" t="s">
        <v>116</v>
      </c>
      <c r="C125" s="10">
        <f t="shared" si="5"/>
        <v>21749</v>
      </c>
      <c r="D125" t="s">
        <v>11</v>
      </c>
      <c r="E125" t="s">
        <v>12</v>
      </c>
      <c r="F125" t="s">
        <v>11</v>
      </c>
      <c r="G125" t="s">
        <v>12</v>
      </c>
      <c r="H125" t="s">
        <v>11</v>
      </c>
      <c r="I125" t="s">
        <v>12</v>
      </c>
      <c r="J125" t="s">
        <v>11</v>
      </c>
      <c r="K125" t="s">
        <v>12</v>
      </c>
      <c r="L125" s="12" t="s">
        <v>207</v>
      </c>
      <c r="M125" s="12" t="s">
        <v>55</v>
      </c>
      <c r="N125" s="12" t="s">
        <v>116</v>
      </c>
      <c r="O125" s="12" t="s">
        <v>246</v>
      </c>
      <c r="P125" s="12" t="s">
        <v>186</v>
      </c>
      <c r="Q125" s="7" t="str">
        <f t="shared" si="4"/>
        <v>(1959,29,'1959.07.18',2,19,29,84,90,0),</v>
      </c>
      <c r="R125" s="7" t="str">
        <f t="shared" si="6"/>
        <v>(1959,29,'1959.07.18',2,19,29,84,90),</v>
      </c>
    </row>
    <row r="126" spans="1:18" x14ac:dyDescent="0.25">
      <c r="A126" s="7" t="s">
        <v>5871</v>
      </c>
      <c r="B126" s="8" t="s">
        <v>107</v>
      </c>
      <c r="C126" s="10">
        <f t="shared" si="5"/>
        <v>21756</v>
      </c>
      <c r="D126" t="s">
        <v>11</v>
      </c>
      <c r="E126" t="s">
        <v>12</v>
      </c>
      <c r="F126" t="s">
        <v>11</v>
      </c>
      <c r="G126" t="s">
        <v>12</v>
      </c>
      <c r="H126" t="s">
        <v>11</v>
      </c>
      <c r="I126" t="s">
        <v>12</v>
      </c>
      <c r="J126" t="s">
        <v>11</v>
      </c>
      <c r="K126" t="s">
        <v>12</v>
      </c>
      <c r="L126" s="12" t="s">
        <v>65</v>
      </c>
      <c r="M126" s="12" t="s">
        <v>74</v>
      </c>
      <c r="N126" s="12" t="s">
        <v>133</v>
      </c>
      <c r="O126" s="12" t="s">
        <v>143</v>
      </c>
      <c r="P126" s="12" t="s">
        <v>308</v>
      </c>
      <c r="Q126" s="7" t="str">
        <f t="shared" si="4"/>
        <v>(1959,30,'1959.07.25',13,26,45,77,86,0),</v>
      </c>
      <c r="R126" s="7" t="str">
        <f t="shared" si="6"/>
        <v>(1959,30,'1959.07.25',13,26,45,77,86),</v>
      </c>
    </row>
    <row r="127" spans="1:18" x14ac:dyDescent="0.25">
      <c r="A127" s="7" t="s">
        <v>5871</v>
      </c>
      <c r="B127" s="8" t="s">
        <v>71</v>
      </c>
      <c r="C127" s="10">
        <f t="shared" si="5"/>
        <v>21763</v>
      </c>
      <c r="D127" t="s">
        <v>11</v>
      </c>
      <c r="E127" t="s">
        <v>12</v>
      </c>
      <c r="F127" t="s">
        <v>11</v>
      </c>
      <c r="G127" t="s">
        <v>12</v>
      </c>
      <c r="H127" t="s">
        <v>11</v>
      </c>
      <c r="I127" t="s">
        <v>12</v>
      </c>
      <c r="J127" t="s">
        <v>11</v>
      </c>
      <c r="K127" t="s">
        <v>12</v>
      </c>
      <c r="L127" s="12" t="s">
        <v>90</v>
      </c>
      <c r="M127" s="12" t="s">
        <v>126</v>
      </c>
      <c r="N127" s="12" t="s">
        <v>22</v>
      </c>
      <c r="O127" s="12" t="s">
        <v>123</v>
      </c>
      <c r="P127" s="12" t="s">
        <v>215</v>
      </c>
      <c r="Q127" s="7" t="str">
        <f t="shared" si="4"/>
        <v>(1959,31,'1959.08.01',17,28,48,54,81,0),</v>
      </c>
      <c r="R127" s="7" t="str">
        <f t="shared" si="6"/>
        <v>(1959,31,'1959.08.01',17,28,48,54,81),</v>
      </c>
    </row>
    <row r="128" spans="1:18" x14ac:dyDescent="0.25">
      <c r="A128" s="7" t="s">
        <v>5871</v>
      </c>
      <c r="B128" s="8" t="s">
        <v>80</v>
      </c>
      <c r="C128" s="10">
        <f t="shared" si="5"/>
        <v>21770</v>
      </c>
      <c r="D128" t="s">
        <v>11</v>
      </c>
      <c r="E128" t="s">
        <v>12</v>
      </c>
      <c r="F128" t="s">
        <v>11</v>
      </c>
      <c r="G128" t="s">
        <v>12</v>
      </c>
      <c r="H128" t="s">
        <v>11</v>
      </c>
      <c r="I128" t="s">
        <v>12</v>
      </c>
      <c r="J128" t="s">
        <v>11</v>
      </c>
      <c r="K128" t="s">
        <v>12</v>
      </c>
      <c r="L128" s="12" t="s">
        <v>89</v>
      </c>
      <c r="M128" s="12" t="s">
        <v>55</v>
      </c>
      <c r="N128" s="12" t="s">
        <v>105</v>
      </c>
      <c r="O128" s="12" t="s">
        <v>124</v>
      </c>
      <c r="P128" s="12" t="s">
        <v>106</v>
      </c>
      <c r="Q128" s="7" t="str">
        <f t="shared" si="4"/>
        <v>(1959,32,'1959.08.08',5,19,50,62,75,0),</v>
      </c>
      <c r="R128" s="7" t="str">
        <f t="shared" si="6"/>
        <v>(1959,32,'1959.08.08',5,19,50,62,75),</v>
      </c>
    </row>
    <row r="129" spans="1:18" x14ac:dyDescent="0.25">
      <c r="A129" s="7" t="s">
        <v>5871</v>
      </c>
      <c r="B129" s="8" t="s">
        <v>20</v>
      </c>
      <c r="C129" s="10">
        <f t="shared" si="5"/>
        <v>21777</v>
      </c>
      <c r="D129" t="s">
        <v>11</v>
      </c>
      <c r="E129" t="s">
        <v>12</v>
      </c>
      <c r="F129" t="s">
        <v>11</v>
      </c>
      <c r="G129" t="s">
        <v>12</v>
      </c>
      <c r="H129" t="s">
        <v>11</v>
      </c>
      <c r="I129" t="s">
        <v>12</v>
      </c>
      <c r="J129" t="s">
        <v>11</v>
      </c>
      <c r="K129" t="s">
        <v>12</v>
      </c>
      <c r="L129" s="12" t="s">
        <v>108</v>
      </c>
      <c r="M129" s="12" t="s">
        <v>199</v>
      </c>
      <c r="N129" s="12" t="s">
        <v>92</v>
      </c>
      <c r="O129" s="12" t="s">
        <v>239</v>
      </c>
      <c r="P129" s="12" t="s">
        <v>63</v>
      </c>
      <c r="Q129" s="7" t="str">
        <f t="shared" si="4"/>
        <v>(1959,33,'1959.08.15',1,53,68,73,78,0),</v>
      </c>
      <c r="R129" s="7" t="str">
        <f t="shared" si="6"/>
        <v>(1959,33,'1959.08.15',1,53,68,73,78),</v>
      </c>
    </row>
    <row r="130" spans="1:18" x14ac:dyDescent="0.25">
      <c r="A130" s="7" t="s">
        <v>5871</v>
      </c>
      <c r="B130" s="8" t="s">
        <v>25</v>
      </c>
      <c r="C130" s="10">
        <f t="shared" si="5"/>
        <v>21784</v>
      </c>
      <c r="D130" t="s">
        <v>11</v>
      </c>
      <c r="E130" t="s">
        <v>12</v>
      </c>
      <c r="F130" t="s">
        <v>11</v>
      </c>
      <c r="G130" t="s">
        <v>12</v>
      </c>
      <c r="H130" t="s">
        <v>11</v>
      </c>
      <c r="I130" t="s">
        <v>12</v>
      </c>
      <c r="J130" t="s">
        <v>11</v>
      </c>
      <c r="K130" t="s">
        <v>12</v>
      </c>
      <c r="L130" s="12" t="s">
        <v>21</v>
      </c>
      <c r="M130" s="12" t="s">
        <v>192</v>
      </c>
      <c r="N130" s="12" t="s">
        <v>34</v>
      </c>
      <c r="O130" s="12" t="s">
        <v>92</v>
      </c>
      <c r="P130" s="12" t="s">
        <v>245</v>
      </c>
      <c r="Q130" s="7" t="str">
        <f t="shared" ref="Q130:Q193" si="7">"("&amp;A130&amp;","&amp;B130&amp;",'"&amp;TEXT(C130,"éééé.hh.nn")&amp;"',"&amp;L130&amp;","&amp;M130&amp;","&amp;N130&amp;","&amp;O130&amp;","&amp;P130&amp;",0)"&amp;IF(P131&lt;&gt;0,",","")</f>
        <v>(1959,34,'1959.08.22',36,46,49,68,74,0),</v>
      </c>
      <c r="R130" s="7" t="str">
        <f t="shared" si="6"/>
        <v>(1959,34,'1959.08.22',36,46,49,68,74),</v>
      </c>
    </row>
    <row r="131" spans="1:18" x14ac:dyDescent="0.25">
      <c r="A131" s="7" t="s">
        <v>5871</v>
      </c>
      <c r="B131" s="8" t="s">
        <v>64</v>
      </c>
      <c r="C131" s="10">
        <f t="shared" ref="C131:C194" si="8">+C130+7</f>
        <v>21791</v>
      </c>
      <c r="D131" t="s">
        <v>11</v>
      </c>
      <c r="E131" t="s">
        <v>12</v>
      </c>
      <c r="F131" t="s">
        <v>11</v>
      </c>
      <c r="G131" t="s">
        <v>12</v>
      </c>
      <c r="H131" t="s">
        <v>11</v>
      </c>
      <c r="I131" t="s">
        <v>12</v>
      </c>
      <c r="J131" t="s">
        <v>11</v>
      </c>
      <c r="K131" t="s">
        <v>12</v>
      </c>
      <c r="L131" s="12" t="s">
        <v>62</v>
      </c>
      <c r="M131" s="12" t="s">
        <v>126</v>
      </c>
      <c r="N131" s="12" t="s">
        <v>107</v>
      </c>
      <c r="O131" s="12" t="s">
        <v>82</v>
      </c>
      <c r="P131" s="12" t="s">
        <v>125</v>
      </c>
      <c r="Q131" s="7" t="str">
        <f t="shared" si="7"/>
        <v>(1959,35,'1959.08.29',10,28,30,59,83,0),</v>
      </c>
      <c r="R131" s="7" t="str">
        <f t="shared" ref="R131:R194" si="9">IF(TRIM(P131)="","","("&amp;A131&amp;","&amp;B131&amp;",'"&amp;TEXT(C131,"éééé.hh.nn")&amp;"',"&amp;L131&amp;","&amp;M131&amp;","&amp;N131&amp;","&amp;O131&amp;","&amp;P131&amp;")"&amp;IF(P132=0,";",","))</f>
        <v>(1959,35,'1959.08.29',10,28,30,59,83),</v>
      </c>
    </row>
    <row r="132" spans="1:18" x14ac:dyDescent="0.25">
      <c r="A132" s="7" t="s">
        <v>5871</v>
      </c>
      <c r="B132" s="8" t="s">
        <v>21</v>
      </c>
      <c r="C132" s="10">
        <f t="shared" si="8"/>
        <v>21798</v>
      </c>
      <c r="D132" t="s">
        <v>11</v>
      </c>
      <c r="E132" t="s">
        <v>12</v>
      </c>
      <c r="F132" t="s">
        <v>11</v>
      </c>
      <c r="G132" t="s">
        <v>12</v>
      </c>
      <c r="H132" t="s">
        <v>11</v>
      </c>
      <c r="I132" t="s">
        <v>12</v>
      </c>
      <c r="J132" t="s">
        <v>11</v>
      </c>
      <c r="K132" t="s">
        <v>12</v>
      </c>
      <c r="L132" s="12" t="s">
        <v>65</v>
      </c>
      <c r="M132" s="12" t="s">
        <v>34</v>
      </c>
      <c r="N132" s="12" t="s">
        <v>99</v>
      </c>
      <c r="O132" s="12" t="s">
        <v>233</v>
      </c>
      <c r="P132" s="12" t="s">
        <v>72</v>
      </c>
      <c r="Q132" s="7" t="str">
        <f t="shared" si="7"/>
        <v>(1959,36,'1959.09.05',13,49,52,66,67,0),</v>
      </c>
      <c r="R132" s="7" t="str">
        <f t="shared" si="9"/>
        <v>(1959,36,'1959.09.05',13,49,52,66,67),</v>
      </c>
    </row>
    <row r="133" spans="1:18" x14ac:dyDescent="0.25">
      <c r="A133" s="7" t="s">
        <v>5871</v>
      </c>
      <c r="B133" s="8" t="s">
        <v>46</v>
      </c>
      <c r="C133" s="10">
        <f t="shared" si="8"/>
        <v>21805</v>
      </c>
      <c r="D133" t="s">
        <v>11</v>
      </c>
      <c r="E133" t="s">
        <v>12</v>
      </c>
      <c r="F133" t="s">
        <v>11</v>
      </c>
      <c r="G133" t="s">
        <v>12</v>
      </c>
      <c r="H133" t="s">
        <v>11</v>
      </c>
      <c r="I133" t="s">
        <v>12</v>
      </c>
      <c r="J133" t="s">
        <v>11</v>
      </c>
      <c r="K133" t="s">
        <v>12</v>
      </c>
      <c r="L133" s="12" t="s">
        <v>89</v>
      </c>
      <c r="M133" s="12" t="s">
        <v>152</v>
      </c>
      <c r="N133" s="12" t="s">
        <v>64</v>
      </c>
      <c r="O133" s="12" t="s">
        <v>21</v>
      </c>
      <c r="P133" s="12" t="s">
        <v>150</v>
      </c>
      <c r="Q133" s="7" t="str">
        <f t="shared" si="7"/>
        <v>(1959,37,'1959.09.12',5,25,35,36,57,0),</v>
      </c>
      <c r="R133" s="7" t="str">
        <f t="shared" si="9"/>
        <v>(1959,37,'1959.09.12',5,25,35,36,57),</v>
      </c>
    </row>
    <row r="134" spans="1:18" x14ac:dyDescent="0.25">
      <c r="A134" s="7" t="s">
        <v>5871</v>
      </c>
      <c r="B134" s="8" t="s">
        <v>36</v>
      </c>
      <c r="C134" s="10">
        <f t="shared" si="8"/>
        <v>21812</v>
      </c>
      <c r="D134" t="s">
        <v>11</v>
      </c>
      <c r="E134" t="s">
        <v>12</v>
      </c>
      <c r="F134" t="s">
        <v>11</v>
      </c>
      <c r="G134" t="s">
        <v>12</v>
      </c>
      <c r="H134" t="s">
        <v>11</v>
      </c>
      <c r="I134" t="s">
        <v>12</v>
      </c>
      <c r="J134" t="s">
        <v>11</v>
      </c>
      <c r="K134" t="s">
        <v>12</v>
      </c>
      <c r="L134" s="12" t="s">
        <v>108</v>
      </c>
      <c r="M134" s="12" t="s">
        <v>53</v>
      </c>
      <c r="N134" s="12" t="s">
        <v>62</v>
      </c>
      <c r="O134" s="12" t="s">
        <v>64</v>
      </c>
      <c r="P134" s="12" t="s">
        <v>379</v>
      </c>
      <c r="Q134" s="7" t="str">
        <f t="shared" si="7"/>
        <v>(1959,38,'1959.09.19',1,7,10,35,89,0),</v>
      </c>
      <c r="R134" s="7" t="str">
        <f t="shared" si="9"/>
        <v>(1959,38,'1959.09.19',1,7,10,35,89),</v>
      </c>
    </row>
    <row r="135" spans="1:18" x14ac:dyDescent="0.25">
      <c r="A135" s="7" t="s">
        <v>5871</v>
      </c>
      <c r="B135" s="8" t="s">
        <v>24</v>
      </c>
      <c r="C135" s="10">
        <f t="shared" si="8"/>
        <v>21819</v>
      </c>
      <c r="D135" t="s">
        <v>11</v>
      </c>
      <c r="E135" t="s">
        <v>12</v>
      </c>
      <c r="F135" t="s">
        <v>11</v>
      </c>
      <c r="G135" t="s">
        <v>12</v>
      </c>
      <c r="H135" t="s">
        <v>11</v>
      </c>
      <c r="I135" t="s">
        <v>12</v>
      </c>
      <c r="J135" t="s">
        <v>11</v>
      </c>
      <c r="K135" t="s">
        <v>12</v>
      </c>
      <c r="L135" s="12" t="s">
        <v>46</v>
      </c>
      <c r="M135" s="12" t="s">
        <v>169</v>
      </c>
      <c r="N135" s="12" t="s">
        <v>72</v>
      </c>
      <c r="O135" s="12" t="s">
        <v>63</v>
      </c>
      <c r="P135" s="12" t="s">
        <v>468</v>
      </c>
      <c r="Q135" s="7" t="str">
        <f t="shared" si="7"/>
        <v>(1959,39,'1959.09.26',37,58,67,78,85,0),</v>
      </c>
      <c r="R135" s="7" t="str">
        <f t="shared" si="9"/>
        <v>(1959,39,'1959.09.26',37,58,67,78,85),</v>
      </c>
    </row>
    <row r="136" spans="1:18" x14ac:dyDescent="0.25">
      <c r="A136" s="7" t="s">
        <v>5871</v>
      </c>
      <c r="B136" s="8" t="s">
        <v>10</v>
      </c>
      <c r="C136" s="10">
        <f t="shared" si="8"/>
        <v>21826</v>
      </c>
      <c r="D136" t="s">
        <v>11</v>
      </c>
      <c r="E136" t="s">
        <v>12</v>
      </c>
      <c r="F136" t="s">
        <v>11</v>
      </c>
      <c r="G136" t="s">
        <v>12</v>
      </c>
      <c r="H136" t="s">
        <v>11</v>
      </c>
      <c r="I136" t="s">
        <v>12</v>
      </c>
      <c r="J136" t="s">
        <v>11</v>
      </c>
      <c r="K136" t="s">
        <v>12</v>
      </c>
      <c r="L136" s="12" t="s">
        <v>42</v>
      </c>
      <c r="M136" s="12" t="s">
        <v>62</v>
      </c>
      <c r="N136" s="12" t="s">
        <v>82</v>
      </c>
      <c r="O136" s="12" t="s">
        <v>201</v>
      </c>
      <c r="P136" s="12" t="s">
        <v>301</v>
      </c>
      <c r="Q136" s="7" t="str">
        <f t="shared" si="7"/>
        <v>(1959,40,'1959.10.03',3,10,59,72,80,0),</v>
      </c>
      <c r="R136" s="7" t="str">
        <f t="shared" si="9"/>
        <v>(1959,40,'1959.10.03',3,10,59,72,80),</v>
      </c>
    </row>
    <row r="137" spans="1:18" x14ac:dyDescent="0.25">
      <c r="A137" s="7" t="s">
        <v>5871</v>
      </c>
      <c r="B137" s="8" t="s">
        <v>13</v>
      </c>
      <c r="C137" s="10">
        <f t="shared" si="8"/>
        <v>21833</v>
      </c>
      <c r="D137" t="s">
        <v>11</v>
      </c>
      <c r="E137" t="s">
        <v>12</v>
      </c>
      <c r="F137" t="s">
        <v>11</v>
      </c>
      <c r="G137" t="s">
        <v>12</v>
      </c>
      <c r="H137" t="s">
        <v>11</v>
      </c>
      <c r="I137" t="s">
        <v>12</v>
      </c>
      <c r="J137" t="s">
        <v>11</v>
      </c>
      <c r="K137" t="s">
        <v>12</v>
      </c>
      <c r="L137" s="12" t="s">
        <v>168</v>
      </c>
      <c r="M137" s="12" t="s">
        <v>43</v>
      </c>
      <c r="N137" s="12" t="s">
        <v>20</v>
      </c>
      <c r="O137" s="12" t="s">
        <v>34</v>
      </c>
      <c r="P137" s="12" t="s">
        <v>246</v>
      </c>
      <c r="Q137" s="7" t="str">
        <f t="shared" si="7"/>
        <v>(1959,41,'1959.10.10',4,16,33,49,84,0),</v>
      </c>
      <c r="R137" s="7" t="str">
        <f t="shared" si="9"/>
        <v>(1959,41,'1959.10.10',4,16,33,49,84),</v>
      </c>
    </row>
    <row r="138" spans="1:18" x14ac:dyDescent="0.25">
      <c r="A138" s="7" t="s">
        <v>5871</v>
      </c>
      <c r="B138" s="8" t="s">
        <v>98</v>
      </c>
      <c r="C138" s="10">
        <f t="shared" si="8"/>
        <v>21840</v>
      </c>
      <c r="D138" t="s">
        <v>11</v>
      </c>
      <c r="E138" t="s">
        <v>12</v>
      </c>
      <c r="F138" t="s">
        <v>11</v>
      </c>
      <c r="G138" t="s">
        <v>12</v>
      </c>
      <c r="H138" t="s">
        <v>11</v>
      </c>
      <c r="I138" t="s">
        <v>12</v>
      </c>
      <c r="J138" t="s">
        <v>11</v>
      </c>
      <c r="K138" t="s">
        <v>12</v>
      </c>
      <c r="L138" s="12" t="s">
        <v>108</v>
      </c>
      <c r="M138" s="12" t="s">
        <v>198</v>
      </c>
      <c r="N138" s="12" t="s">
        <v>46</v>
      </c>
      <c r="O138" s="12" t="s">
        <v>123</v>
      </c>
      <c r="P138" s="12" t="s">
        <v>150</v>
      </c>
      <c r="Q138" s="7" t="str">
        <f t="shared" si="7"/>
        <v>(1959,42,'1959.10.17',1,9,37,54,57,0),</v>
      </c>
      <c r="R138" s="7" t="str">
        <f t="shared" si="9"/>
        <v>(1959,42,'1959.10.17',1,9,37,54,57),</v>
      </c>
    </row>
    <row r="139" spans="1:18" x14ac:dyDescent="0.25">
      <c r="A139" s="7" t="s">
        <v>5871</v>
      </c>
      <c r="B139" s="8" t="s">
        <v>45</v>
      </c>
      <c r="C139" s="10">
        <f t="shared" si="8"/>
        <v>21847</v>
      </c>
      <c r="D139" t="s">
        <v>11</v>
      </c>
      <c r="E139" t="s">
        <v>12</v>
      </c>
      <c r="F139" t="s">
        <v>11</v>
      </c>
      <c r="G139" t="s">
        <v>12</v>
      </c>
      <c r="H139" t="s">
        <v>11</v>
      </c>
      <c r="I139" t="s">
        <v>12</v>
      </c>
      <c r="J139" t="s">
        <v>11</v>
      </c>
      <c r="K139" t="s">
        <v>12</v>
      </c>
      <c r="L139" s="12" t="s">
        <v>42</v>
      </c>
      <c r="M139" s="12" t="s">
        <v>62</v>
      </c>
      <c r="N139" s="12" t="s">
        <v>115</v>
      </c>
      <c r="O139" s="12" t="s">
        <v>56</v>
      </c>
      <c r="P139" s="12" t="s">
        <v>308</v>
      </c>
      <c r="Q139" s="7" t="str">
        <f t="shared" si="7"/>
        <v>(1959,43,'1959.10.24',3,10,20,71,86,0),</v>
      </c>
      <c r="R139" s="7" t="str">
        <f t="shared" si="9"/>
        <v>(1959,43,'1959.10.24',3,10,20,71,86),</v>
      </c>
    </row>
    <row r="140" spans="1:18" x14ac:dyDescent="0.25">
      <c r="A140" s="7" t="s">
        <v>5871</v>
      </c>
      <c r="B140" s="8" t="s">
        <v>142</v>
      </c>
      <c r="C140" s="10">
        <f t="shared" si="8"/>
        <v>21854</v>
      </c>
      <c r="D140" t="s">
        <v>11</v>
      </c>
      <c r="E140" t="s">
        <v>12</v>
      </c>
      <c r="F140" t="s">
        <v>11</v>
      </c>
      <c r="G140" t="s">
        <v>12</v>
      </c>
      <c r="H140" t="s">
        <v>11</v>
      </c>
      <c r="I140" t="s">
        <v>12</v>
      </c>
      <c r="J140" t="s">
        <v>11</v>
      </c>
      <c r="K140" t="s">
        <v>12</v>
      </c>
      <c r="L140" s="12" t="s">
        <v>43</v>
      </c>
      <c r="M140" s="12" t="s">
        <v>123</v>
      </c>
      <c r="N140" s="12" t="s">
        <v>175</v>
      </c>
      <c r="O140" s="12" t="s">
        <v>248</v>
      </c>
      <c r="P140" s="12" t="s">
        <v>151</v>
      </c>
      <c r="Q140" s="7" t="str">
        <f t="shared" si="7"/>
        <v>(1959,44,'1959.10.31',16,54,55,63,79,0),</v>
      </c>
      <c r="R140" s="7" t="str">
        <f t="shared" si="9"/>
        <v>(1959,44,'1959.10.31',16,54,55,63,79),</v>
      </c>
    </row>
    <row r="141" spans="1:18" x14ac:dyDescent="0.25">
      <c r="A141" s="7" t="s">
        <v>5871</v>
      </c>
      <c r="B141" s="8" t="s">
        <v>133</v>
      </c>
      <c r="C141" s="10">
        <f t="shared" si="8"/>
        <v>21861</v>
      </c>
      <c r="D141" t="s">
        <v>11</v>
      </c>
      <c r="E141" t="s">
        <v>12</v>
      </c>
      <c r="F141" t="s">
        <v>11</v>
      </c>
      <c r="G141" t="s">
        <v>12</v>
      </c>
      <c r="H141" t="s">
        <v>11</v>
      </c>
      <c r="I141" t="s">
        <v>12</v>
      </c>
      <c r="J141" t="s">
        <v>11</v>
      </c>
      <c r="K141" t="s">
        <v>12</v>
      </c>
      <c r="L141" s="12" t="s">
        <v>31</v>
      </c>
      <c r="M141" s="12" t="s">
        <v>54</v>
      </c>
      <c r="N141" s="12" t="s">
        <v>47</v>
      </c>
      <c r="O141" s="12" t="s">
        <v>301</v>
      </c>
      <c r="P141" s="12" t="s">
        <v>246</v>
      </c>
      <c r="Q141" s="7" t="str">
        <f t="shared" si="7"/>
        <v>(1959,45,'1959.11.07',12,15,69,80,84,0),</v>
      </c>
      <c r="R141" s="7" t="str">
        <f t="shared" si="9"/>
        <v>(1959,45,'1959.11.07',12,15,69,80,84),</v>
      </c>
    </row>
    <row r="142" spans="1:18" x14ac:dyDescent="0.25">
      <c r="A142" s="7" t="s">
        <v>5871</v>
      </c>
      <c r="B142" s="8" t="s">
        <v>192</v>
      </c>
      <c r="C142" s="10">
        <f t="shared" si="8"/>
        <v>21868</v>
      </c>
      <c r="D142" t="s">
        <v>11</v>
      </c>
      <c r="E142" t="s">
        <v>12</v>
      </c>
      <c r="F142" t="s">
        <v>11</v>
      </c>
      <c r="G142" t="s">
        <v>12</v>
      </c>
      <c r="H142" t="s">
        <v>11</v>
      </c>
      <c r="I142" t="s">
        <v>12</v>
      </c>
      <c r="J142" t="s">
        <v>11</v>
      </c>
      <c r="K142" t="s">
        <v>12</v>
      </c>
      <c r="L142" s="12" t="s">
        <v>127</v>
      </c>
      <c r="M142" s="12" t="s">
        <v>115</v>
      </c>
      <c r="N142" s="12" t="s">
        <v>116</v>
      </c>
      <c r="O142" s="12" t="s">
        <v>20</v>
      </c>
      <c r="P142" s="12" t="s">
        <v>25</v>
      </c>
      <c r="Q142" s="7" t="str">
        <f t="shared" si="7"/>
        <v>(1959,46,'1959.11.14',14,20,29,33,34,0),</v>
      </c>
      <c r="R142" s="7" t="str">
        <f t="shared" si="9"/>
        <v>(1959,46,'1959.11.14',14,20,29,33,34),</v>
      </c>
    </row>
    <row r="143" spans="1:18" x14ac:dyDescent="0.25">
      <c r="A143" s="7" t="s">
        <v>5871</v>
      </c>
      <c r="B143" s="8" t="s">
        <v>81</v>
      </c>
      <c r="C143" s="10">
        <f t="shared" si="8"/>
        <v>21875</v>
      </c>
      <c r="D143" t="s">
        <v>11</v>
      </c>
      <c r="E143" t="s">
        <v>12</v>
      </c>
      <c r="F143" t="s">
        <v>11</v>
      </c>
      <c r="G143" t="s">
        <v>12</v>
      </c>
      <c r="H143" t="s">
        <v>11</v>
      </c>
      <c r="I143" t="s">
        <v>12</v>
      </c>
      <c r="J143" t="s">
        <v>11</v>
      </c>
      <c r="K143" t="s">
        <v>12</v>
      </c>
      <c r="L143" s="12" t="s">
        <v>65</v>
      </c>
      <c r="M143" s="12" t="s">
        <v>19</v>
      </c>
      <c r="N143" s="12" t="s">
        <v>74</v>
      </c>
      <c r="O143" s="12" t="s">
        <v>25</v>
      </c>
      <c r="P143" s="12" t="s">
        <v>192</v>
      </c>
      <c r="Q143" s="7" t="str">
        <f t="shared" si="7"/>
        <v>(1959,47,'1959.11.21',13,18,26,34,46,0),</v>
      </c>
      <c r="R143" s="7" t="str">
        <f t="shared" si="9"/>
        <v>(1959,47,'1959.11.21',13,18,26,34,46),</v>
      </c>
    </row>
    <row r="144" spans="1:18" x14ac:dyDescent="0.25">
      <c r="A144" s="7" t="s">
        <v>5871</v>
      </c>
      <c r="B144" s="8" t="s">
        <v>22</v>
      </c>
      <c r="C144" s="10">
        <f t="shared" si="8"/>
        <v>21882</v>
      </c>
      <c r="D144" t="s">
        <v>11</v>
      </c>
      <c r="E144" t="s">
        <v>12</v>
      </c>
      <c r="F144" t="s">
        <v>11</v>
      </c>
      <c r="G144" t="s">
        <v>12</v>
      </c>
      <c r="H144" t="s">
        <v>11</v>
      </c>
      <c r="I144" t="s">
        <v>12</v>
      </c>
      <c r="J144" t="s">
        <v>11</v>
      </c>
      <c r="K144" t="s">
        <v>12</v>
      </c>
      <c r="L144" s="12" t="s">
        <v>20</v>
      </c>
      <c r="M144" s="12" t="s">
        <v>25</v>
      </c>
      <c r="N144" s="12" t="s">
        <v>122</v>
      </c>
      <c r="O144" s="12" t="s">
        <v>214</v>
      </c>
      <c r="P144" s="12" t="s">
        <v>56</v>
      </c>
      <c r="Q144" s="7" t="str">
        <f t="shared" si="7"/>
        <v>(1959,48,'1959.11.28',33,34,51,64,71,0),</v>
      </c>
      <c r="R144" s="7" t="str">
        <f t="shared" si="9"/>
        <v>(1959,48,'1959.11.28',33,34,51,64,71),</v>
      </c>
    </row>
    <row r="145" spans="1:18" x14ac:dyDescent="0.25">
      <c r="A145" s="7" t="s">
        <v>5871</v>
      </c>
      <c r="B145" s="8" t="s">
        <v>34</v>
      </c>
      <c r="C145" s="10">
        <f t="shared" si="8"/>
        <v>21889</v>
      </c>
      <c r="D145" t="s">
        <v>11</v>
      </c>
      <c r="E145" t="s">
        <v>12</v>
      </c>
      <c r="F145" t="s">
        <v>11</v>
      </c>
      <c r="G145" t="s">
        <v>12</v>
      </c>
      <c r="H145" t="s">
        <v>11</v>
      </c>
      <c r="I145" t="s">
        <v>12</v>
      </c>
      <c r="J145" t="s">
        <v>11</v>
      </c>
      <c r="K145" t="s">
        <v>12</v>
      </c>
      <c r="L145" s="12" t="s">
        <v>207</v>
      </c>
      <c r="M145" s="12" t="s">
        <v>54</v>
      </c>
      <c r="N145" s="12" t="s">
        <v>19</v>
      </c>
      <c r="O145" s="12" t="s">
        <v>142</v>
      </c>
      <c r="P145" s="12" t="s">
        <v>201</v>
      </c>
      <c r="Q145" s="7" t="str">
        <f t="shared" si="7"/>
        <v>(1959,49,'1959.12.05',2,15,18,44,72,0),</v>
      </c>
      <c r="R145" s="7" t="str">
        <f t="shared" si="9"/>
        <v>(1959,49,'1959.12.05',2,15,18,44,72),</v>
      </c>
    </row>
    <row r="146" spans="1:18" x14ac:dyDescent="0.25">
      <c r="A146" s="7" t="s">
        <v>5871</v>
      </c>
      <c r="B146" s="8" t="s">
        <v>105</v>
      </c>
      <c r="C146" s="10">
        <f t="shared" si="8"/>
        <v>21896</v>
      </c>
      <c r="D146" t="s">
        <v>11</v>
      </c>
      <c r="E146" t="s">
        <v>12</v>
      </c>
      <c r="F146" t="s">
        <v>11</v>
      </c>
      <c r="G146" t="s">
        <v>12</v>
      </c>
      <c r="H146" t="s">
        <v>11</v>
      </c>
      <c r="I146" t="s">
        <v>12</v>
      </c>
      <c r="J146" t="s">
        <v>11</v>
      </c>
      <c r="K146" t="s">
        <v>12</v>
      </c>
      <c r="L146" s="12" t="s">
        <v>89</v>
      </c>
      <c r="M146" s="12" t="s">
        <v>163</v>
      </c>
      <c r="N146" s="12" t="s">
        <v>20</v>
      </c>
      <c r="O146" s="12" t="s">
        <v>25</v>
      </c>
      <c r="P146" s="12" t="s">
        <v>46</v>
      </c>
      <c r="Q146" s="7" t="str">
        <f t="shared" si="7"/>
        <v>(1959,50,'1959.12.12',5,23,33,34,37,0),</v>
      </c>
      <c r="R146" s="7" t="str">
        <f t="shared" si="9"/>
        <v>(1959,50,'1959.12.12',5,23,33,34,37),</v>
      </c>
    </row>
    <row r="147" spans="1:18" x14ac:dyDescent="0.25">
      <c r="A147" s="7" t="s">
        <v>5871</v>
      </c>
      <c r="B147" s="8" t="s">
        <v>122</v>
      </c>
      <c r="C147" s="10">
        <f t="shared" si="8"/>
        <v>21903</v>
      </c>
      <c r="D147" t="s">
        <v>11</v>
      </c>
      <c r="E147" t="s">
        <v>12</v>
      </c>
      <c r="F147" t="s">
        <v>11</v>
      </c>
      <c r="G147" t="s">
        <v>12</v>
      </c>
      <c r="H147" t="s">
        <v>11</v>
      </c>
      <c r="I147" t="s">
        <v>12</v>
      </c>
      <c r="J147" t="s">
        <v>11</v>
      </c>
      <c r="K147" t="s">
        <v>12</v>
      </c>
      <c r="L147" s="12" t="s">
        <v>270</v>
      </c>
      <c r="M147" s="12" t="s">
        <v>115</v>
      </c>
      <c r="N147" s="12" t="s">
        <v>163</v>
      </c>
      <c r="O147" s="12" t="s">
        <v>123</v>
      </c>
      <c r="P147" s="12" t="s">
        <v>186</v>
      </c>
      <c r="Q147" s="7" t="str">
        <f t="shared" si="7"/>
        <v>(1959,51,'1959.12.19',6,20,23,54,90,0),</v>
      </c>
      <c r="R147" s="7" t="str">
        <f t="shared" si="9"/>
        <v>(1959,51,'1959.12.19',6,20,23,54,90),</v>
      </c>
    </row>
    <row r="148" spans="1:18" x14ac:dyDescent="0.25">
      <c r="A148" s="7" t="s">
        <v>5871</v>
      </c>
      <c r="B148" s="8" t="s">
        <v>99</v>
      </c>
      <c r="C148" s="10">
        <f t="shared" si="8"/>
        <v>21910</v>
      </c>
      <c r="D148" t="s">
        <v>11</v>
      </c>
      <c r="E148" t="s">
        <v>12</v>
      </c>
      <c r="F148" t="s">
        <v>11</v>
      </c>
      <c r="G148" t="s">
        <v>12</v>
      </c>
      <c r="H148" t="s">
        <v>11</v>
      </c>
      <c r="I148" t="s">
        <v>12</v>
      </c>
      <c r="J148" t="s">
        <v>11</v>
      </c>
      <c r="K148" t="s">
        <v>12</v>
      </c>
      <c r="L148" s="12" t="s">
        <v>108</v>
      </c>
      <c r="M148" s="12" t="s">
        <v>207</v>
      </c>
      <c r="N148" s="12" t="s">
        <v>81</v>
      </c>
      <c r="O148" s="12" t="s">
        <v>199</v>
      </c>
      <c r="P148" s="12" t="s">
        <v>134</v>
      </c>
      <c r="Q148" s="7" t="str">
        <f t="shared" si="7"/>
        <v>(1959,52,'1959.12.26',1,2,47,53,56,0),</v>
      </c>
      <c r="R148" s="7" t="str">
        <f t="shared" si="9"/>
        <v>(1959,52,'1959.12.26',1,2,47,53,56),</v>
      </c>
    </row>
    <row r="149" spans="1:18" x14ac:dyDescent="0.25">
      <c r="A149" s="7" t="s">
        <v>5870</v>
      </c>
      <c r="B149" s="8" t="s">
        <v>108</v>
      </c>
      <c r="C149" s="10">
        <f t="shared" si="8"/>
        <v>21917</v>
      </c>
      <c r="D149" t="s">
        <v>11</v>
      </c>
      <c r="E149" t="s">
        <v>12</v>
      </c>
      <c r="F149" t="s">
        <v>11</v>
      </c>
      <c r="G149" t="s">
        <v>12</v>
      </c>
      <c r="H149" t="s">
        <v>11</v>
      </c>
      <c r="I149" t="s">
        <v>12</v>
      </c>
      <c r="J149" t="s">
        <v>11</v>
      </c>
      <c r="K149" t="s">
        <v>12</v>
      </c>
      <c r="L149" s="12" t="s">
        <v>108</v>
      </c>
      <c r="M149" s="12" t="s">
        <v>270</v>
      </c>
      <c r="N149" s="12" t="s">
        <v>135</v>
      </c>
      <c r="O149" s="12" t="s">
        <v>34</v>
      </c>
      <c r="P149" s="12" t="s">
        <v>92</v>
      </c>
      <c r="Q149" s="7" t="str">
        <f t="shared" si="7"/>
        <v>(1960,1,'1960.01.02',1,6,27,49,68,0),</v>
      </c>
      <c r="R149" s="7" t="str">
        <f t="shared" si="9"/>
        <v>(1960,1,'1960.01.02',1,6,27,49,68),</v>
      </c>
    </row>
    <row r="150" spans="1:18" x14ac:dyDescent="0.25">
      <c r="A150" s="7" t="s">
        <v>5870</v>
      </c>
      <c r="B150" s="8" t="s">
        <v>207</v>
      </c>
      <c r="C150" s="10">
        <f t="shared" si="8"/>
        <v>21924</v>
      </c>
      <c r="D150" t="s">
        <v>11</v>
      </c>
      <c r="E150" t="s">
        <v>12</v>
      </c>
      <c r="F150" t="s">
        <v>11</v>
      </c>
      <c r="G150" t="s">
        <v>12</v>
      </c>
      <c r="H150" t="s">
        <v>11</v>
      </c>
      <c r="I150" t="s">
        <v>12</v>
      </c>
      <c r="J150" t="s">
        <v>11</v>
      </c>
      <c r="K150" t="s">
        <v>12</v>
      </c>
      <c r="L150" s="12" t="s">
        <v>31</v>
      </c>
      <c r="M150" s="12" t="s">
        <v>116</v>
      </c>
      <c r="N150" s="12" t="s">
        <v>46</v>
      </c>
      <c r="O150" s="12" t="s">
        <v>10</v>
      </c>
      <c r="P150" s="12" t="s">
        <v>13</v>
      </c>
      <c r="Q150" s="7" t="str">
        <f t="shared" si="7"/>
        <v>(1960,2,'1960.01.09',12,29,37,40,41,0),</v>
      </c>
      <c r="R150" s="7" t="str">
        <f t="shared" si="9"/>
        <v>(1960,2,'1960.01.09',12,29,37,40,41),</v>
      </c>
    </row>
    <row r="151" spans="1:18" x14ac:dyDescent="0.25">
      <c r="A151" s="7" t="s">
        <v>5870</v>
      </c>
      <c r="B151" s="8" t="s">
        <v>42</v>
      </c>
      <c r="C151" s="10">
        <f t="shared" si="8"/>
        <v>21931</v>
      </c>
      <c r="D151" t="s">
        <v>11</v>
      </c>
      <c r="E151" t="s">
        <v>12</v>
      </c>
      <c r="F151" t="s">
        <v>11</v>
      </c>
      <c r="G151" t="s">
        <v>12</v>
      </c>
      <c r="H151" t="s">
        <v>11</v>
      </c>
      <c r="I151" t="s">
        <v>12</v>
      </c>
      <c r="J151" t="s">
        <v>11</v>
      </c>
      <c r="K151" t="s">
        <v>12</v>
      </c>
      <c r="L151" s="12" t="s">
        <v>44</v>
      </c>
      <c r="M151" s="12" t="s">
        <v>98</v>
      </c>
      <c r="N151" s="12" t="s">
        <v>56</v>
      </c>
      <c r="O151" s="12" t="s">
        <v>106</v>
      </c>
      <c r="P151" s="12" t="s">
        <v>125</v>
      </c>
      <c r="Q151" s="7" t="str">
        <f t="shared" si="7"/>
        <v>(1960,3,'1960.01.16',21,42,71,75,83,0),</v>
      </c>
      <c r="R151" s="7" t="str">
        <f t="shared" si="9"/>
        <v>(1960,3,'1960.01.16',21,42,71,75,83),</v>
      </c>
    </row>
    <row r="152" spans="1:18" x14ac:dyDescent="0.25">
      <c r="A152" s="7" t="s">
        <v>5870</v>
      </c>
      <c r="B152" s="8" t="s">
        <v>168</v>
      </c>
      <c r="C152" s="10">
        <f t="shared" si="8"/>
        <v>21938</v>
      </c>
      <c r="D152" t="s">
        <v>11</v>
      </c>
      <c r="E152" t="s">
        <v>12</v>
      </c>
      <c r="F152" t="s">
        <v>11</v>
      </c>
      <c r="G152" t="s">
        <v>12</v>
      </c>
      <c r="H152" t="s">
        <v>11</v>
      </c>
      <c r="I152" t="s">
        <v>12</v>
      </c>
      <c r="J152" t="s">
        <v>11</v>
      </c>
      <c r="K152" t="s">
        <v>12</v>
      </c>
      <c r="L152" s="12" t="s">
        <v>270</v>
      </c>
      <c r="M152" s="12" t="s">
        <v>152</v>
      </c>
      <c r="N152" s="12" t="s">
        <v>107</v>
      </c>
      <c r="O152" s="12" t="s">
        <v>80</v>
      </c>
      <c r="P152" s="12" t="s">
        <v>22</v>
      </c>
      <c r="Q152" s="7" t="str">
        <f t="shared" si="7"/>
        <v>(1960,4,'1960.01.23',6,25,30,32,48,0),</v>
      </c>
      <c r="R152" s="7" t="str">
        <f t="shared" si="9"/>
        <v>(1960,4,'1960.01.23',6,25,30,32,48),</v>
      </c>
    </row>
    <row r="153" spans="1:18" x14ac:dyDescent="0.25">
      <c r="A153" s="7" t="s">
        <v>5870</v>
      </c>
      <c r="B153" s="8" t="s">
        <v>89</v>
      </c>
      <c r="C153" s="10">
        <f t="shared" si="8"/>
        <v>21945</v>
      </c>
      <c r="D153" t="s">
        <v>11</v>
      </c>
      <c r="E153" t="s">
        <v>12</v>
      </c>
      <c r="F153" t="s">
        <v>11</v>
      </c>
      <c r="G153" t="s">
        <v>12</v>
      </c>
      <c r="H153" t="s">
        <v>11</v>
      </c>
      <c r="I153" t="s">
        <v>12</v>
      </c>
      <c r="J153" t="s">
        <v>11</v>
      </c>
      <c r="K153" t="s">
        <v>12</v>
      </c>
      <c r="L153" s="12" t="s">
        <v>42</v>
      </c>
      <c r="M153" s="12" t="s">
        <v>83</v>
      </c>
      <c r="N153" s="12" t="s">
        <v>135</v>
      </c>
      <c r="O153" s="12" t="s">
        <v>24</v>
      </c>
      <c r="P153" s="12" t="s">
        <v>622</v>
      </c>
      <c r="Q153" s="7" t="str">
        <f t="shared" si="7"/>
        <v>(1960,5,'1960.01.30',3,11,27,39,82,0),</v>
      </c>
      <c r="R153" s="7" t="str">
        <f t="shared" si="9"/>
        <v>(1960,5,'1960.01.30',3,11,27,39,82),</v>
      </c>
    </row>
    <row r="154" spans="1:18" x14ac:dyDescent="0.25">
      <c r="A154" s="7" t="s">
        <v>5870</v>
      </c>
      <c r="B154" s="8" t="s">
        <v>270</v>
      </c>
      <c r="C154" s="10">
        <f t="shared" si="8"/>
        <v>21952</v>
      </c>
      <c r="D154" t="s">
        <v>11</v>
      </c>
      <c r="E154" t="s">
        <v>12</v>
      </c>
      <c r="F154" t="s">
        <v>11</v>
      </c>
      <c r="G154" t="s">
        <v>12</v>
      </c>
      <c r="H154" t="s">
        <v>11</v>
      </c>
      <c r="I154" t="s">
        <v>12</v>
      </c>
      <c r="J154" t="s">
        <v>11</v>
      </c>
      <c r="K154" t="s">
        <v>12</v>
      </c>
      <c r="L154" s="12" t="s">
        <v>42</v>
      </c>
      <c r="M154" s="12" t="s">
        <v>46</v>
      </c>
      <c r="N154" s="12" t="s">
        <v>91</v>
      </c>
      <c r="O154" s="12" t="s">
        <v>200</v>
      </c>
      <c r="P154" s="12" t="s">
        <v>245</v>
      </c>
      <c r="Q154" s="7" t="str">
        <f t="shared" si="7"/>
        <v>(1960,6,'1960.02.06',3,37,61,70,74,0),</v>
      </c>
      <c r="R154" s="7" t="str">
        <f t="shared" si="9"/>
        <v>(1960,6,'1960.02.06',3,37,61,70,74),</v>
      </c>
    </row>
    <row r="155" spans="1:18" x14ac:dyDescent="0.25">
      <c r="A155" s="7" t="s">
        <v>5870</v>
      </c>
      <c r="B155" s="8" t="s">
        <v>53</v>
      </c>
      <c r="C155" s="10">
        <f t="shared" si="8"/>
        <v>21959</v>
      </c>
      <c r="D155" t="s">
        <v>11</v>
      </c>
      <c r="E155" t="s">
        <v>12</v>
      </c>
      <c r="F155" t="s">
        <v>11</v>
      </c>
      <c r="G155" t="s">
        <v>12</v>
      </c>
      <c r="H155" t="s">
        <v>11</v>
      </c>
      <c r="I155" t="s">
        <v>12</v>
      </c>
      <c r="J155" t="s">
        <v>11</v>
      </c>
      <c r="K155" t="s">
        <v>12</v>
      </c>
      <c r="L155" s="12" t="s">
        <v>65</v>
      </c>
      <c r="M155" s="12" t="s">
        <v>127</v>
      </c>
      <c r="N155" s="12" t="s">
        <v>163</v>
      </c>
      <c r="O155" s="12" t="s">
        <v>152</v>
      </c>
      <c r="P155" s="12" t="s">
        <v>24</v>
      </c>
      <c r="Q155" s="7" t="str">
        <f t="shared" si="7"/>
        <v>(1960,7,'1960.02.13',13,14,23,25,39,0),</v>
      </c>
      <c r="R155" s="7" t="str">
        <f t="shared" si="9"/>
        <v>(1960,7,'1960.02.13',13,14,23,25,39),</v>
      </c>
    </row>
    <row r="156" spans="1:18" x14ac:dyDescent="0.25">
      <c r="A156" s="7" t="s">
        <v>5870</v>
      </c>
      <c r="B156" s="8" t="s">
        <v>232</v>
      </c>
      <c r="C156" s="10">
        <f t="shared" si="8"/>
        <v>21966</v>
      </c>
      <c r="D156" t="s">
        <v>11</v>
      </c>
      <c r="E156" t="s">
        <v>12</v>
      </c>
      <c r="F156" t="s">
        <v>11</v>
      </c>
      <c r="G156" t="s">
        <v>12</v>
      </c>
      <c r="H156" t="s">
        <v>11</v>
      </c>
      <c r="I156" t="s">
        <v>12</v>
      </c>
      <c r="J156" t="s">
        <v>11</v>
      </c>
      <c r="K156" t="s">
        <v>12</v>
      </c>
      <c r="L156" s="12" t="s">
        <v>62</v>
      </c>
      <c r="M156" s="12" t="s">
        <v>54</v>
      </c>
      <c r="N156" s="12" t="s">
        <v>116</v>
      </c>
      <c r="O156" s="12" t="s">
        <v>24</v>
      </c>
      <c r="P156" s="12" t="s">
        <v>81</v>
      </c>
      <c r="Q156" s="7" t="str">
        <f t="shared" si="7"/>
        <v>(1960,8,'1960.02.20',10,15,29,39,47,0),</v>
      </c>
      <c r="R156" s="7" t="str">
        <f t="shared" si="9"/>
        <v>(1960,8,'1960.02.20',10,15,29,39,47),</v>
      </c>
    </row>
    <row r="157" spans="1:18" x14ac:dyDescent="0.25">
      <c r="A157" s="7" t="s">
        <v>5870</v>
      </c>
      <c r="B157" s="8" t="s">
        <v>198</v>
      </c>
      <c r="C157" s="10">
        <f t="shared" si="8"/>
        <v>21973</v>
      </c>
      <c r="D157" t="s">
        <v>11</v>
      </c>
      <c r="E157" t="s">
        <v>12</v>
      </c>
      <c r="F157" t="s">
        <v>11</v>
      </c>
      <c r="G157" t="s">
        <v>12</v>
      </c>
      <c r="H157" t="s">
        <v>11</v>
      </c>
      <c r="I157" t="s">
        <v>12</v>
      </c>
      <c r="J157" t="s">
        <v>11</v>
      </c>
      <c r="K157" t="s">
        <v>12</v>
      </c>
      <c r="L157" s="12" t="s">
        <v>116</v>
      </c>
      <c r="M157" s="12" t="s">
        <v>81</v>
      </c>
      <c r="N157" s="12" t="s">
        <v>34</v>
      </c>
      <c r="O157" s="12" t="s">
        <v>56</v>
      </c>
      <c r="P157" s="12" t="s">
        <v>186</v>
      </c>
      <c r="Q157" s="7" t="str">
        <f t="shared" si="7"/>
        <v>(1960,9,'1960.02.27',29,47,49,71,90,0),</v>
      </c>
      <c r="R157" s="7" t="str">
        <f t="shared" si="9"/>
        <v>(1960,9,'1960.02.27',29,47,49,71,90),</v>
      </c>
    </row>
    <row r="158" spans="1:18" x14ac:dyDescent="0.25">
      <c r="A158" s="7" t="s">
        <v>5870</v>
      </c>
      <c r="B158" s="8" t="s">
        <v>62</v>
      </c>
      <c r="C158" s="10">
        <f t="shared" si="8"/>
        <v>21980</v>
      </c>
      <c r="D158" t="s">
        <v>11</v>
      </c>
      <c r="E158" t="s">
        <v>12</v>
      </c>
      <c r="F158" t="s">
        <v>11</v>
      </c>
      <c r="G158" t="s">
        <v>12</v>
      </c>
      <c r="H158" t="s">
        <v>11</v>
      </c>
      <c r="I158" t="s">
        <v>12</v>
      </c>
      <c r="J158" t="s">
        <v>11</v>
      </c>
      <c r="K158" t="s">
        <v>12</v>
      </c>
      <c r="L158" s="12" t="s">
        <v>108</v>
      </c>
      <c r="M158" s="12" t="s">
        <v>43</v>
      </c>
      <c r="N158" s="12" t="s">
        <v>64</v>
      </c>
      <c r="O158" s="12" t="s">
        <v>142</v>
      </c>
      <c r="P158" s="12" t="s">
        <v>622</v>
      </c>
      <c r="Q158" s="7" t="str">
        <f t="shared" si="7"/>
        <v>(1960,10,'1960.03.05',1,16,35,44,82,0),</v>
      </c>
      <c r="R158" s="7" t="str">
        <f t="shared" si="9"/>
        <v>(1960,10,'1960.03.05',1,16,35,44,82),</v>
      </c>
    </row>
    <row r="159" spans="1:18" x14ac:dyDescent="0.25">
      <c r="A159" s="7" t="s">
        <v>5870</v>
      </c>
      <c r="B159" s="8" t="s">
        <v>83</v>
      </c>
      <c r="C159" s="10">
        <f t="shared" si="8"/>
        <v>21987</v>
      </c>
      <c r="D159" t="s">
        <v>11</v>
      </c>
      <c r="E159" t="s">
        <v>12</v>
      </c>
      <c r="F159" t="s">
        <v>11</v>
      </c>
      <c r="G159" t="s">
        <v>12</v>
      </c>
      <c r="H159" t="s">
        <v>11</v>
      </c>
      <c r="I159" t="s">
        <v>12</v>
      </c>
      <c r="J159" t="s">
        <v>11</v>
      </c>
      <c r="K159" t="s">
        <v>12</v>
      </c>
      <c r="L159" s="12" t="s">
        <v>232</v>
      </c>
      <c r="M159" s="12" t="s">
        <v>65</v>
      </c>
      <c r="N159" s="12" t="s">
        <v>46</v>
      </c>
      <c r="O159" s="12" t="s">
        <v>239</v>
      </c>
      <c r="P159" s="12" t="s">
        <v>106</v>
      </c>
      <c r="Q159" s="7" t="str">
        <f t="shared" si="7"/>
        <v>(1960,11,'1960.03.12',8,13,37,73,75,0),</v>
      </c>
      <c r="R159" s="7" t="str">
        <f t="shared" si="9"/>
        <v>(1960,11,'1960.03.12',8,13,37,73,75),</v>
      </c>
    </row>
    <row r="160" spans="1:18" x14ac:dyDescent="0.25">
      <c r="A160" s="7" t="s">
        <v>5870</v>
      </c>
      <c r="B160" s="8" t="s">
        <v>31</v>
      </c>
      <c r="C160" s="10">
        <f t="shared" si="8"/>
        <v>21994</v>
      </c>
      <c r="D160" t="s">
        <v>11</v>
      </c>
      <c r="E160" t="s">
        <v>12</v>
      </c>
      <c r="F160" t="s">
        <v>11</v>
      </c>
      <c r="G160" t="s">
        <v>12</v>
      </c>
      <c r="H160" t="s">
        <v>11</v>
      </c>
      <c r="I160" t="s">
        <v>12</v>
      </c>
      <c r="J160" t="s">
        <v>11</v>
      </c>
      <c r="K160" t="s">
        <v>12</v>
      </c>
      <c r="L160" s="12" t="s">
        <v>31</v>
      </c>
      <c r="M160" s="12" t="s">
        <v>116</v>
      </c>
      <c r="N160" s="12" t="s">
        <v>22</v>
      </c>
      <c r="O160" s="12" t="s">
        <v>200</v>
      </c>
      <c r="P160" s="12" t="s">
        <v>56</v>
      </c>
      <c r="Q160" s="7" t="str">
        <f t="shared" si="7"/>
        <v>(1960,12,'1960.03.19',12,29,48,70,71,0),</v>
      </c>
      <c r="R160" s="7" t="str">
        <f t="shared" si="9"/>
        <v>(1960,12,'1960.03.19',12,29,48,70,71),</v>
      </c>
    </row>
    <row r="161" spans="1:18" x14ac:dyDescent="0.25">
      <c r="A161" s="7" t="s">
        <v>5870</v>
      </c>
      <c r="B161" s="8" t="s">
        <v>65</v>
      </c>
      <c r="C161" s="10">
        <f t="shared" si="8"/>
        <v>22001</v>
      </c>
      <c r="D161" t="s">
        <v>11</v>
      </c>
      <c r="E161" t="s">
        <v>12</v>
      </c>
      <c r="F161" t="s">
        <v>11</v>
      </c>
      <c r="G161" t="s">
        <v>12</v>
      </c>
      <c r="H161" t="s">
        <v>11</v>
      </c>
      <c r="I161" t="s">
        <v>12</v>
      </c>
      <c r="J161" t="s">
        <v>11</v>
      </c>
      <c r="K161" t="s">
        <v>12</v>
      </c>
      <c r="L161" s="12" t="s">
        <v>232</v>
      </c>
      <c r="M161" s="12" t="s">
        <v>116</v>
      </c>
      <c r="N161" s="12" t="s">
        <v>80</v>
      </c>
      <c r="O161" s="12" t="s">
        <v>301</v>
      </c>
      <c r="P161" s="12" t="s">
        <v>125</v>
      </c>
      <c r="Q161" s="7" t="str">
        <f t="shared" si="7"/>
        <v>(1960,13,'1960.03.26',8,29,32,80,83,0),</v>
      </c>
      <c r="R161" s="7" t="str">
        <f t="shared" si="9"/>
        <v>(1960,13,'1960.03.26',8,29,32,80,83),</v>
      </c>
    </row>
    <row r="162" spans="1:18" x14ac:dyDescent="0.25">
      <c r="A162" s="7" t="s">
        <v>5870</v>
      </c>
      <c r="B162" s="8" t="s">
        <v>127</v>
      </c>
      <c r="C162" s="10">
        <f t="shared" si="8"/>
        <v>22008</v>
      </c>
      <c r="D162" t="s">
        <v>11</v>
      </c>
      <c r="E162" t="s">
        <v>12</v>
      </c>
      <c r="F162" t="s">
        <v>11</v>
      </c>
      <c r="G162" t="s">
        <v>12</v>
      </c>
      <c r="H162" t="s">
        <v>11</v>
      </c>
      <c r="I162" t="s">
        <v>12</v>
      </c>
      <c r="J162" t="s">
        <v>11</v>
      </c>
      <c r="K162" t="s">
        <v>12</v>
      </c>
      <c r="L162" s="12" t="s">
        <v>65</v>
      </c>
      <c r="M162" s="12" t="s">
        <v>54</v>
      </c>
      <c r="N162" s="12" t="s">
        <v>13</v>
      </c>
      <c r="O162" s="12" t="s">
        <v>175</v>
      </c>
      <c r="P162" s="12" t="s">
        <v>35</v>
      </c>
      <c r="Q162" s="7" t="str">
        <f t="shared" si="7"/>
        <v>(1960,14,'1960.04.02',13,15,41,55,65,0),</v>
      </c>
      <c r="R162" s="7" t="str">
        <f t="shared" si="9"/>
        <v>(1960,14,'1960.04.02',13,15,41,55,65),</v>
      </c>
    </row>
    <row r="163" spans="1:18" x14ac:dyDescent="0.25">
      <c r="A163" s="7" t="s">
        <v>5870</v>
      </c>
      <c r="B163" s="8" t="s">
        <v>54</v>
      </c>
      <c r="C163" s="10">
        <f t="shared" si="8"/>
        <v>22015</v>
      </c>
      <c r="D163" t="s">
        <v>11</v>
      </c>
      <c r="E163" t="s">
        <v>12</v>
      </c>
      <c r="F163" t="s">
        <v>11</v>
      </c>
      <c r="G163" t="s">
        <v>12</v>
      </c>
      <c r="H163" t="s">
        <v>11</v>
      </c>
      <c r="I163" t="s">
        <v>12</v>
      </c>
      <c r="J163" t="s">
        <v>11</v>
      </c>
      <c r="K163" t="s">
        <v>12</v>
      </c>
      <c r="L163" s="12" t="s">
        <v>270</v>
      </c>
      <c r="M163" s="12" t="s">
        <v>83</v>
      </c>
      <c r="N163" s="12" t="s">
        <v>199</v>
      </c>
      <c r="O163" s="12" t="s">
        <v>82</v>
      </c>
      <c r="P163" s="12" t="s">
        <v>125</v>
      </c>
      <c r="Q163" s="7" t="str">
        <f t="shared" si="7"/>
        <v>(1960,15,'1960.04.09',6,11,53,59,83,0),</v>
      </c>
      <c r="R163" s="7" t="str">
        <f t="shared" si="9"/>
        <v>(1960,15,'1960.04.09',6,11,53,59,83),</v>
      </c>
    </row>
    <row r="164" spans="1:18" x14ac:dyDescent="0.25">
      <c r="A164" s="7" t="s">
        <v>5870</v>
      </c>
      <c r="B164" s="8" t="s">
        <v>43</v>
      </c>
      <c r="C164" s="10">
        <f t="shared" si="8"/>
        <v>22022</v>
      </c>
      <c r="D164" t="s">
        <v>11</v>
      </c>
      <c r="E164" t="s">
        <v>12</v>
      </c>
      <c r="F164" t="s">
        <v>11</v>
      </c>
      <c r="G164" t="s">
        <v>12</v>
      </c>
      <c r="H164" t="s">
        <v>11</v>
      </c>
      <c r="I164" t="s">
        <v>12</v>
      </c>
      <c r="J164" t="s">
        <v>11</v>
      </c>
      <c r="K164" t="s">
        <v>12</v>
      </c>
      <c r="L164" s="12" t="s">
        <v>36</v>
      </c>
      <c r="M164" s="12" t="s">
        <v>98</v>
      </c>
      <c r="N164" s="12" t="s">
        <v>142</v>
      </c>
      <c r="O164" s="12" t="s">
        <v>73</v>
      </c>
      <c r="P164" s="12" t="s">
        <v>301</v>
      </c>
      <c r="Q164" s="7" t="str">
        <f t="shared" si="7"/>
        <v>(1960,16,'1960.04.16',38,42,44,76,80,0),</v>
      </c>
      <c r="R164" s="7" t="str">
        <f t="shared" si="9"/>
        <v>(1960,16,'1960.04.16',38,42,44,76,80),</v>
      </c>
    </row>
    <row r="165" spans="1:18" x14ac:dyDescent="0.25">
      <c r="A165" s="7" t="s">
        <v>5870</v>
      </c>
      <c r="B165" s="8" t="s">
        <v>90</v>
      </c>
      <c r="C165" s="10">
        <f t="shared" si="8"/>
        <v>22029</v>
      </c>
      <c r="D165" t="s">
        <v>11</v>
      </c>
      <c r="E165" t="s">
        <v>12</v>
      </c>
      <c r="F165" t="s">
        <v>11</v>
      </c>
      <c r="G165" t="s">
        <v>12</v>
      </c>
      <c r="H165" t="s">
        <v>11</v>
      </c>
      <c r="I165" t="s">
        <v>12</v>
      </c>
      <c r="J165" t="s">
        <v>11</v>
      </c>
      <c r="K165" t="s">
        <v>12</v>
      </c>
      <c r="L165" s="12" t="s">
        <v>44</v>
      </c>
      <c r="M165" s="12" t="s">
        <v>116</v>
      </c>
      <c r="N165" s="12" t="s">
        <v>107</v>
      </c>
      <c r="O165" s="12" t="s">
        <v>36</v>
      </c>
      <c r="P165" s="12" t="s">
        <v>215</v>
      </c>
      <c r="Q165" s="7" t="str">
        <f t="shared" si="7"/>
        <v>(1960,17,'1960.04.23',21,29,30,38,81,0),</v>
      </c>
      <c r="R165" s="7" t="str">
        <f t="shared" si="9"/>
        <v>(1960,17,'1960.04.23',21,29,30,38,81),</v>
      </c>
    </row>
    <row r="166" spans="1:18" x14ac:dyDescent="0.25">
      <c r="A166" s="7" t="s">
        <v>5870</v>
      </c>
      <c r="B166" s="8" t="s">
        <v>19</v>
      </c>
      <c r="C166" s="10">
        <f t="shared" si="8"/>
        <v>22036</v>
      </c>
      <c r="D166" t="s">
        <v>11</v>
      </c>
      <c r="E166" t="s">
        <v>12</v>
      </c>
      <c r="F166" t="s">
        <v>11</v>
      </c>
      <c r="G166" t="s">
        <v>12</v>
      </c>
      <c r="H166" t="s">
        <v>11</v>
      </c>
      <c r="I166" t="s">
        <v>12</v>
      </c>
      <c r="J166" t="s">
        <v>11</v>
      </c>
      <c r="K166" t="s">
        <v>12</v>
      </c>
      <c r="L166" s="12" t="s">
        <v>168</v>
      </c>
      <c r="M166" s="12" t="s">
        <v>74</v>
      </c>
      <c r="N166" s="12" t="s">
        <v>25</v>
      </c>
      <c r="O166" s="12" t="s">
        <v>175</v>
      </c>
      <c r="P166" s="12" t="s">
        <v>125</v>
      </c>
      <c r="Q166" s="7" t="str">
        <f t="shared" si="7"/>
        <v>(1960,18,'1960.04.30',4,26,34,55,83,0),</v>
      </c>
      <c r="R166" s="7" t="str">
        <f t="shared" si="9"/>
        <v>(1960,18,'1960.04.30',4,26,34,55,83),</v>
      </c>
    </row>
    <row r="167" spans="1:18" x14ac:dyDescent="0.25">
      <c r="A167" s="7" t="s">
        <v>5870</v>
      </c>
      <c r="B167" s="8" t="s">
        <v>55</v>
      </c>
      <c r="C167" s="10">
        <f t="shared" si="8"/>
        <v>22043</v>
      </c>
      <c r="D167" t="s">
        <v>11</v>
      </c>
      <c r="E167" t="s">
        <v>12</v>
      </c>
      <c r="F167" t="s">
        <v>11</v>
      </c>
      <c r="G167" t="s">
        <v>12</v>
      </c>
      <c r="H167" t="s">
        <v>11</v>
      </c>
      <c r="I167" t="s">
        <v>12</v>
      </c>
      <c r="J167" t="s">
        <v>11</v>
      </c>
      <c r="K167" t="s">
        <v>12</v>
      </c>
      <c r="L167" s="12" t="s">
        <v>116</v>
      </c>
      <c r="M167" s="12" t="s">
        <v>107</v>
      </c>
      <c r="N167" s="12" t="s">
        <v>24</v>
      </c>
      <c r="O167" s="12" t="s">
        <v>175</v>
      </c>
      <c r="P167" s="12" t="s">
        <v>23</v>
      </c>
      <c r="Q167" s="7" t="str">
        <f t="shared" si="7"/>
        <v>(1960,19,'1960.05.07',29,30,39,55,60,0),</v>
      </c>
      <c r="R167" s="7" t="str">
        <f t="shared" si="9"/>
        <v>(1960,19,'1960.05.07',29,30,39,55,60),</v>
      </c>
    </row>
    <row r="168" spans="1:18" x14ac:dyDescent="0.25">
      <c r="A168" s="7" t="s">
        <v>5870</v>
      </c>
      <c r="B168" s="8" t="s">
        <v>115</v>
      </c>
      <c r="C168" s="10">
        <f t="shared" si="8"/>
        <v>22050</v>
      </c>
      <c r="D168" t="s">
        <v>11</v>
      </c>
      <c r="E168" t="s">
        <v>12</v>
      </c>
      <c r="F168" t="s">
        <v>11</v>
      </c>
      <c r="G168" t="s">
        <v>12</v>
      </c>
      <c r="H168" t="s">
        <v>11</v>
      </c>
      <c r="I168" t="s">
        <v>12</v>
      </c>
      <c r="J168" t="s">
        <v>11</v>
      </c>
      <c r="K168" t="s">
        <v>12</v>
      </c>
      <c r="L168" s="12" t="s">
        <v>53</v>
      </c>
      <c r="M168" s="12" t="s">
        <v>32</v>
      </c>
      <c r="N168" s="12" t="s">
        <v>10</v>
      </c>
      <c r="O168" s="12" t="s">
        <v>245</v>
      </c>
      <c r="P168" s="12" t="s">
        <v>63</v>
      </c>
      <c r="Q168" s="7" t="str">
        <f t="shared" si="7"/>
        <v>(1960,20,'1960.05.14',7,22,40,74,78,0),</v>
      </c>
      <c r="R168" s="7" t="str">
        <f t="shared" si="9"/>
        <v>(1960,20,'1960.05.14',7,22,40,74,78),</v>
      </c>
    </row>
    <row r="169" spans="1:18" x14ac:dyDescent="0.25">
      <c r="A169" s="7" t="s">
        <v>5870</v>
      </c>
      <c r="B169" s="8" t="s">
        <v>44</v>
      </c>
      <c r="C169" s="10">
        <f t="shared" si="8"/>
        <v>22057</v>
      </c>
      <c r="D169" t="s">
        <v>11</v>
      </c>
      <c r="E169" t="s">
        <v>12</v>
      </c>
      <c r="F169" t="s">
        <v>11</v>
      </c>
      <c r="G169" t="s">
        <v>12</v>
      </c>
      <c r="H169" t="s">
        <v>11</v>
      </c>
      <c r="I169" t="s">
        <v>12</v>
      </c>
      <c r="J169" t="s">
        <v>11</v>
      </c>
      <c r="K169" t="s">
        <v>12</v>
      </c>
      <c r="L169" s="12" t="s">
        <v>23</v>
      </c>
      <c r="M169" s="12" t="s">
        <v>47</v>
      </c>
      <c r="N169" s="12" t="s">
        <v>73</v>
      </c>
      <c r="O169" s="12" t="s">
        <v>143</v>
      </c>
      <c r="P169" s="12" t="s">
        <v>208</v>
      </c>
      <c r="Q169" s="7" t="str">
        <f t="shared" si="7"/>
        <v>(1960,21,'1960.05.21',60,69,76,77,88,0),</v>
      </c>
      <c r="R169" s="7" t="str">
        <f t="shared" si="9"/>
        <v>(1960,21,'1960.05.21',60,69,76,77,88),</v>
      </c>
    </row>
    <row r="170" spans="1:18" x14ac:dyDescent="0.25">
      <c r="A170" s="7" t="s">
        <v>5870</v>
      </c>
      <c r="B170" s="8" t="s">
        <v>32</v>
      </c>
      <c r="C170" s="10">
        <f t="shared" si="8"/>
        <v>22064</v>
      </c>
      <c r="D170" t="s">
        <v>11</v>
      </c>
      <c r="E170" t="s">
        <v>12</v>
      </c>
      <c r="F170" t="s">
        <v>11</v>
      </c>
      <c r="G170" t="s">
        <v>12</v>
      </c>
      <c r="H170" t="s">
        <v>11</v>
      </c>
      <c r="I170" t="s">
        <v>12</v>
      </c>
      <c r="J170" t="s">
        <v>11</v>
      </c>
      <c r="K170" t="s">
        <v>12</v>
      </c>
      <c r="L170" s="12" t="s">
        <v>89</v>
      </c>
      <c r="M170" s="12" t="s">
        <v>270</v>
      </c>
      <c r="N170" s="12" t="s">
        <v>175</v>
      </c>
      <c r="O170" s="12" t="s">
        <v>106</v>
      </c>
      <c r="P170" s="12" t="s">
        <v>379</v>
      </c>
      <c r="Q170" s="7" t="str">
        <f t="shared" si="7"/>
        <v>(1960,22,'1960.05.28',5,6,55,75,89,0),</v>
      </c>
      <c r="R170" s="7" t="str">
        <f t="shared" si="9"/>
        <v>(1960,22,'1960.05.28',5,6,55,75,89),</v>
      </c>
    </row>
    <row r="171" spans="1:18" x14ac:dyDescent="0.25">
      <c r="A171" s="7" t="s">
        <v>5870</v>
      </c>
      <c r="B171" s="8" t="s">
        <v>163</v>
      </c>
      <c r="C171" s="10">
        <f t="shared" si="8"/>
        <v>22071</v>
      </c>
      <c r="D171" t="s">
        <v>11</v>
      </c>
      <c r="E171" t="s">
        <v>12</v>
      </c>
      <c r="F171" t="s">
        <v>11</v>
      </c>
      <c r="G171" t="s">
        <v>12</v>
      </c>
      <c r="H171" t="s">
        <v>11</v>
      </c>
      <c r="I171" t="s">
        <v>12</v>
      </c>
      <c r="J171" t="s">
        <v>11</v>
      </c>
      <c r="K171" t="s">
        <v>12</v>
      </c>
      <c r="L171" s="12" t="s">
        <v>168</v>
      </c>
      <c r="M171" s="12" t="s">
        <v>34</v>
      </c>
      <c r="N171" s="12" t="s">
        <v>123</v>
      </c>
      <c r="O171" s="12" t="s">
        <v>73</v>
      </c>
      <c r="P171" s="12" t="s">
        <v>186</v>
      </c>
      <c r="Q171" s="7" t="str">
        <f t="shared" si="7"/>
        <v>(1960,23,'1960.06.04',4,49,54,76,90,0),</v>
      </c>
      <c r="R171" s="7" t="str">
        <f t="shared" si="9"/>
        <v>(1960,23,'1960.06.04',4,49,54,76,90),</v>
      </c>
    </row>
    <row r="172" spans="1:18" x14ac:dyDescent="0.25">
      <c r="A172" s="7" t="s">
        <v>5870</v>
      </c>
      <c r="B172" s="8" t="s">
        <v>33</v>
      </c>
      <c r="C172" s="10">
        <f t="shared" si="8"/>
        <v>22078</v>
      </c>
      <c r="D172" t="s">
        <v>11</v>
      </c>
      <c r="E172" t="s">
        <v>12</v>
      </c>
      <c r="F172" t="s">
        <v>11</v>
      </c>
      <c r="G172" t="s">
        <v>12</v>
      </c>
      <c r="H172" t="s">
        <v>11</v>
      </c>
      <c r="I172" t="s">
        <v>12</v>
      </c>
      <c r="J172" t="s">
        <v>11</v>
      </c>
      <c r="K172" t="s">
        <v>12</v>
      </c>
      <c r="L172" s="12" t="s">
        <v>46</v>
      </c>
      <c r="M172" s="12" t="s">
        <v>133</v>
      </c>
      <c r="N172" s="12" t="s">
        <v>106</v>
      </c>
      <c r="O172" s="12" t="s">
        <v>143</v>
      </c>
      <c r="P172" s="12" t="s">
        <v>215</v>
      </c>
      <c r="Q172" s="7" t="str">
        <f t="shared" si="7"/>
        <v>(1960,24,'1960.06.11',37,45,75,77,81,0),</v>
      </c>
      <c r="R172" s="7" t="str">
        <f t="shared" si="9"/>
        <v>(1960,24,'1960.06.11',37,45,75,77,81),</v>
      </c>
    </row>
    <row r="173" spans="1:18" x14ac:dyDescent="0.25">
      <c r="A173" s="7" t="s">
        <v>5870</v>
      </c>
      <c r="B173" s="8" t="s">
        <v>152</v>
      </c>
      <c r="C173" s="10">
        <f t="shared" si="8"/>
        <v>22085</v>
      </c>
      <c r="D173" t="s">
        <v>11</v>
      </c>
      <c r="E173" t="s">
        <v>12</v>
      </c>
      <c r="F173" t="s">
        <v>11</v>
      </c>
      <c r="G173" t="s">
        <v>12</v>
      </c>
      <c r="H173" t="s">
        <v>11</v>
      </c>
      <c r="I173" t="s">
        <v>12</v>
      </c>
      <c r="J173" t="s">
        <v>11</v>
      </c>
      <c r="K173" t="s">
        <v>12</v>
      </c>
      <c r="L173" s="12" t="s">
        <v>116</v>
      </c>
      <c r="M173" s="12" t="s">
        <v>133</v>
      </c>
      <c r="N173" s="12" t="s">
        <v>34</v>
      </c>
      <c r="O173" s="12" t="s">
        <v>91</v>
      </c>
      <c r="P173" s="12" t="s">
        <v>245</v>
      </c>
      <c r="Q173" s="7" t="str">
        <f t="shared" si="7"/>
        <v>(1960,25,'1960.06.18',29,45,49,61,74,0),</v>
      </c>
      <c r="R173" s="7" t="str">
        <f t="shared" si="9"/>
        <v>(1960,25,'1960.06.18',29,45,49,61,74),</v>
      </c>
    </row>
    <row r="174" spans="1:18" x14ac:dyDescent="0.25">
      <c r="A174" s="7" t="s">
        <v>5870</v>
      </c>
      <c r="B174" s="8" t="s">
        <v>74</v>
      </c>
      <c r="C174" s="10">
        <f t="shared" si="8"/>
        <v>22092</v>
      </c>
      <c r="D174" t="s">
        <v>11</v>
      </c>
      <c r="E174" t="s">
        <v>12</v>
      </c>
      <c r="F174" t="s">
        <v>11</v>
      </c>
      <c r="G174" t="s">
        <v>12</v>
      </c>
      <c r="H174" t="s">
        <v>11</v>
      </c>
      <c r="I174" t="s">
        <v>12</v>
      </c>
      <c r="J174" t="s">
        <v>11</v>
      </c>
      <c r="K174" t="s">
        <v>12</v>
      </c>
      <c r="L174" s="12" t="s">
        <v>116</v>
      </c>
      <c r="M174" s="12" t="s">
        <v>80</v>
      </c>
      <c r="N174" s="12" t="s">
        <v>122</v>
      </c>
      <c r="O174" s="12" t="s">
        <v>248</v>
      </c>
      <c r="P174" s="12" t="s">
        <v>200</v>
      </c>
      <c r="Q174" s="7" t="str">
        <f t="shared" si="7"/>
        <v>(1960,26,'1960.06.25',29,32,51,63,70,0),</v>
      </c>
      <c r="R174" s="7" t="str">
        <f t="shared" si="9"/>
        <v>(1960,26,'1960.06.25',29,32,51,63,70),</v>
      </c>
    </row>
    <row r="175" spans="1:18" x14ac:dyDescent="0.25">
      <c r="A175" s="7" t="s">
        <v>5870</v>
      </c>
      <c r="B175" s="8" t="s">
        <v>135</v>
      </c>
      <c r="C175" s="10">
        <f t="shared" si="8"/>
        <v>22099</v>
      </c>
      <c r="D175" t="s">
        <v>11</v>
      </c>
      <c r="E175" t="s">
        <v>12</v>
      </c>
      <c r="F175" t="s">
        <v>11</v>
      </c>
      <c r="G175" t="s">
        <v>12</v>
      </c>
      <c r="H175" t="s">
        <v>11</v>
      </c>
      <c r="I175" t="s">
        <v>12</v>
      </c>
      <c r="J175" t="s">
        <v>11</v>
      </c>
      <c r="K175" t="s">
        <v>12</v>
      </c>
      <c r="L175" s="12" t="s">
        <v>115</v>
      </c>
      <c r="M175" s="12" t="s">
        <v>32</v>
      </c>
      <c r="N175" s="12" t="s">
        <v>33</v>
      </c>
      <c r="O175" s="12" t="s">
        <v>152</v>
      </c>
      <c r="P175" s="12" t="s">
        <v>98</v>
      </c>
      <c r="Q175" s="7" t="str">
        <f t="shared" si="7"/>
        <v>(1960,27,'1960.07.02',20,22,24,25,42,0),</v>
      </c>
      <c r="R175" s="7" t="str">
        <f t="shared" si="9"/>
        <v>(1960,27,'1960.07.02',20,22,24,25,42),</v>
      </c>
    </row>
    <row r="176" spans="1:18" x14ac:dyDescent="0.25">
      <c r="A176" s="7" t="s">
        <v>5870</v>
      </c>
      <c r="B176" s="8" t="s">
        <v>126</v>
      </c>
      <c r="C176" s="10">
        <f t="shared" si="8"/>
        <v>22106</v>
      </c>
      <c r="D176" t="s">
        <v>11</v>
      </c>
      <c r="E176" t="s">
        <v>12</v>
      </c>
      <c r="F176" t="s">
        <v>11</v>
      </c>
      <c r="G176" t="s">
        <v>12</v>
      </c>
      <c r="H176" t="s">
        <v>11</v>
      </c>
      <c r="I176" t="s">
        <v>12</v>
      </c>
      <c r="J176" t="s">
        <v>11</v>
      </c>
      <c r="K176" t="s">
        <v>12</v>
      </c>
      <c r="L176" s="12" t="s">
        <v>198</v>
      </c>
      <c r="M176" s="12" t="s">
        <v>83</v>
      </c>
      <c r="N176" s="12" t="s">
        <v>116</v>
      </c>
      <c r="O176" s="12" t="s">
        <v>63</v>
      </c>
      <c r="P176" s="12" t="s">
        <v>308</v>
      </c>
      <c r="Q176" s="7" t="str">
        <f t="shared" si="7"/>
        <v>(1960,28,'1960.07.09',9,11,29,78,86,0),</v>
      </c>
      <c r="R176" s="7" t="str">
        <f t="shared" si="9"/>
        <v>(1960,28,'1960.07.09',9,11,29,78,86),</v>
      </c>
    </row>
    <row r="177" spans="1:18" x14ac:dyDescent="0.25">
      <c r="A177" s="7" t="s">
        <v>5870</v>
      </c>
      <c r="B177" s="8" t="s">
        <v>116</v>
      </c>
      <c r="C177" s="10">
        <f t="shared" si="8"/>
        <v>22113</v>
      </c>
      <c r="D177" t="s">
        <v>11</v>
      </c>
      <c r="E177" t="s">
        <v>12</v>
      </c>
      <c r="F177" t="s">
        <v>11</v>
      </c>
      <c r="G177" t="s">
        <v>12</v>
      </c>
      <c r="H177" t="s">
        <v>11</v>
      </c>
      <c r="I177" t="s">
        <v>12</v>
      </c>
      <c r="J177" t="s">
        <v>11</v>
      </c>
      <c r="K177" t="s">
        <v>12</v>
      </c>
      <c r="L177" s="12" t="s">
        <v>53</v>
      </c>
      <c r="M177" s="12" t="s">
        <v>232</v>
      </c>
      <c r="N177" s="12" t="s">
        <v>54</v>
      </c>
      <c r="O177" s="12" t="s">
        <v>163</v>
      </c>
      <c r="P177" s="12" t="s">
        <v>91</v>
      </c>
      <c r="Q177" s="7" t="str">
        <f t="shared" si="7"/>
        <v>(1960,29,'1960.07.16',7,8,15,23,61,0),</v>
      </c>
      <c r="R177" s="7" t="str">
        <f t="shared" si="9"/>
        <v>(1960,29,'1960.07.16',7,8,15,23,61),</v>
      </c>
    </row>
    <row r="178" spans="1:18" x14ac:dyDescent="0.25">
      <c r="A178" s="7" t="s">
        <v>5870</v>
      </c>
      <c r="B178" s="8" t="s">
        <v>107</v>
      </c>
      <c r="C178" s="10">
        <f t="shared" si="8"/>
        <v>22120</v>
      </c>
      <c r="D178" t="s">
        <v>11</v>
      </c>
      <c r="E178" t="s">
        <v>12</v>
      </c>
      <c r="F178" t="s">
        <v>11</v>
      </c>
      <c r="G178" t="s">
        <v>12</v>
      </c>
      <c r="H178" t="s">
        <v>11</v>
      </c>
      <c r="I178" t="s">
        <v>12</v>
      </c>
      <c r="J178" t="s">
        <v>11</v>
      </c>
      <c r="K178" t="s">
        <v>12</v>
      </c>
      <c r="L178" s="12" t="s">
        <v>270</v>
      </c>
      <c r="M178" s="12" t="s">
        <v>198</v>
      </c>
      <c r="N178" s="12" t="s">
        <v>71</v>
      </c>
      <c r="O178" s="12" t="s">
        <v>64</v>
      </c>
      <c r="P178" s="12" t="s">
        <v>200</v>
      </c>
      <c r="Q178" s="7" t="str">
        <f t="shared" si="7"/>
        <v>(1960,30,'1960.07.23',6,9,31,35,70,0),</v>
      </c>
      <c r="R178" s="7" t="str">
        <f t="shared" si="9"/>
        <v>(1960,30,'1960.07.23',6,9,31,35,70),</v>
      </c>
    </row>
    <row r="179" spans="1:18" x14ac:dyDescent="0.25">
      <c r="A179" s="7" t="s">
        <v>5870</v>
      </c>
      <c r="B179" s="8" t="s">
        <v>71</v>
      </c>
      <c r="C179" s="10">
        <f t="shared" si="8"/>
        <v>22127</v>
      </c>
      <c r="D179" t="s">
        <v>11</v>
      </c>
      <c r="E179" t="s">
        <v>12</v>
      </c>
      <c r="F179" t="s">
        <v>11</v>
      </c>
      <c r="G179" t="s">
        <v>12</v>
      </c>
      <c r="H179" t="s">
        <v>11</v>
      </c>
      <c r="I179" t="s">
        <v>12</v>
      </c>
      <c r="J179" t="s">
        <v>11</v>
      </c>
      <c r="K179" t="s">
        <v>12</v>
      </c>
      <c r="L179" s="12" t="s">
        <v>270</v>
      </c>
      <c r="M179" s="12" t="s">
        <v>24</v>
      </c>
      <c r="N179" s="12" t="s">
        <v>98</v>
      </c>
      <c r="O179" s="12" t="s">
        <v>99</v>
      </c>
      <c r="P179" s="12" t="s">
        <v>56</v>
      </c>
      <c r="Q179" s="7" t="str">
        <f t="shared" si="7"/>
        <v>(1960,31,'1960.07.30',6,39,42,52,71,0),</v>
      </c>
      <c r="R179" s="7" t="str">
        <f t="shared" si="9"/>
        <v>(1960,31,'1960.07.30',6,39,42,52,71),</v>
      </c>
    </row>
    <row r="180" spans="1:18" x14ac:dyDescent="0.25">
      <c r="A180" s="7" t="s">
        <v>5870</v>
      </c>
      <c r="B180" s="8" t="s">
        <v>80</v>
      </c>
      <c r="C180" s="10">
        <f t="shared" si="8"/>
        <v>22134</v>
      </c>
      <c r="D180" t="s">
        <v>11</v>
      </c>
      <c r="E180" t="s">
        <v>12</v>
      </c>
      <c r="F180" t="s">
        <v>11</v>
      </c>
      <c r="G180" t="s">
        <v>12</v>
      </c>
      <c r="H180" t="s">
        <v>11</v>
      </c>
      <c r="I180" t="s">
        <v>12</v>
      </c>
      <c r="J180" t="s">
        <v>11</v>
      </c>
      <c r="K180" t="s">
        <v>12</v>
      </c>
      <c r="L180" s="12" t="s">
        <v>108</v>
      </c>
      <c r="M180" s="12" t="s">
        <v>13</v>
      </c>
      <c r="N180" s="12" t="s">
        <v>142</v>
      </c>
      <c r="O180" s="12" t="s">
        <v>122</v>
      </c>
      <c r="P180" s="12" t="s">
        <v>91</v>
      </c>
      <c r="Q180" s="7" t="str">
        <f t="shared" si="7"/>
        <v>(1960,32,'1960.08.06',1,41,44,51,61,0),</v>
      </c>
      <c r="R180" s="7" t="str">
        <f t="shared" si="9"/>
        <v>(1960,32,'1960.08.06',1,41,44,51,61),</v>
      </c>
    </row>
    <row r="181" spans="1:18" x14ac:dyDescent="0.25">
      <c r="A181" s="7" t="s">
        <v>5870</v>
      </c>
      <c r="B181" s="8" t="s">
        <v>20</v>
      </c>
      <c r="C181" s="10">
        <f t="shared" si="8"/>
        <v>22141</v>
      </c>
      <c r="D181" t="s">
        <v>11</v>
      </c>
      <c r="E181" t="s">
        <v>12</v>
      </c>
      <c r="F181" t="s">
        <v>11</v>
      </c>
      <c r="G181" t="s">
        <v>12</v>
      </c>
      <c r="H181" t="s">
        <v>11</v>
      </c>
      <c r="I181" t="s">
        <v>12</v>
      </c>
      <c r="J181" t="s">
        <v>11</v>
      </c>
      <c r="K181" t="s">
        <v>12</v>
      </c>
      <c r="L181" s="12" t="s">
        <v>89</v>
      </c>
      <c r="M181" s="12" t="s">
        <v>62</v>
      </c>
      <c r="N181" s="12" t="s">
        <v>46</v>
      </c>
      <c r="O181" s="12" t="s">
        <v>123</v>
      </c>
      <c r="P181" s="12" t="s">
        <v>63</v>
      </c>
      <c r="Q181" s="7" t="str">
        <f t="shared" si="7"/>
        <v>(1960,33,'1960.08.13',5,10,37,54,78,0),</v>
      </c>
      <c r="R181" s="7" t="str">
        <f t="shared" si="9"/>
        <v>(1960,33,'1960.08.13',5,10,37,54,78),</v>
      </c>
    </row>
    <row r="182" spans="1:18" x14ac:dyDescent="0.25">
      <c r="A182" s="7" t="s">
        <v>5870</v>
      </c>
      <c r="B182" s="8" t="s">
        <v>25</v>
      </c>
      <c r="C182" s="10">
        <f t="shared" si="8"/>
        <v>22148</v>
      </c>
      <c r="D182" t="s">
        <v>11</v>
      </c>
      <c r="E182" t="s">
        <v>12</v>
      </c>
      <c r="F182" t="s">
        <v>11</v>
      </c>
      <c r="G182" t="s">
        <v>12</v>
      </c>
      <c r="H182" t="s">
        <v>11</v>
      </c>
      <c r="I182" t="s">
        <v>12</v>
      </c>
      <c r="J182" t="s">
        <v>11</v>
      </c>
      <c r="K182" t="s">
        <v>12</v>
      </c>
      <c r="L182" s="12" t="s">
        <v>152</v>
      </c>
      <c r="M182" s="12" t="s">
        <v>64</v>
      </c>
      <c r="N182" s="12" t="s">
        <v>106</v>
      </c>
      <c r="O182" s="12" t="s">
        <v>151</v>
      </c>
      <c r="P182" s="12" t="s">
        <v>468</v>
      </c>
      <c r="Q182" s="7" t="str">
        <f t="shared" si="7"/>
        <v>(1960,34,'1960.08.20',25,35,75,79,85,0),</v>
      </c>
      <c r="R182" s="7" t="str">
        <f t="shared" si="9"/>
        <v>(1960,34,'1960.08.20',25,35,75,79,85),</v>
      </c>
    </row>
    <row r="183" spans="1:18" x14ac:dyDescent="0.25">
      <c r="A183" s="7" t="s">
        <v>5870</v>
      </c>
      <c r="B183" s="8" t="s">
        <v>64</v>
      </c>
      <c r="C183" s="10">
        <f t="shared" si="8"/>
        <v>22155</v>
      </c>
      <c r="D183" t="s">
        <v>11</v>
      </c>
      <c r="E183" t="s">
        <v>12</v>
      </c>
      <c r="F183" t="s">
        <v>11</v>
      </c>
      <c r="G183" t="s">
        <v>12</v>
      </c>
      <c r="H183" t="s">
        <v>11</v>
      </c>
      <c r="I183" t="s">
        <v>12</v>
      </c>
      <c r="J183" t="s">
        <v>11</v>
      </c>
      <c r="K183" t="s">
        <v>12</v>
      </c>
      <c r="L183" s="12" t="s">
        <v>232</v>
      </c>
      <c r="M183" s="12" t="s">
        <v>90</v>
      </c>
      <c r="N183" s="12" t="s">
        <v>122</v>
      </c>
      <c r="O183" s="12" t="s">
        <v>72</v>
      </c>
      <c r="P183" s="12" t="s">
        <v>63</v>
      </c>
      <c r="Q183" s="7" t="str">
        <f t="shared" si="7"/>
        <v>(1960,35,'1960.08.27',8,17,51,67,78,0),</v>
      </c>
      <c r="R183" s="7" t="str">
        <f t="shared" si="9"/>
        <v>(1960,35,'1960.08.27',8,17,51,67,78),</v>
      </c>
    </row>
    <row r="184" spans="1:18" x14ac:dyDescent="0.25">
      <c r="A184" s="7" t="s">
        <v>5870</v>
      </c>
      <c r="B184" s="8" t="s">
        <v>21</v>
      </c>
      <c r="C184" s="10">
        <f t="shared" si="8"/>
        <v>22162</v>
      </c>
      <c r="D184" t="s">
        <v>11</v>
      </c>
      <c r="E184" t="s">
        <v>12</v>
      </c>
      <c r="F184" t="s">
        <v>11</v>
      </c>
      <c r="G184" t="s">
        <v>12</v>
      </c>
      <c r="H184" t="s">
        <v>11</v>
      </c>
      <c r="I184" t="s">
        <v>12</v>
      </c>
      <c r="J184" t="s">
        <v>11</v>
      </c>
      <c r="K184" t="s">
        <v>12</v>
      </c>
      <c r="L184" s="12" t="s">
        <v>74</v>
      </c>
      <c r="M184" s="12" t="s">
        <v>34</v>
      </c>
      <c r="N184" s="12" t="s">
        <v>214</v>
      </c>
      <c r="O184" s="12" t="s">
        <v>35</v>
      </c>
      <c r="P184" s="12" t="s">
        <v>308</v>
      </c>
      <c r="Q184" s="7" t="str">
        <f t="shared" si="7"/>
        <v>(1960,36,'1960.09.03',26,49,64,65,86,0),</v>
      </c>
      <c r="R184" s="7" t="str">
        <f t="shared" si="9"/>
        <v>(1960,36,'1960.09.03',26,49,64,65,86),</v>
      </c>
    </row>
    <row r="185" spans="1:18" x14ac:dyDescent="0.25">
      <c r="A185" s="7" t="s">
        <v>5870</v>
      </c>
      <c r="B185" s="8" t="s">
        <v>46</v>
      </c>
      <c r="C185" s="10">
        <f t="shared" si="8"/>
        <v>22169</v>
      </c>
      <c r="D185" t="s">
        <v>11</v>
      </c>
      <c r="E185" t="s">
        <v>12</v>
      </c>
      <c r="F185" t="s">
        <v>11</v>
      </c>
      <c r="G185" t="s">
        <v>12</v>
      </c>
      <c r="H185" t="s">
        <v>11</v>
      </c>
      <c r="I185" t="s">
        <v>12</v>
      </c>
      <c r="J185" t="s">
        <v>11</v>
      </c>
      <c r="K185" t="s">
        <v>12</v>
      </c>
      <c r="L185" s="12" t="s">
        <v>133</v>
      </c>
      <c r="M185" s="12" t="s">
        <v>105</v>
      </c>
      <c r="N185" s="12" t="s">
        <v>106</v>
      </c>
      <c r="O185" s="12" t="s">
        <v>308</v>
      </c>
      <c r="P185" s="12" t="s">
        <v>208</v>
      </c>
      <c r="Q185" s="7" t="str">
        <f t="shared" si="7"/>
        <v>(1960,37,'1960.09.10',45,50,75,86,88,0),</v>
      </c>
      <c r="R185" s="7" t="str">
        <f t="shared" si="9"/>
        <v>(1960,37,'1960.09.10',45,50,75,86,88),</v>
      </c>
    </row>
    <row r="186" spans="1:18" x14ac:dyDescent="0.25">
      <c r="A186" s="7" t="s">
        <v>5870</v>
      </c>
      <c r="B186" s="8" t="s">
        <v>36</v>
      </c>
      <c r="C186" s="10">
        <f t="shared" si="8"/>
        <v>22176</v>
      </c>
      <c r="D186" t="s">
        <v>11</v>
      </c>
      <c r="E186" t="s">
        <v>12</v>
      </c>
      <c r="F186" t="s">
        <v>11</v>
      </c>
      <c r="G186" t="s">
        <v>12</v>
      </c>
      <c r="H186" t="s">
        <v>11</v>
      </c>
      <c r="I186" t="s">
        <v>12</v>
      </c>
      <c r="J186" t="s">
        <v>11</v>
      </c>
      <c r="K186" t="s">
        <v>12</v>
      </c>
      <c r="L186" s="12" t="s">
        <v>127</v>
      </c>
      <c r="M186" s="12" t="s">
        <v>55</v>
      </c>
      <c r="N186" s="12" t="s">
        <v>123</v>
      </c>
      <c r="O186" s="12" t="s">
        <v>214</v>
      </c>
      <c r="P186" s="12" t="s">
        <v>269</v>
      </c>
      <c r="Q186" s="7" t="str">
        <f t="shared" si="7"/>
        <v>(1960,38,'1960.09.17',14,19,54,64,87,0),</v>
      </c>
      <c r="R186" s="7" t="str">
        <f t="shared" si="9"/>
        <v>(1960,38,'1960.09.17',14,19,54,64,87),</v>
      </c>
    </row>
    <row r="187" spans="1:18" x14ac:dyDescent="0.25">
      <c r="A187" s="7" t="s">
        <v>5870</v>
      </c>
      <c r="B187" s="8" t="s">
        <v>24</v>
      </c>
      <c r="C187" s="10">
        <f t="shared" si="8"/>
        <v>22183</v>
      </c>
      <c r="D187" t="s">
        <v>11</v>
      </c>
      <c r="E187" t="s">
        <v>12</v>
      </c>
      <c r="F187" t="s">
        <v>11</v>
      </c>
      <c r="G187" t="s">
        <v>12</v>
      </c>
      <c r="H187" t="s">
        <v>11</v>
      </c>
      <c r="I187" t="s">
        <v>12</v>
      </c>
      <c r="J187" t="s">
        <v>11</v>
      </c>
      <c r="K187" t="s">
        <v>12</v>
      </c>
      <c r="L187" s="12" t="s">
        <v>89</v>
      </c>
      <c r="M187" s="12" t="s">
        <v>192</v>
      </c>
      <c r="N187" s="12" t="s">
        <v>34</v>
      </c>
      <c r="O187" s="12" t="s">
        <v>99</v>
      </c>
      <c r="P187" s="12" t="s">
        <v>82</v>
      </c>
      <c r="Q187" s="7" t="str">
        <f t="shared" si="7"/>
        <v>(1960,39,'1960.09.24',5,46,49,52,59,0),</v>
      </c>
      <c r="R187" s="7" t="str">
        <f t="shared" si="9"/>
        <v>(1960,39,'1960.09.24',5,46,49,52,59),</v>
      </c>
    </row>
    <row r="188" spans="1:18" x14ac:dyDescent="0.25">
      <c r="A188" s="7" t="s">
        <v>5870</v>
      </c>
      <c r="B188" s="8" t="s">
        <v>10</v>
      </c>
      <c r="C188" s="10">
        <f t="shared" si="8"/>
        <v>22190</v>
      </c>
      <c r="D188" t="s">
        <v>11</v>
      </c>
      <c r="E188" t="s">
        <v>12</v>
      </c>
      <c r="F188" t="s">
        <v>11</v>
      </c>
      <c r="G188" t="s">
        <v>12</v>
      </c>
      <c r="H188" t="s">
        <v>11</v>
      </c>
      <c r="I188" t="s">
        <v>12</v>
      </c>
      <c r="J188" t="s">
        <v>11</v>
      </c>
      <c r="K188" t="s">
        <v>12</v>
      </c>
      <c r="L188" s="12" t="s">
        <v>19</v>
      </c>
      <c r="M188" s="12" t="s">
        <v>25</v>
      </c>
      <c r="N188" s="12" t="s">
        <v>169</v>
      </c>
      <c r="O188" s="12" t="s">
        <v>200</v>
      </c>
      <c r="P188" s="12" t="s">
        <v>56</v>
      </c>
      <c r="Q188" s="7" t="str">
        <f t="shared" si="7"/>
        <v>(1960,40,'1960.10.01',18,34,58,70,71,0),</v>
      </c>
      <c r="R188" s="7" t="str">
        <f t="shared" si="9"/>
        <v>(1960,40,'1960.10.01',18,34,58,70,71),</v>
      </c>
    </row>
    <row r="189" spans="1:18" x14ac:dyDescent="0.25">
      <c r="A189" s="7" t="s">
        <v>5870</v>
      </c>
      <c r="B189" s="8" t="s">
        <v>13</v>
      </c>
      <c r="C189" s="10">
        <f t="shared" si="8"/>
        <v>22197</v>
      </c>
      <c r="D189" t="s">
        <v>11</v>
      </c>
      <c r="E189" t="s">
        <v>12</v>
      </c>
      <c r="F189" t="s">
        <v>11</v>
      </c>
      <c r="G189" t="s">
        <v>12</v>
      </c>
      <c r="H189" t="s">
        <v>11</v>
      </c>
      <c r="I189" t="s">
        <v>12</v>
      </c>
      <c r="J189" t="s">
        <v>11</v>
      </c>
      <c r="K189" t="s">
        <v>12</v>
      </c>
      <c r="L189" s="12" t="s">
        <v>42</v>
      </c>
      <c r="M189" s="12" t="s">
        <v>83</v>
      </c>
      <c r="N189" s="12" t="s">
        <v>122</v>
      </c>
      <c r="O189" s="12" t="s">
        <v>199</v>
      </c>
      <c r="P189" s="12" t="s">
        <v>47</v>
      </c>
      <c r="Q189" s="7" t="str">
        <f t="shared" si="7"/>
        <v>(1960,41,'1960.10.08',3,11,51,53,69,0),</v>
      </c>
      <c r="R189" s="7" t="str">
        <f t="shared" si="9"/>
        <v>(1960,41,'1960.10.08',3,11,51,53,69),</v>
      </c>
    </row>
    <row r="190" spans="1:18" x14ac:dyDescent="0.25">
      <c r="A190" s="7" t="s">
        <v>5870</v>
      </c>
      <c r="B190" s="8" t="s">
        <v>98</v>
      </c>
      <c r="C190" s="10">
        <f t="shared" si="8"/>
        <v>22204</v>
      </c>
      <c r="D190" t="s">
        <v>11</v>
      </c>
      <c r="E190" t="s">
        <v>12</v>
      </c>
      <c r="F190" t="s">
        <v>11</v>
      </c>
      <c r="G190" t="s">
        <v>12</v>
      </c>
      <c r="H190" t="s">
        <v>11</v>
      </c>
      <c r="I190" t="s">
        <v>12</v>
      </c>
      <c r="J190" t="s">
        <v>11</v>
      </c>
      <c r="K190" t="s">
        <v>12</v>
      </c>
      <c r="L190" s="12" t="s">
        <v>232</v>
      </c>
      <c r="M190" s="12" t="s">
        <v>65</v>
      </c>
      <c r="N190" s="12" t="s">
        <v>34</v>
      </c>
      <c r="O190" s="12" t="s">
        <v>150</v>
      </c>
      <c r="P190" s="12" t="s">
        <v>82</v>
      </c>
      <c r="Q190" s="7" t="str">
        <f t="shared" si="7"/>
        <v>(1960,42,'1960.10.15',8,13,49,57,59,0),</v>
      </c>
      <c r="R190" s="7" t="str">
        <f t="shared" si="9"/>
        <v>(1960,42,'1960.10.15',8,13,49,57,59),</v>
      </c>
    </row>
    <row r="191" spans="1:18" x14ac:dyDescent="0.25">
      <c r="A191" s="7" t="s">
        <v>5870</v>
      </c>
      <c r="B191" s="8" t="s">
        <v>45</v>
      </c>
      <c r="C191" s="10">
        <f t="shared" si="8"/>
        <v>22211</v>
      </c>
      <c r="D191" t="s">
        <v>11</v>
      </c>
      <c r="E191" t="s">
        <v>12</v>
      </c>
      <c r="F191" t="s">
        <v>11</v>
      </c>
      <c r="G191" t="s">
        <v>12</v>
      </c>
      <c r="H191" t="s">
        <v>11</v>
      </c>
      <c r="I191" t="s">
        <v>12</v>
      </c>
      <c r="J191" t="s">
        <v>11</v>
      </c>
      <c r="K191" t="s">
        <v>12</v>
      </c>
      <c r="L191" s="12" t="s">
        <v>108</v>
      </c>
      <c r="M191" s="12" t="s">
        <v>42</v>
      </c>
      <c r="N191" s="12" t="s">
        <v>64</v>
      </c>
      <c r="O191" s="12" t="s">
        <v>98</v>
      </c>
      <c r="P191" s="12" t="s">
        <v>201</v>
      </c>
      <c r="Q191" s="7" t="str">
        <f t="shared" si="7"/>
        <v>(1960,43,'1960.10.22',1,3,35,42,72,0),</v>
      </c>
      <c r="R191" s="7" t="str">
        <f t="shared" si="9"/>
        <v>(1960,43,'1960.10.22',1,3,35,42,72),</v>
      </c>
    </row>
    <row r="192" spans="1:18" x14ac:dyDescent="0.25">
      <c r="A192" s="7" t="s">
        <v>5870</v>
      </c>
      <c r="B192" s="8" t="s">
        <v>142</v>
      </c>
      <c r="C192" s="10">
        <f t="shared" si="8"/>
        <v>22218</v>
      </c>
      <c r="D192" t="s">
        <v>11</v>
      </c>
      <c r="E192" t="s">
        <v>12</v>
      </c>
      <c r="F192" t="s">
        <v>11</v>
      </c>
      <c r="G192" t="s">
        <v>12</v>
      </c>
      <c r="H192" t="s">
        <v>11</v>
      </c>
      <c r="I192" t="s">
        <v>12</v>
      </c>
      <c r="J192" t="s">
        <v>11</v>
      </c>
      <c r="K192" t="s">
        <v>12</v>
      </c>
      <c r="L192" s="12" t="s">
        <v>198</v>
      </c>
      <c r="M192" s="12" t="s">
        <v>54</v>
      </c>
      <c r="N192" s="12" t="s">
        <v>192</v>
      </c>
      <c r="O192" s="12" t="s">
        <v>22</v>
      </c>
      <c r="P192" s="12" t="s">
        <v>379</v>
      </c>
      <c r="Q192" s="7" t="str">
        <f t="shared" si="7"/>
        <v>(1960,44,'1960.10.29',9,15,46,48,89,0),</v>
      </c>
      <c r="R192" s="7" t="str">
        <f t="shared" si="9"/>
        <v>(1960,44,'1960.10.29',9,15,46,48,89),</v>
      </c>
    </row>
    <row r="193" spans="1:18" x14ac:dyDescent="0.25">
      <c r="A193" s="7" t="s">
        <v>5870</v>
      </c>
      <c r="B193" s="8" t="s">
        <v>133</v>
      </c>
      <c r="C193" s="10">
        <f t="shared" si="8"/>
        <v>22225</v>
      </c>
      <c r="D193" t="s">
        <v>11</v>
      </c>
      <c r="E193" t="s">
        <v>12</v>
      </c>
      <c r="F193" t="s">
        <v>11</v>
      </c>
      <c r="G193" t="s">
        <v>12</v>
      </c>
      <c r="H193" t="s">
        <v>11</v>
      </c>
      <c r="I193" t="s">
        <v>12</v>
      </c>
      <c r="J193" t="s">
        <v>11</v>
      </c>
      <c r="K193" t="s">
        <v>12</v>
      </c>
      <c r="L193" s="12" t="s">
        <v>90</v>
      </c>
      <c r="M193" s="12" t="s">
        <v>115</v>
      </c>
      <c r="N193" s="12" t="s">
        <v>64</v>
      </c>
      <c r="O193" s="12" t="s">
        <v>142</v>
      </c>
      <c r="P193" s="12" t="s">
        <v>124</v>
      </c>
      <c r="Q193" s="7" t="str">
        <f t="shared" si="7"/>
        <v>(1960,45,'1960.11.05',17,20,35,44,62,0),</v>
      </c>
      <c r="R193" s="7" t="str">
        <f t="shared" si="9"/>
        <v>(1960,45,'1960.11.05',17,20,35,44,62),</v>
      </c>
    </row>
    <row r="194" spans="1:18" x14ac:dyDescent="0.25">
      <c r="A194" s="7" t="s">
        <v>5870</v>
      </c>
      <c r="B194" s="8" t="s">
        <v>192</v>
      </c>
      <c r="C194" s="10">
        <f t="shared" si="8"/>
        <v>22232</v>
      </c>
      <c r="D194" t="s">
        <v>11</v>
      </c>
      <c r="E194" t="s">
        <v>12</v>
      </c>
      <c r="F194" t="s">
        <v>11</v>
      </c>
      <c r="G194" t="s">
        <v>12</v>
      </c>
      <c r="H194" t="s">
        <v>11</v>
      </c>
      <c r="I194" t="s">
        <v>12</v>
      </c>
      <c r="J194" t="s">
        <v>11</v>
      </c>
      <c r="K194" t="s">
        <v>12</v>
      </c>
      <c r="L194" s="12" t="s">
        <v>127</v>
      </c>
      <c r="M194" s="12" t="s">
        <v>55</v>
      </c>
      <c r="N194" s="12" t="s">
        <v>81</v>
      </c>
      <c r="O194" s="12" t="s">
        <v>34</v>
      </c>
      <c r="P194" s="12" t="s">
        <v>91</v>
      </c>
      <c r="Q194" s="7" t="str">
        <f t="shared" ref="Q194:Q257" si="10">"("&amp;A194&amp;","&amp;B194&amp;",'"&amp;TEXT(C194,"éééé.hh.nn")&amp;"',"&amp;L194&amp;","&amp;M194&amp;","&amp;N194&amp;","&amp;O194&amp;","&amp;P194&amp;",0)"&amp;IF(P195&lt;&gt;0,",","")</f>
        <v>(1960,46,'1960.11.12',14,19,47,49,61,0),</v>
      </c>
      <c r="R194" s="7" t="str">
        <f t="shared" si="9"/>
        <v>(1960,46,'1960.11.12',14,19,47,49,61),</v>
      </c>
    </row>
    <row r="195" spans="1:18" x14ac:dyDescent="0.25">
      <c r="A195" s="7" t="s">
        <v>5870</v>
      </c>
      <c r="B195" s="8" t="s">
        <v>81</v>
      </c>
      <c r="C195" s="10">
        <f t="shared" ref="C195:C258" si="11">+C194+7</f>
        <v>22239</v>
      </c>
      <c r="D195" t="s">
        <v>11</v>
      </c>
      <c r="E195" t="s">
        <v>12</v>
      </c>
      <c r="F195" t="s">
        <v>11</v>
      </c>
      <c r="G195" t="s">
        <v>12</v>
      </c>
      <c r="H195" t="s">
        <v>11</v>
      </c>
      <c r="I195" t="s">
        <v>12</v>
      </c>
      <c r="J195" t="s">
        <v>11</v>
      </c>
      <c r="K195" t="s">
        <v>12</v>
      </c>
      <c r="L195" s="12" t="s">
        <v>127</v>
      </c>
      <c r="M195" s="12" t="s">
        <v>32</v>
      </c>
      <c r="N195" s="12" t="s">
        <v>22</v>
      </c>
      <c r="O195" s="12" t="s">
        <v>106</v>
      </c>
      <c r="P195" s="12" t="s">
        <v>215</v>
      </c>
      <c r="Q195" s="7" t="str">
        <f t="shared" si="10"/>
        <v>(1960,47,'1960.11.19',14,22,48,75,81,0),</v>
      </c>
      <c r="R195" s="7" t="str">
        <f t="shared" ref="R195:R258" si="12">IF(TRIM(P195)="","","("&amp;A195&amp;","&amp;B195&amp;",'"&amp;TEXT(C195,"éééé.hh.nn")&amp;"',"&amp;L195&amp;","&amp;M195&amp;","&amp;N195&amp;","&amp;O195&amp;","&amp;P195&amp;")"&amp;IF(P196=0,";",","))</f>
        <v>(1960,47,'1960.11.19',14,22,48,75,81),</v>
      </c>
    </row>
    <row r="196" spans="1:18" x14ac:dyDescent="0.25">
      <c r="A196" s="7" t="s">
        <v>5870</v>
      </c>
      <c r="B196" s="8" t="s">
        <v>22</v>
      </c>
      <c r="C196" s="10">
        <f t="shared" si="11"/>
        <v>22246</v>
      </c>
      <c r="D196" t="s">
        <v>11</v>
      </c>
      <c r="E196" t="s">
        <v>12</v>
      </c>
      <c r="F196" t="s">
        <v>11</v>
      </c>
      <c r="G196" t="s">
        <v>12</v>
      </c>
      <c r="H196" t="s">
        <v>11</v>
      </c>
      <c r="I196" t="s">
        <v>12</v>
      </c>
      <c r="J196" t="s">
        <v>11</v>
      </c>
      <c r="K196" t="s">
        <v>12</v>
      </c>
      <c r="L196" s="12" t="s">
        <v>198</v>
      </c>
      <c r="M196" s="12" t="s">
        <v>45</v>
      </c>
      <c r="N196" s="12" t="s">
        <v>192</v>
      </c>
      <c r="O196" s="12" t="s">
        <v>23</v>
      </c>
      <c r="P196" s="12" t="s">
        <v>72</v>
      </c>
      <c r="Q196" s="7" t="str">
        <f t="shared" si="10"/>
        <v>(1960,48,'1960.11.26',9,43,46,60,67,0),</v>
      </c>
      <c r="R196" s="7" t="str">
        <f t="shared" si="12"/>
        <v>(1960,48,'1960.11.26',9,43,46,60,67),</v>
      </c>
    </row>
    <row r="197" spans="1:18" x14ac:dyDescent="0.25">
      <c r="A197" s="7" t="s">
        <v>5870</v>
      </c>
      <c r="B197" s="8" t="s">
        <v>34</v>
      </c>
      <c r="C197" s="10">
        <f t="shared" si="11"/>
        <v>22253</v>
      </c>
      <c r="D197" t="s">
        <v>11</v>
      </c>
      <c r="E197" t="s">
        <v>12</v>
      </c>
      <c r="F197" t="s">
        <v>11</v>
      </c>
      <c r="G197" t="s">
        <v>12</v>
      </c>
      <c r="H197" t="s">
        <v>11</v>
      </c>
      <c r="I197" t="s">
        <v>12</v>
      </c>
      <c r="J197" t="s">
        <v>11</v>
      </c>
      <c r="K197" t="s">
        <v>12</v>
      </c>
      <c r="L197" s="12" t="s">
        <v>33</v>
      </c>
      <c r="M197" s="12" t="s">
        <v>71</v>
      </c>
      <c r="N197" s="12" t="s">
        <v>150</v>
      </c>
      <c r="O197" s="12" t="s">
        <v>233</v>
      </c>
      <c r="P197" s="12" t="s">
        <v>63</v>
      </c>
      <c r="Q197" s="7" t="str">
        <f t="shared" si="10"/>
        <v>(1960,49,'1960.12.03',24,31,57,66,78,0),</v>
      </c>
      <c r="R197" s="7" t="str">
        <f t="shared" si="12"/>
        <v>(1960,49,'1960.12.03',24,31,57,66,78),</v>
      </c>
    </row>
    <row r="198" spans="1:18" x14ac:dyDescent="0.25">
      <c r="A198" s="7" t="s">
        <v>5870</v>
      </c>
      <c r="B198" s="8" t="s">
        <v>105</v>
      </c>
      <c r="C198" s="10">
        <f t="shared" si="11"/>
        <v>22260</v>
      </c>
      <c r="D198" t="s">
        <v>11</v>
      </c>
      <c r="E198" t="s">
        <v>12</v>
      </c>
      <c r="F198" t="s">
        <v>11</v>
      </c>
      <c r="G198" t="s">
        <v>12</v>
      </c>
      <c r="H198" t="s">
        <v>11</v>
      </c>
      <c r="I198" t="s">
        <v>12</v>
      </c>
      <c r="J198" t="s">
        <v>11</v>
      </c>
      <c r="K198" t="s">
        <v>12</v>
      </c>
      <c r="L198" s="12" t="s">
        <v>10</v>
      </c>
      <c r="M198" s="12" t="s">
        <v>122</v>
      </c>
      <c r="N198" s="12" t="s">
        <v>23</v>
      </c>
      <c r="O198" s="12" t="s">
        <v>233</v>
      </c>
      <c r="P198" s="12" t="s">
        <v>56</v>
      </c>
      <c r="Q198" s="7" t="str">
        <f t="shared" si="10"/>
        <v>(1960,50,'1960.12.10',40,51,60,66,71,0),</v>
      </c>
      <c r="R198" s="7" t="str">
        <f t="shared" si="12"/>
        <v>(1960,50,'1960.12.10',40,51,60,66,71),</v>
      </c>
    </row>
    <row r="199" spans="1:18" x14ac:dyDescent="0.25">
      <c r="A199" s="7" t="s">
        <v>5870</v>
      </c>
      <c r="B199" s="8" t="s">
        <v>122</v>
      </c>
      <c r="C199" s="10">
        <f t="shared" si="11"/>
        <v>22267</v>
      </c>
      <c r="D199" t="s">
        <v>11</v>
      </c>
      <c r="E199" t="s">
        <v>12</v>
      </c>
      <c r="F199" t="s">
        <v>11</v>
      </c>
      <c r="G199" t="s">
        <v>12</v>
      </c>
      <c r="H199" t="s">
        <v>11</v>
      </c>
      <c r="I199" t="s">
        <v>12</v>
      </c>
      <c r="J199" t="s">
        <v>11</v>
      </c>
      <c r="K199" t="s">
        <v>12</v>
      </c>
      <c r="L199" s="12" t="s">
        <v>126</v>
      </c>
      <c r="M199" s="12" t="s">
        <v>142</v>
      </c>
      <c r="N199" s="12" t="s">
        <v>150</v>
      </c>
      <c r="O199" s="12" t="s">
        <v>208</v>
      </c>
      <c r="P199" s="12" t="s">
        <v>186</v>
      </c>
      <c r="Q199" s="7" t="str">
        <f t="shared" si="10"/>
        <v>(1960,51,'1960.12.17',28,44,57,88,90,0),</v>
      </c>
      <c r="R199" s="7" t="str">
        <f t="shared" si="12"/>
        <v>(1960,51,'1960.12.17',28,44,57,88,90),</v>
      </c>
    </row>
    <row r="200" spans="1:18" x14ac:dyDescent="0.25">
      <c r="A200" s="7" t="s">
        <v>5870</v>
      </c>
      <c r="B200" s="8" t="s">
        <v>99</v>
      </c>
      <c r="C200" s="10">
        <f t="shared" si="11"/>
        <v>22274</v>
      </c>
      <c r="D200" t="s">
        <v>11</v>
      </c>
      <c r="E200" t="s">
        <v>12</v>
      </c>
      <c r="F200" t="s">
        <v>11</v>
      </c>
      <c r="G200" t="s">
        <v>12</v>
      </c>
      <c r="H200" t="s">
        <v>11</v>
      </c>
      <c r="I200" t="s">
        <v>12</v>
      </c>
      <c r="J200" t="s">
        <v>11</v>
      </c>
      <c r="K200" t="s">
        <v>12</v>
      </c>
      <c r="L200" s="12" t="s">
        <v>89</v>
      </c>
      <c r="M200" s="12" t="s">
        <v>54</v>
      </c>
      <c r="N200" s="12" t="s">
        <v>25</v>
      </c>
      <c r="O200" s="12" t="s">
        <v>199</v>
      </c>
      <c r="P200" s="12" t="s">
        <v>63</v>
      </c>
      <c r="Q200" s="7" t="str">
        <f t="shared" si="10"/>
        <v>(1960,52,'1960.12.24',5,15,34,53,78,0),</v>
      </c>
      <c r="R200" s="7" t="str">
        <f t="shared" si="12"/>
        <v>(1960,52,'1960.12.24',5,15,34,53,78),</v>
      </c>
    </row>
    <row r="201" spans="1:18" x14ac:dyDescent="0.25">
      <c r="A201" s="7" t="s">
        <v>5870</v>
      </c>
      <c r="B201" s="8" t="s">
        <v>199</v>
      </c>
      <c r="C201" s="10">
        <f t="shared" si="11"/>
        <v>22281</v>
      </c>
      <c r="D201" t="s">
        <v>11</v>
      </c>
      <c r="E201" t="s">
        <v>12</v>
      </c>
      <c r="F201" t="s">
        <v>11</v>
      </c>
      <c r="G201" t="s">
        <v>12</v>
      </c>
      <c r="H201" t="s">
        <v>11</v>
      </c>
      <c r="I201" t="s">
        <v>12</v>
      </c>
      <c r="J201" t="s">
        <v>11</v>
      </c>
      <c r="K201" t="s">
        <v>12</v>
      </c>
      <c r="L201" s="12" t="s">
        <v>90</v>
      </c>
      <c r="M201" s="12" t="s">
        <v>33</v>
      </c>
      <c r="N201" s="12" t="s">
        <v>25</v>
      </c>
      <c r="O201" s="12" t="s">
        <v>64</v>
      </c>
      <c r="P201" s="12" t="s">
        <v>133</v>
      </c>
      <c r="Q201" s="7" t="str">
        <f t="shared" si="10"/>
        <v>(1960,53,'1960.12.31',17,24,34,35,45,0),</v>
      </c>
      <c r="R201" s="7" t="str">
        <f t="shared" si="12"/>
        <v>(1960,53,'1960.12.31',17,24,34,35,45),</v>
      </c>
    </row>
    <row r="202" spans="1:18" x14ac:dyDescent="0.25">
      <c r="A202" s="7" t="s">
        <v>5869</v>
      </c>
      <c r="B202" s="8" t="s">
        <v>108</v>
      </c>
      <c r="C202" s="10">
        <f t="shared" si="11"/>
        <v>22288</v>
      </c>
      <c r="D202" t="s">
        <v>11</v>
      </c>
      <c r="E202" t="s">
        <v>12</v>
      </c>
      <c r="F202" t="s">
        <v>11</v>
      </c>
      <c r="G202" t="s">
        <v>12</v>
      </c>
      <c r="H202" t="s">
        <v>11</v>
      </c>
      <c r="I202" t="s">
        <v>12</v>
      </c>
      <c r="J202" t="s">
        <v>11</v>
      </c>
      <c r="K202" t="s">
        <v>12</v>
      </c>
      <c r="L202" s="12" t="s">
        <v>65</v>
      </c>
      <c r="M202" s="12" t="s">
        <v>32</v>
      </c>
      <c r="N202" s="12" t="s">
        <v>45</v>
      </c>
      <c r="O202" s="12" t="s">
        <v>133</v>
      </c>
      <c r="P202" s="12" t="s">
        <v>143</v>
      </c>
      <c r="Q202" s="7" t="str">
        <f t="shared" si="10"/>
        <v>(1961,1,'1961.01.07',13,22,43,45,77,0),</v>
      </c>
      <c r="R202" s="7" t="str">
        <f t="shared" si="12"/>
        <v>(1961,1,'1961.01.07',13,22,43,45,77),</v>
      </c>
    </row>
    <row r="203" spans="1:18" x14ac:dyDescent="0.25">
      <c r="A203" s="7" t="s">
        <v>5869</v>
      </c>
      <c r="B203" s="8" t="s">
        <v>207</v>
      </c>
      <c r="C203" s="10">
        <f t="shared" si="11"/>
        <v>22295</v>
      </c>
      <c r="D203" t="s">
        <v>11</v>
      </c>
      <c r="E203" t="s">
        <v>12</v>
      </c>
      <c r="F203" t="s">
        <v>11</v>
      </c>
      <c r="G203" t="s">
        <v>12</v>
      </c>
      <c r="H203" t="s">
        <v>11</v>
      </c>
      <c r="I203" t="s">
        <v>12</v>
      </c>
      <c r="J203" t="s">
        <v>11</v>
      </c>
      <c r="K203" t="s">
        <v>12</v>
      </c>
      <c r="L203" s="12" t="s">
        <v>25</v>
      </c>
      <c r="M203" s="12" t="s">
        <v>92</v>
      </c>
      <c r="N203" s="12" t="s">
        <v>47</v>
      </c>
      <c r="O203" s="12" t="s">
        <v>269</v>
      </c>
      <c r="P203" s="12" t="s">
        <v>208</v>
      </c>
      <c r="Q203" s="7" t="str">
        <f t="shared" si="10"/>
        <v>(1961,2,'1961.01.14',34,68,69,87,88,0),</v>
      </c>
      <c r="R203" s="7" t="str">
        <f t="shared" si="12"/>
        <v>(1961,2,'1961.01.14',34,68,69,87,88),</v>
      </c>
    </row>
    <row r="204" spans="1:18" x14ac:dyDescent="0.25">
      <c r="A204" s="7" t="s">
        <v>5869</v>
      </c>
      <c r="B204" s="8" t="s">
        <v>42</v>
      </c>
      <c r="C204" s="10">
        <f t="shared" si="11"/>
        <v>22302</v>
      </c>
      <c r="D204" t="s">
        <v>11</v>
      </c>
      <c r="E204" t="s">
        <v>12</v>
      </c>
      <c r="F204" t="s">
        <v>11</v>
      </c>
      <c r="G204" t="s">
        <v>12</v>
      </c>
      <c r="H204" t="s">
        <v>11</v>
      </c>
      <c r="I204" t="s">
        <v>12</v>
      </c>
      <c r="J204" t="s">
        <v>11</v>
      </c>
      <c r="K204" t="s">
        <v>12</v>
      </c>
      <c r="L204" s="12" t="s">
        <v>19</v>
      </c>
      <c r="M204" s="12" t="s">
        <v>81</v>
      </c>
      <c r="N204" s="12" t="s">
        <v>175</v>
      </c>
      <c r="O204" s="12" t="s">
        <v>56</v>
      </c>
      <c r="P204" s="12" t="s">
        <v>622</v>
      </c>
      <c r="Q204" s="7" t="str">
        <f t="shared" si="10"/>
        <v>(1961,3,'1961.01.21',18,47,55,71,82,0),</v>
      </c>
      <c r="R204" s="7" t="str">
        <f t="shared" si="12"/>
        <v>(1961,3,'1961.01.21',18,47,55,71,82),</v>
      </c>
    </row>
    <row r="205" spans="1:18" x14ac:dyDescent="0.25">
      <c r="A205" s="7" t="s">
        <v>5869</v>
      </c>
      <c r="B205" s="8" t="s">
        <v>168</v>
      </c>
      <c r="C205" s="10">
        <f t="shared" si="11"/>
        <v>22309</v>
      </c>
      <c r="D205" t="s">
        <v>11</v>
      </c>
      <c r="E205" t="s">
        <v>12</v>
      </c>
      <c r="F205" t="s">
        <v>11</v>
      </c>
      <c r="G205" t="s">
        <v>12</v>
      </c>
      <c r="H205" t="s">
        <v>11</v>
      </c>
      <c r="I205" t="s">
        <v>12</v>
      </c>
      <c r="J205" t="s">
        <v>11</v>
      </c>
      <c r="K205" t="s">
        <v>12</v>
      </c>
      <c r="L205" s="12" t="s">
        <v>53</v>
      </c>
      <c r="M205" s="12" t="s">
        <v>135</v>
      </c>
      <c r="N205" s="12" t="s">
        <v>124</v>
      </c>
      <c r="O205" s="12" t="s">
        <v>233</v>
      </c>
      <c r="P205" s="12" t="s">
        <v>72</v>
      </c>
      <c r="Q205" s="7" t="str">
        <f t="shared" si="10"/>
        <v>(1961,4,'1961.01.28',7,27,62,66,67,0),</v>
      </c>
      <c r="R205" s="7" t="str">
        <f t="shared" si="12"/>
        <v>(1961,4,'1961.01.28',7,27,62,66,67),</v>
      </c>
    </row>
    <row r="206" spans="1:18" x14ac:dyDescent="0.25">
      <c r="A206" s="7" t="s">
        <v>5869</v>
      </c>
      <c r="B206" s="8" t="s">
        <v>89</v>
      </c>
      <c r="C206" s="10">
        <f t="shared" si="11"/>
        <v>22316</v>
      </c>
      <c r="D206" t="s">
        <v>11</v>
      </c>
      <c r="E206" t="s">
        <v>12</v>
      </c>
      <c r="F206" t="s">
        <v>11</v>
      </c>
      <c r="G206" t="s">
        <v>12</v>
      </c>
      <c r="H206" t="s">
        <v>11</v>
      </c>
      <c r="I206" t="s">
        <v>12</v>
      </c>
      <c r="J206" t="s">
        <v>11</v>
      </c>
      <c r="K206" t="s">
        <v>12</v>
      </c>
      <c r="L206" s="12" t="s">
        <v>83</v>
      </c>
      <c r="M206" s="12" t="s">
        <v>71</v>
      </c>
      <c r="N206" s="12" t="s">
        <v>21</v>
      </c>
      <c r="O206" s="12" t="s">
        <v>169</v>
      </c>
      <c r="P206" s="12" t="s">
        <v>151</v>
      </c>
      <c r="Q206" s="7" t="str">
        <f t="shared" si="10"/>
        <v>(1961,5,'1961.02.04',11,31,36,58,79,0),</v>
      </c>
      <c r="R206" s="7" t="str">
        <f t="shared" si="12"/>
        <v>(1961,5,'1961.02.04',11,31,36,58,79),</v>
      </c>
    </row>
    <row r="207" spans="1:18" x14ac:dyDescent="0.25">
      <c r="A207" s="7" t="s">
        <v>5869</v>
      </c>
      <c r="B207" s="8" t="s">
        <v>270</v>
      </c>
      <c r="C207" s="10">
        <f t="shared" si="11"/>
        <v>22323</v>
      </c>
      <c r="D207" t="s">
        <v>11</v>
      </c>
      <c r="E207" t="s">
        <v>12</v>
      </c>
      <c r="F207" t="s">
        <v>11</v>
      </c>
      <c r="G207" t="s">
        <v>12</v>
      </c>
      <c r="H207" t="s">
        <v>11</v>
      </c>
      <c r="I207" t="s">
        <v>12</v>
      </c>
      <c r="J207" t="s">
        <v>11</v>
      </c>
      <c r="K207" t="s">
        <v>12</v>
      </c>
      <c r="L207" s="12" t="s">
        <v>127</v>
      </c>
      <c r="M207" s="12" t="s">
        <v>163</v>
      </c>
      <c r="N207" s="12" t="s">
        <v>150</v>
      </c>
      <c r="O207" s="12" t="s">
        <v>622</v>
      </c>
      <c r="P207" s="12" t="s">
        <v>308</v>
      </c>
      <c r="Q207" s="7" t="str">
        <f t="shared" si="10"/>
        <v>(1961,6,'1961.02.11',14,23,57,82,86,0),</v>
      </c>
      <c r="R207" s="7" t="str">
        <f t="shared" si="12"/>
        <v>(1961,6,'1961.02.11',14,23,57,82,86),</v>
      </c>
    </row>
    <row r="208" spans="1:18" x14ac:dyDescent="0.25">
      <c r="A208" s="7" t="s">
        <v>5869</v>
      </c>
      <c r="B208" s="8" t="s">
        <v>53</v>
      </c>
      <c r="C208" s="10">
        <f t="shared" si="11"/>
        <v>22330</v>
      </c>
      <c r="D208" t="s">
        <v>11</v>
      </c>
      <c r="E208" t="s">
        <v>12</v>
      </c>
      <c r="F208" t="s">
        <v>11</v>
      </c>
      <c r="G208" t="s">
        <v>12</v>
      </c>
      <c r="H208" t="s">
        <v>11</v>
      </c>
      <c r="I208" t="s">
        <v>12</v>
      </c>
      <c r="J208" t="s">
        <v>11</v>
      </c>
      <c r="K208" t="s">
        <v>12</v>
      </c>
      <c r="L208" s="12" t="s">
        <v>89</v>
      </c>
      <c r="M208" s="12" t="s">
        <v>62</v>
      </c>
      <c r="N208" s="12" t="s">
        <v>54</v>
      </c>
      <c r="O208" s="12" t="s">
        <v>126</v>
      </c>
      <c r="P208" s="12" t="s">
        <v>24</v>
      </c>
      <c r="Q208" s="7" t="str">
        <f t="shared" si="10"/>
        <v>(1961,7,'1961.02.18',5,10,15,28,39,0),</v>
      </c>
      <c r="R208" s="7" t="str">
        <f t="shared" si="12"/>
        <v>(1961,7,'1961.02.18',5,10,15,28,39),</v>
      </c>
    </row>
    <row r="209" spans="1:18" x14ac:dyDescent="0.25">
      <c r="A209" s="7" t="s">
        <v>5869</v>
      </c>
      <c r="B209" s="8" t="s">
        <v>232</v>
      </c>
      <c r="C209" s="10">
        <f t="shared" si="11"/>
        <v>22337</v>
      </c>
      <c r="D209" t="s">
        <v>11</v>
      </c>
      <c r="E209" t="s">
        <v>12</v>
      </c>
      <c r="F209" t="s">
        <v>11</v>
      </c>
      <c r="G209" t="s">
        <v>12</v>
      </c>
      <c r="H209" t="s">
        <v>11</v>
      </c>
      <c r="I209" t="s">
        <v>12</v>
      </c>
      <c r="J209" t="s">
        <v>11</v>
      </c>
      <c r="K209" t="s">
        <v>12</v>
      </c>
      <c r="L209" s="12" t="s">
        <v>198</v>
      </c>
      <c r="M209" s="12" t="s">
        <v>133</v>
      </c>
      <c r="N209" s="12" t="s">
        <v>199</v>
      </c>
      <c r="O209" s="12" t="s">
        <v>245</v>
      </c>
      <c r="P209" s="12" t="s">
        <v>301</v>
      </c>
      <c r="Q209" s="7" t="str">
        <f t="shared" si="10"/>
        <v>(1961,8,'1961.02.25',9,45,53,74,80,0),</v>
      </c>
      <c r="R209" s="7" t="str">
        <f t="shared" si="12"/>
        <v>(1961,8,'1961.02.25',9,45,53,74,80),</v>
      </c>
    </row>
    <row r="210" spans="1:18" x14ac:dyDescent="0.25">
      <c r="A210" s="7" t="s">
        <v>5869</v>
      </c>
      <c r="B210" s="8" t="s">
        <v>198</v>
      </c>
      <c r="C210" s="10">
        <f t="shared" si="11"/>
        <v>22344</v>
      </c>
      <c r="D210" t="s">
        <v>11</v>
      </c>
      <c r="E210" t="s">
        <v>12</v>
      </c>
      <c r="F210" t="s">
        <v>11</v>
      </c>
      <c r="G210" t="s">
        <v>12</v>
      </c>
      <c r="H210" t="s">
        <v>11</v>
      </c>
      <c r="I210" t="s">
        <v>12</v>
      </c>
      <c r="J210" t="s">
        <v>11</v>
      </c>
      <c r="K210" t="s">
        <v>12</v>
      </c>
      <c r="L210" s="12" t="s">
        <v>127</v>
      </c>
      <c r="M210" s="12" t="s">
        <v>19</v>
      </c>
      <c r="N210" s="12" t="s">
        <v>135</v>
      </c>
      <c r="O210" s="12" t="s">
        <v>81</v>
      </c>
      <c r="P210" s="12" t="s">
        <v>143</v>
      </c>
      <c r="Q210" s="7" t="str">
        <f t="shared" si="10"/>
        <v>(1961,9,'1961.03.04',14,18,27,47,77,0),</v>
      </c>
      <c r="R210" s="7" t="str">
        <f t="shared" si="12"/>
        <v>(1961,9,'1961.03.04',14,18,27,47,77),</v>
      </c>
    </row>
    <row r="211" spans="1:18" x14ac:dyDescent="0.25">
      <c r="A211" s="7" t="s">
        <v>5869</v>
      </c>
      <c r="B211" s="8" t="s">
        <v>62</v>
      </c>
      <c r="C211" s="10">
        <f t="shared" si="11"/>
        <v>22351</v>
      </c>
      <c r="D211" t="s">
        <v>11</v>
      </c>
      <c r="E211" t="s">
        <v>12</v>
      </c>
      <c r="F211" t="s">
        <v>11</v>
      </c>
      <c r="G211" t="s">
        <v>12</v>
      </c>
      <c r="H211" t="s">
        <v>11</v>
      </c>
      <c r="I211" t="s">
        <v>12</v>
      </c>
      <c r="J211" t="s">
        <v>11</v>
      </c>
      <c r="K211" t="s">
        <v>12</v>
      </c>
      <c r="L211" s="12" t="s">
        <v>127</v>
      </c>
      <c r="M211" s="12" t="s">
        <v>74</v>
      </c>
      <c r="N211" s="12" t="s">
        <v>34</v>
      </c>
      <c r="O211" s="12" t="s">
        <v>169</v>
      </c>
      <c r="P211" s="12" t="s">
        <v>215</v>
      </c>
      <c r="Q211" s="7" t="str">
        <f t="shared" si="10"/>
        <v>(1961,10,'1961.03.11',14,26,49,58,81,0),</v>
      </c>
      <c r="R211" s="7" t="str">
        <f t="shared" si="12"/>
        <v>(1961,10,'1961.03.11',14,26,49,58,81),</v>
      </c>
    </row>
    <row r="212" spans="1:18" x14ac:dyDescent="0.25">
      <c r="A212" s="7" t="s">
        <v>5869</v>
      </c>
      <c r="B212" s="8" t="s">
        <v>83</v>
      </c>
      <c r="C212" s="10">
        <f t="shared" si="11"/>
        <v>22358</v>
      </c>
      <c r="D212" t="s">
        <v>11</v>
      </c>
      <c r="E212" t="s">
        <v>12</v>
      </c>
      <c r="F212" t="s">
        <v>11</v>
      </c>
      <c r="G212" t="s">
        <v>12</v>
      </c>
      <c r="H212" t="s">
        <v>11</v>
      </c>
      <c r="I212" t="s">
        <v>12</v>
      </c>
      <c r="J212" t="s">
        <v>11</v>
      </c>
      <c r="K212" t="s">
        <v>12</v>
      </c>
      <c r="L212" s="12" t="s">
        <v>42</v>
      </c>
      <c r="M212" s="12" t="s">
        <v>74</v>
      </c>
      <c r="N212" s="12" t="s">
        <v>192</v>
      </c>
      <c r="O212" s="12" t="s">
        <v>35</v>
      </c>
      <c r="P212" s="12" t="s">
        <v>215</v>
      </c>
      <c r="Q212" s="7" t="str">
        <f t="shared" si="10"/>
        <v>(1961,11,'1961.03.18',3,26,46,65,81,0),</v>
      </c>
      <c r="R212" s="7" t="str">
        <f t="shared" si="12"/>
        <v>(1961,11,'1961.03.18',3,26,46,65,81),</v>
      </c>
    </row>
    <row r="213" spans="1:18" x14ac:dyDescent="0.25">
      <c r="A213" s="7" t="s">
        <v>5869</v>
      </c>
      <c r="B213" s="8" t="s">
        <v>31</v>
      </c>
      <c r="C213" s="10">
        <f t="shared" si="11"/>
        <v>22365</v>
      </c>
      <c r="D213" t="s">
        <v>11</v>
      </c>
      <c r="E213" t="s">
        <v>12</v>
      </c>
      <c r="F213" t="s">
        <v>11</v>
      </c>
      <c r="G213" t="s">
        <v>12</v>
      </c>
      <c r="H213" t="s">
        <v>11</v>
      </c>
      <c r="I213" t="s">
        <v>12</v>
      </c>
      <c r="J213" t="s">
        <v>11</v>
      </c>
      <c r="K213" t="s">
        <v>12</v>
      </c>
      <c r="L213" s="12" t="s">
        <v>64</v>
      </c>
      <c r="M213" s="12" t="s">
        <v>24</v>
      </c>
      <c r="N213" s="12" t="s">
        <v>133</v>
      </c>
      <c r="O213" s="12" t="s">
        <v>81</v>
      </c>
      <c r="P213" s="12" t="s">
        <v>269</v>
      </c>
      <c r="Q213" s="7" t="str">
        <f t="shared" si="10"/>
        <v>(1961,12,'1961.03.25',35,39,45,47,87,0),</v>
      </c>
      <c r="R213" s="7" t="str">
        <f t="shared" si="12"/>
        <v>(1961,12,'1961.03.25',35,39,45,47,87),</v>
      </c>
    </row>
    <row r="214" spans="1:18" x14ac:dyDescent="0.25">
      <c r="A214" s="7" t="s">
        <v>5869</v>
      </c>
      <c r="B214" s="8" t="s">
        <v>65</v>
      </c>
      <c r="C214" s="10">
        <f t="shared" si="11"/>
        <v>22372</v>
      </c>
      <c r="D214" t="s">
        <v>11</v>
      </c>
      <c r="E214" t="s">
        <v>12</v>
      </c>
      <c r="F214" t="s">
        <v>11</v>
      </c>
      <c r="G214" t="s">
        <v>12</v>
      </c>
      <c r="H214" t="s">
        <v>11</v>
      </c>
      <c r="I214" t="s">
        <v>12</v>
      </c>
      <c r="J214" t="s">
        <v>11</v>
      </c>
      <c r="K214" t="s">
        <v>12</v>
      </c>
      <c r="L214" s="12" t="s">
        <v>163</v>
      </c>
      <c r="M214" s="12" t="s">
        <v>20</v>
      </c>
      <c r="N214" s="12" t="s">
        <v>22</v>
      </c>
      <c r="O214" s="12" t="s">
        <v>248</v>
      </c>
      <c r="P214" s="12" t="s">
        <v>239</v>
      </c>
      <c r="Q214" s="7" t="str">
        <f t="shared" si="10"/>
        <v>(1961,13,'1961.04.01',23,33,48,63,73,0),</v>
      </c>
      <c r="R214" s="7" t="str">
        <f t="shared" si="12"/>
        <v>(1961,13,'1961.04.01',23,33,48,63,73),</v>
      </c>
    </row>
    <row r="215" spans="1:18" x14ac:dyDescent="0.25">
      <c r="A215" s="7" t="s">
        <v>5869</v>
      </c>
      <c r="B215" s="8" t="s">
        <v>127</v>
      </c>
      <c r="C215" s="10">
        <f t="shared" si="11"/>
        <v>22379</v>
      </c>
      <c r="D215" t="s">
        <v>11</v>
      </c>
      <c r="E215" t="s">
        <v>12</v>
      </c>
      <c r="F215" t="s">
        <v>11</v>
      </c>
      <c r="G215" t="s">
        <v>12</v>
      </c>
      <c r="H215" t="s">
        <v>11</v>
      </c>
      <c r="I215" t="s">
        <v>12</v>
      </c>
      <c r="J215" t="s">
        <v>11</v>
      </c>
      <c r="K215" t="s">
        <v>12</v>
      </c>
      <c r="L215" s="12" t="s">
        <v>126</v>
      </c>
      <c r="M215" s="12" t="s">
        <v>36</v>
      </c>
      <c r="N215" s="12" t="s">
        <v>133</v>
      </c>
      <c r="O215" s="12" t="s">
        <v>192</v>
      </c>
      <c r="P215" s="12" t="s">
        <v>106</v>
      </c>
      <c r="Q215" s="7" t="str">
        <f t="shared" si="10"/>
        <v>(1961,14,'1961.04.08',28,38,45,46,75,0),</v>
      </c>
      <c r="R215" s="7" t="str">
        <f t="shared" si="12"/>
        <v>(1961,14,'1961.04.08',28,38,45,46,75),</v>
      </c>
    </row>
    <row r="216" spans="1:18" x14ac:dyDescent="0.25">
      <c r="A216" s="7" t="s">
        <v>5869</v>
      </c>
      <c r="B216" s="8" t="s">
        <v>54</v>
      </c>
      <c r="C216" s="10">
        <f t="shared" si="11"/>
        <v>22386</v>
      </c>
      <c r="D216" t="s">
        <v>11</v>
      </c>
      <c r="E216" t="s">
        <v>12</v>
      </c>
      <c r="F216" t="s">
        <v>11</v>
      </c>
      <c r="G216" t="s">
        <v>12</v>
      </c>
      <c r="H216" t="s">
        <v>11</v>
      </c>
      <c r="I216" t="s">
        <v>12</v>
      </c>
      <c r="J216" t="s">
        <v>11</v>
      </c>
      <c r="K216" t="s">
        <v>12</v>
      </c>
      <c r="L216" s="12" t="s">
        <v>83</v>
      </c>
      <c r="M216" s="12" t="s">
        <v>126</v>
      </c>
      <c r="N216" s="12" t="s">
        <v>122</v>
      </c>
      <c r="O216" s="12" t="s">
        <v>248</v>
      </c>
      <c r="P216" s="12" t="s">
        <v>468</v>
      </c>
      <c r="Q216" s="7" t="str">
        <f t="shared" si="10"/>
        <v>(1961,15,'1961.04.15',11,28,51,63,85,0),</v>
      </c>
      <c r="R216" s="7" t="str">
        <f t="shared" si="12"/>
        <v>(1961,15,'1961.04.15',11,28,51,63,85),</v>
      </c>
    </row>
    <row r="217" spans="1:18" x14ac:dyDescent="0.25">
      <c r="A217" s="7" t="s">
        <v>5869</v>
      </c>
      <c r="B217" s="8" t="s">
        <v>43</v>
      </c>
      <c r="C217" s="10">
        <f t="shared" si="11"/>
        <v>22393</v>
      </c>
      <c r="D217" t="s">
        <v>11</v>
      </c>
      <c r="E217" t="s">
        <v>12</v>
      </c>
      <c r="F217" t="s">
        <v>11</v>
      </c>
      <c r="G217" t="s">
        <v>12</v>
      </c>
      <c r="H217" t="s">
        <v>11</v>
      </c>
      <c r="I217" t="s">
        <v>12</v>
      </c>
      <c r="J217" t="s">
        <v>11</v>
      </c>
      <c r="K217" t="s">
        <v>12</v>
      </c>
      <c r="L217" s="12" t="s">
        <v>53</v>
      </c>
      <c r="M217" s="12" t="s">
        <v>31</v>
      </c>
      <c r="N217" s="12" t="s">
        <v>21</v>
      </c>
      <c r="O217" s="12" t="s">
        <v>142</v>
      </c>
      <c r="P217" s="12" t="s">
        <v>246</v>
      </c>
      <c r="Q217" s="7" t="str">
        <f t="shared" si="10"/>
        <v>(1961,16,'1961.04.22',7,12,36,44,84,0),</v>
      </c>
      <c r="R217" s="7" t="str">
        <f t="shared" si="12"/>
        <v>(1961,16,'1961.04.22',7,12,36,44,84),</v>
      </c>
    </row>
    <row r="218" spans="1:18" x14ac:dyDescent="0.25">
      <c r="A218" s="7" t="s">
        <v>5869</v>
      </c>
      <c r="B218" s="8" t="s">
        <v>90</v>
      </c>
      <c r="C218" s="10">
        <f t="shared" si="11"/>
        <v>22400</v>
      </c>
      <c r="D218" t="s">
        <v>11</v>
      </c>
      <c r="E218" t="s">
        <v>12</v>
      </c>
      <c r="F218" t="s">
        <v>11</v>
      </c>
      <c r="G218" t="s">
        <v>12</v>
      </c>
      <c r="H218" t="s">
        <v>11</v>
      </c>
      <c r="I218" t="s">
        <v>12</v>
      </c>
      <c r="J218" t="s">
        <v>11</v>
      </c>
      <c r="K218" t="s">
        <v>12</v>
      </c>
      <c r="L218" s="12" t="s">
        <v>207</v>
      </c>
      <c r="M218" s="12" t="s">
        <v>89</v>
      </c>
      <c r="N218" s="12" t="s">
        <v>72</v>
      </c>
      <c r="O218" s="12" t="s">
        <v>239</v>
      </c>
      <c r="P218" s="12" t="s">
        <v>269</v>
      </c>
      <c r="Q218" s="7" t="str">
        <f t="shared" si="10"/>
        <v>(1961,17,'1961.04.29',2,5,67,73,87,0),</v>
      </c>
      <c r="R218" s="7" t="str">
        <f t="shared" si="12"/>
        <v>(1961,17,'1961.04.29',2,5,67,73,87),</v>
      </c>
    </row>
    <row r="219" spans="1:18" x14ac:dyDescent="0.25">
      <c r="A219" s="7" t="s">
        <v>5869</v>
      </c>
      <c r="B219" s="8" t="s">
        <v>19</v>
      </c>
      <c r="C219" s="10">
        <f t="shared" si="11"/>
        <v>22407</v>
      </c>
      <c r="D219" t="s">
        <v>11</v>
      </c>
      <c r="E219" t="s">
        <v>12</v>
      </c>
      <c r="F219" t="s">
        <v>11</v>
      </c>
      <c r="G219" t="s">
        <v>12</v>
      </c>
      <c r="H219" t="s">
        <v>11</v>
      </c>
      <c r="I219" t="s">
        <v>12</v>
      </c>
      <c r="J219" t="s">
        <v>11</v>
      </c>
      <c r="K219" t="s">
        <v>12</v>
      </c>
      <c r="L219" s="12" t="s">
        <v>108</v>
      </c>
      <c r="M219" s="12" t="s">
        <v>54</v>
      </c>
      <c r="N219" s="12" t="s">
        <v>20</v>
      </c>
      <c r="O219" s="12" t="s">
        <v>64</v>
      </c>
      <c r="P219" s="12" t="s">
        <v>34</v>
      </c>
      <c r="Q219" s="7" t="str">
        <f t="shared" si="10"/>
        <v>(1961,18,'1961.05.06',1,15,33,35,49,0),</v>
      </c>
      <c r="R219" s="7" t="str">
        <f t="shared" si="12"/>
        <v>(1961,18,'1961.05.06',1,15,33,35,49),</v>
      </c>
    </row>
    <row r="220" spans="1:18" x14ac:dyDescent="0.25">
      <c r="A220" s="7" t="s">
        <v>5869</v>
      </c>
      <c r="B220" s="8" t="s">
        <v>55</v>
      </c>
      <c r="C220" s="10">
        <f t="shared" si="11"/>
        <v>22414</v>
      </c>
      <c r="D220" t="s">
        <v>11</v>
      </c>
      <c r="E220" t="s">
        <v>12</v>
      </c>
      <c r="F220" t="s">
        <v>11</v>
      </c>
      <c r="G220" t="s">
        <v>12</v>
      </c>
      <c r="H220" t="s">
        <v>11</v>
      </c>
      <c r="I220" t="s">
        <v>12</v>
      </c>
      <c r="J220" t="s">
        <v>11</v>
      </c>
      <c r="K220" t="s">
        <v>12</v>
      </c>
      <c r="L220" s="12" t="s">
        <v>83</v>
      </c>
      <c r="M220" s="12" t="s">
        <v>44</v>
      </c>
      <c r="N220" s="12" t="s">
        <v>80</v>
      </c>
      <c r="O220" s="12" t="s">
        <v>105</v>
      </c>
      <c r="P220" s="12" t="s">
        <v>143</v>
      </c>
      <c r="Q220" s="7" t="str">
        <f t="shared" si="10"/>
        <v>(1961,19,'1961.05.13',11,21,32,50,77,0),</v>
      </c>
      <c r="R220" s="7" t="str">
        <f t="shared" si="12"/>
        <v>(1961,19,'1961.05.13',11,21,32,50,77),</v>
      </c>
    </row>
    <row r="221" spans="1:18" x14ac:dyDescent="0.25">
      <c r="A221" s="7" t="s">
        <v>5869</v>
      </c>
      <c r="B221" s="8" t="s">
        <v>115</v>
      </c>
      <c r="C221" s="10">
        <f t="shared" si="11"/>
        <v>22421</v>
      </c>
      <c r="D221" t="s">
        <v>11</v>
      </c>
      <c r="E221" t="s">
        <v>12</v>
      </c>
      <c r="F221" t="s">
        <v>11</v>
      </c>
      <c r="G221" t="s">
        <v>12</v>
      </c>
      <c r="H221" t="s">
        <v>11</v>
      </c>
      <c r="I221" t="s">
        <v>12</v>
      </c>
      <c r="J221" t="s">
        <v>11</v>
      </c>
      <c r="K221" t="s">
        <v>12</v>
      </c>
      <c r="L221" s="12" t="s">
        <v>127</v>
      </c>
      <c r="M221" s="12" t="s">
        <v>19</v>
      </c>
      <c r="N221" s="12" t="s">
        <v>21</v>
      </c>
      <c r="O221" s="12" t="s">
        <v>175</v>
      </c>
      <c r="P221" s="12" t="s">
        <v>468</v>
      </c>
      <c r="Q221" s="7" t="str">
        <f t="shared" si="10"/>
        <v>(1961,20,'1961.05.20',14,18,36,55,85,0),</v>
      </c>
      <c r="R221" s="7" t="str">
        <f t="shared" si="12"/>
        <v>(1961,20,'1961.05.20',14,18,36,55,85),</v>
      </c>
    </row>
    <row r="222" spans="1:18" x14ac:dyDescent="0.25">
      <c r="A222" s="7" t="s">
        <v>5869</v>
      </c>
      <c r="B222" s="8" t="s">
        <v>44</v>
      </c>
      <c r="C222" s="10">
        <f t="shared" si="11"/>
        <v>22428</v>
      </c>
      <c r="D222" t="s">
        <v>11</v>
      </c>
      <c r="E222" t="s">
        <v>12</v>
      </c>
      <c r="F222" t="s">
        <v>11</v>
      </c>
      <c r="G222" t="s">
        <v>12</v>
      </c>
      <c r="H222" t="s">
        <v>11</v>
      </c>
      <c r="I222" t="s">
        <v>12</v>
      </c>
      <c r="J222" t="s">
        <v>11</v>
      </c>
      <c r="K222" t="s">
        <v>12</v>
      </c>
      <c r="L222" s="12" t="s">
        <v>65</v>
      </c>
      <c r="M222" s="12" t="s">
        <v>54</v>
      </c>
      <c r="N222" s="12" t="s">
        <v>72</v>
      </c>
      <c r="O222" s="12" t="s">
        <v>151</v>
      </c>
      <c r="P222" s="12" t="s">
        <v>622</v>
      </c>
      <c r="Q222" s="7" t="str">
        <f t="shared" si="10"/>
        <v>(1961,21,'1961.05.27',13,15,67,79,82,0),</v>
      </c>
      <c r="R222" s="7" t="str">
        <f t="shared" si="12"/>
        <v>(1961,21,'1961.05.27',13,15,67,79,82),</v>
      </c>
    </row>
    <row r="223" spans="1:18" x14ac:dyDescent="0.25">
      <c r="A223" s="7" t="s">
        <v>5869</v>
      </c>
      <c r="B223" s="8" t="s">
        <v>32</v>
      </c>
      <c r="C223" s="10">
        <f t="shared" si="11"/>
        <v>22435</v>
      </c>
      <c r="D223" t="s">
        <v>11</v>
      </c>
      <c r="E223" t="s">
        <v>12</v>
      </c>
      <c r="F223" t="s">
        <v>11</v>
      </c>
      <c r="G223" t="s">
        <v>12</v>
      </c>
      <c r="H223" t="s">
        <v>11</v>
      </c>
      <c r="I223" t="s">
        <v>12</v>
      </c>
      <c r="J223" t="s">
        <v>11</v>
      </c>
      <c r="K223" t="s">
        <v>12</v>
      </c>
      <c r="L223" s="12" t="s">
        <v>89</v>
      </c>
      <c r="M223" s="12" t="s">
        <v>55</v>
      </c>
      <c r="N223" s="12" t="s">
        <v>74</v>
      </c>
      <c r="O223" s="12" t="s">
        <v>45</v>
      </c>
      <c r="P223" s="12" t="s">
        <v>23</v>
      </c>
      <c r="Q223" s="7" t="str">
        <f t="shared" si="10"/>
        <v>(1961,22,'1961.06.03',5,19,26,43,60,0),</v>
      </c>
      <c r="R223" s="7" t="str">
        <f t="shared" si="12"/>
        <v>(1961,22,'1961.06.03',5,19,26,43,60),</v>
      </c>
    </row>
    <row r="224" spans="1:18" x14ac:dyDescent="0.25">
      <c r="A224" s="7" t="s">
        <v>5869</v>
      </c>
      <c r="B224" s="8" t="s">
        <v>163</v>
      </c>
      <c r="C224" s="10">
        <f t="shared" si="11"/>
        <v>22442</v>
      </c>
      <c r="D224" t="s">
        <v>11</v>
      </c>
      <c r="E224" t="s">
        <v>12</v>
      </c>
      <c r="F224" t="s">
        <v>11</v>
      </c>
      <c r="G224" t="s">
        <v>12</v>
      </c>
      <c r="H224" t="s">
        <v>11</v>
      </c>
      <c r="I224" t="s">
        <v>12</v>
      </c>
      <c r="J224" t="s">
        <v>11</v>
      </c>
      <c r="K224" t="s">
        <v>12</v>
      </c>
      <c r="L224" s="12" t="s">
        <v>54</v>
      </c>
      <c r="M224" s="12" t="s">
        <v>152</v>
      </c>
      <c r="N224" s="12" t="s">
        <v>34</v>
      </c>
      <c r="O224" s="12" t="s">
        <v>122</v>
      </c>
      <c r="P224" s="12" t="s">
        <v>215</v>
      </c>
      <c r="Q224" s="7" t="str">
        <f t="shared" si="10"/>
        <v>(1961,23,'1961.06.10',15,25,49,51,81,0),</v>
      </c>
      <c r="R224" s="7" t="str">
        <f t="shared" si="12"/>
        <v>(1961,23,'1961.06.10',15,25,49,51,81),</v>
      </c>
    </row>
    <row r="225" spans="1:18" x14ac:dyDescent="0.25">
      <c r="A225" s="7" t="s">
        <v>5869</v>
      </c>
      <c r="B225" s="8" t="s">
        <v>33</v>
      </c>
      <c r="C225" s="10">
        <f t="shared" si="11"/>
        <v>22449</v>
      </c>
      <c r="D225" t="s">
        <v>11</v>
      </c>
      <c r="E225" t="s">
        <v>12</v>
      </c>
      <c r="F225" t="s">
        <v>11</v>
      </c>
      <c r="G225" t="s">
        <v>12</v>
      </c>
      <c r="H225" t="s">
        <v>11</v>
      </c>
      <c r="I225" t="s">
        <v>12</v>
      </c>
      <c r="J225" t="s">
        <v>11</v>
      </c>
      <c r="K225" t="s">
        <v>12</v>
      </c>
      <c r="L225" s="12" t="s">
        <v>44</v>
      </c>
      <c r="M225" s="12" t="s">
        <v>21</v>
      </c>
      <c r="N225" s="12" t="s">
        <v>98</v>
      </c>
      <c r="O225" s="12" t="s">
        <v>35</v>
      </c>
      <c r="P225" s="12" t="s">
        <v>245</v>
      </c>
      <c r="Q225" s="7" t="str">
        <f t="shared" si="10"/>
        <v>(1961,24,'1961.06.17',21,36,42,65,74,0),</v>
      </c>
      <c r="R225" s="7" t="str">
        <f t="shared" si="12"/>
        <v>(1961,24,'1961.06.17',21,36,42,65,74),</v>
      </c>
    </row>
    <row r="226" spans="1:18" x14ac:dyDescent="0.25">
      <c r="A226" s="7" t="s">
        <v>5869</v>
      </c>
      <c r="B226" s="8" t="s">
        <v>152</v>
      </c>
      <c r="C226" s="10">
        <f t="shared" si="11"/>
        <v>22456</v>
      </c>
      <c r="D226" t="s">
        <v>11</v>
      </c>
      <c r="E226" t="s">
        <v>12</v>
      </c>
      <c r="F226" t="s">
        <v>11</v>
      </c>
      <c r="G226" t="s">
        <v>12</v>
      </c>
      <c r="H226" t="s">
        <v>11</v>
      </c>
      <c r="I226" t="s">
        <v>12</v>
      </c>
      <c r="J226" t="s">
        <v>11</v>
      </c>
      <c r="K226" t="s">
        <v>12</v>
      </c>
      <c r="L226" s="12" t="s">
        <v>199</v>
      </c>
      <c r="M226" s="12" t="s">
        <v>91</v>
      </c>
      <c r="N226" s="12" t="s">
        <v>72</v>
      </c>
      <c r="O226" s="12" t="s">
        <v>73</v>
      </c>
      <c r="P226" s="12" t="s">
        <v>125</v>
      </c>
      <c r="Q226" s="7" t="str">
        <f t="shared" si="10"/>
        <v>(1961,25,'1961.06.24',53,61,67,76,83,0),</v>
      </c>
      <c r="R226" s="7" t="str">
        <f t="shared" si="12"/>
        <v>(1961,25,'1961.06.24',53,61,67,76,83),</v>
      </c>
    </row>
    <row r="227" spans="1:18" x14ac:dyDescent="0.25">
      <c r="A227" s="7" t="s">
        <v>5869</v>
      </c>
      <c r="B227" s="8" t="s">
        <v>74</v>
      </c>
      <c r="C227" s="10">
        <f t="shared" si="11"/>
        <v>22463</v>
      </c>
      <c r="D227" t="s">
        <v>11</v>
      </c>
      <c r="E227" t="s">
        <v>12</v>
      </c>
      <c r="F227" t="s">
        <v>11</v>
      </c>
      <c r="G227" t="s">
        <v>12</v>
      </c>
      <c r="H227" t="s">
        <v>11</v>
      </c>
      <c r="I227" t="s">
        <v>12</v>
      </c>
      <c r="J227" t="s">
        <v>11</v>
      </c>
      <c r="K227" t="s">
        <v>12</v>
      </c>
      <c r="L227" s="12" t="s">
        <v>126</v>
      </c>
      <c r="M227" s="12" t="s">
        <v>22</v>
      </c>
      <c r="N227" s="12" t="s">
        <v>150</v>
      </c>
      <c r="O227" s="12" t="s">
        <v>233</v>
      </c>
      <c r="P227" s="12" t="s">
        <v>239</v>
      </c>
      <c r="Q227" s="7" t="str">
        <f t="shared" si="10"/>
        <v>(1961,26,'1961.07.01',28,48,57,66,73,0),</v>
      </c>
      <c r="R227" s="7" t="str">
        <f t="shared" si="12"/>
        <v>(1961,26,'1961.07.01',28,48,57,66,73),</v>
      </c>
    </row>
    <row r="228" spans="1:18" x14ac:dyDescent="0.25">
      <c r="A228" s="7" t="s">
        <v>5869</v>
      </c>
      <c r="B228" s="8" t="s">
        <v>135</v>
      </c>
      <c r="C228" s="10">
        <f t="shared" si="11"/>
        <v>22470</v>
      </c>
      <c r="D228" t="s">
        <v>11</v>
      </c>
      <c r="E228" t="s">
        <v>12</v>
      </c>
      <c r="F228" t="s">
        <v>11</v>
      </c>
      <c r="G228" t="s">
        <v>12</v>
      </c>
      <c r="H228" t="s">
        <v>11</v>
      </c>
      <c r="I228" t="s">
        <v>12</v>
      </c>
      <c r="J228" t="s">
        <v>11</v>
      </c>
      <c r="K228" t="s">
        <v>12</v>
      </c>
      <c r="L228" s="12" t="s">
        <v>24</v>
      </c>
      <c r="M228" s="12" t="s">
        <v>134</v>
      </c>
      <c r="N228" s="12" t="s">
        <v>47</v>
      </c>
      <c r="O228" s="12" t="s">
        <v>106</v>
      </c>
      <c r="P228" s="12" t="s">
        <v>73</v>
      </c>
      <c r="Q228" s="7" t="str">
        <f t="shared" si="10"/>
        <v>(1961,27,'1961.07.08',39,56,69,75,76,0),</v>
      </c>
      <c r="R228" s="7" t="str">
        <f t="shared" si="12"/>
        <v>(1961,27,'1961.07.08',39,56,69,75,76),</v>
      </c>
    </row>
    <row r="229" spans="1:18" x14ac:dyDescent="0.25">
      <c r="A229" s="7" t="s">
        <v>5869</v>
      </c>
      <c r="B229" s="8" t="s">
        <v>126</v>
      </c>
      <c r="C229" s="10">
        <f t="shared" si="11"/>
        <v>22477</v>
      </c>
      <c r="D229" t="s">
        <v>11</v>
      </c>
      <c r="E229" t="s">
        <v>12</v>
      </c>
      <c r="F229" t="s">
        <v>11</v>
      </c>
      <c r="G229" t="s">
        <v>12</v>
      </c>
      <c r="H229" t="s">
        <v>11</v>
      </c>
      <c r="I229" t="s">
        <v>12</v>
      </c>
      <c r="J229" t="s">
        <v>11</v>
      </c>
      <c r="K229" t="s">
        <v>12</v>
      </c>
      <c r="L229" s="12" t="s">
        <v>64</v>
      </c>
      <c r="M229" s="12" t="s">
        <v>36</v>
      </c>
      <c r="N229" s="12" t="s">
        <v>45</v>
      </c>
      <c r="O229" s="12" t="s">
        <v>134</v>
      </c>
      <c r="P229" s="12" t="s">
        <v>301</v>
      </c>
      <c r="Q229" s="7" t="str">
        <f t="shared" si="10"/>
        <v>(1961,28,'1961.07.15',35,38,43,56,80,0),</v>
      </c>
      <c r="R229" s="7" t="str">
        <f t="shared" si="12"/>
        <v>(1961,28,'1961.07.15',35,38,43,56,80),</v>
      </c>
    </row>
    <row r="230" spans="1:18" x14ac:dyDescent="0.25">
      <c r="A230" s="7" t="s">
        <v>5869</v>
      </c>
      <c r="B230" s="8" t="s">
        <v>116</v>
      </c>
      <c r="C230" s="10">
        <f t="shared" si="11"/>
        <v>22484</v>
      </c>
      <c r="D230" t="s">
        <v>11</v>
      </c>
      <c r="E230" t="s">
        <v>12</v>
      </c>
      <c r="F230" t="s">
        <v>11</v>
      </c>
      <c r="G230" t="s">
        <v>12</v>
      </c>
      <c r="H230" t="s">
        <v>11</v>
      </c>
      <c r="I230" t="s">
        <v>12</v>
      </c>
      <c r="J230" t="s">
        <v>11</v>
      </c>
      <c r="K230" t="s">
        <v>12</v>
      </c>
      <c r="L230" s="12" t="s">
        <v>32</v>
      </c>
      <c r="M230" s="12" t="s">
        <v>133</v>
      </c>
      <c r="N230" s="12" t="s">
        <v>72</v>
      </c>
      <c r="O230" s="12" t="s">
        <v>92</v>
      </c>
      <c r="P230" s="12" t="s">
        <v>239</v>
      </c>
      <c r="Q230" s="7" t="str">
        <f t="shared" si="10"/>
        <v>(1961,29,'1961.07.22',22,45,67,68,73,0),</v>
      </c>
      <c r="R230" s="7" t="str">
        <f t="shared" si="12"/>
        <v>(1961,29,'1961.07.22',22,45,67,68,73),</v>
      </c>
    </row>
    <row r="231" spans="1:18" x14ac:dyDescent="0.25">
      <c r="A231" s="7" t="s">
        <v>5869</v>
      </c>
      <c r="B231" s="8" t="s">
        <v>107</v>
      </c>
      <c r="C231" s="10">
        <f t="shared" si="11"/>
        <v>22491</v>
      </c>
      <c r="D231" t="s">
        <v>11</v>
      </c>
      <c r="E231" t="s">
        <v>12</v>
      </c>
      <c r="F231" t="s">
        <v>11</v>
      </c>
      <c r="G231" t="s">
        <v>12</v>
      </c>
      <c r="H231" t="s">
        <v>11</v>
      </c>
      <c r="I231" t="s">
        <v>12</v>
      </c>
      <c r="J231" t="s">
        <v>11</v>
      </c>
      <c r="K231" t="s">
        <v>12</v>
      </c>
      <c r="L231" s="12" t="s">
        <v>89</v>
      </c>
      <c r="M231" s="12" t="s">
        <v>44</v>
      </c>
      <c r="N231" s="12" t="s">
        <v>20</v>
      </c>
      <c r="O231" s="12" t="s">
        <v>92</v>
      </c>
      <c r="P231" s="12" t="s">
        <v>308</v>
      </c>
      <c r="Q231" s="7" t="str">
        <f t="shared" si="10"/>
        <v>(1961,30,'1961.07.29',5,21,33,68,86,0),</v>
      </c>
      <c r="R231" s="7" t="str">
        <f t="shared" si="12"/>
        <v>(1961,30,'1961.07.29',5,21,33,68,86),</v>
      </c>
    </row>
    <row r="232" spans="1:18" x14ac:dyDescent="0.25">
      <c r="A232" s="7" t="s">
        <v>5869</v>
      </c>
      <c r="B232" s="8" t="s">
        <v>71</v>
      </c>
      <c r="C232" s="10">
        <f t="shared" si="11"/>
        <v>22498</v>
      </c>
      <c r="D232" t="s">
        <v>11</v>
      </c>
      <c r="E232" t="s">
        <v>12</v>
      </c>
      <c r="F232" t="s">
        <v>11</v>
      </c>
      <c r="G232" t="s">
        <v>12</v>
      </c>
      <c r="H232" t="s">
        <v>11</v>
      </c>
      <c r="I232" t="s">
        <v>12</v>
      </c>
      <c r="J232" t="s">
        <v>11</v>
      </c>
      <c r="K232" t="s">
        <v>12</v>
      </c>
      <c r="L232" s="12" t="s">
        <v>65</v>
      </c>
      <c r="M232" s="12" t="s">
        <v>23</v>
      </c>
      <c r="N232" s="12" t="s">
        <v>214</v>
      </c>
      <c r="O232" s="12" t="s">
        <v>47</v>
      </c>
      <c r="P232" s="12" t="s">
        <v>186</v>
      </c>
      <c r="Q232" s="7" t="str">
        <f t="shared" si="10"/>
        <v>(1961,31,'1961.08.05',13,60,64,69,90,0),</v>
      </c>
      <c r="R232" s="7" t="str">
        <f t="shared" si="12"/>
        <v>(1961,31,'1961.08.05',13,60,64,69,90),</v>
      </c>
    </row>
    <row r="233" spans="1:18" x14ac:dyDescent="0.25">
      <c r="A233" s="7" t="s">
        <v>5869</v>
      </c>
      <c r="B233" s="8" t="s">
        <v>80</v>
      </c>
      <c r="C233" s="10">
        <f t="shared" si="11"/>
        <v>22505</v>
      </c>
      <c r="D233" t="s">
        <v>11</v>
      </c>
      <c r="E233" t="s">
        <v>12</v>
      </c>
      <c r="F233" t="s">
        <v>11</v>
      </c>
      <c r="G233" t="s">
        <v>12</v>
      </c>
      <c r="H233" t="s">
        <v>11</v>
      </c>
      <c r="I233" t="s">
        <v>12</v>
      </c>
      <c r="J233" t="s">
        <v>11</v>
      </c>
      <c r="K233" t="s">
        <v>12</v>
      </c>
      <c r="L233" s="12" t="s">
        <v>232</v>
      </c>
      <c r="M233" s="12" t="s">
        <v>33</v>
      </c>
      <c r="N233" s="12" t="s">
        <v>126</v>
      </c>
      <c r="O233" s="12" t="s">
        <v>36</v>
      </c>
      <c r="P233" s="12" t="s">
        <v>622</v>
      </c>
      <c r="Q233" s="7" t="str">
        <f t="shared" si="10"/>
        <v>(1961,32,'1961.08.12',8,24,28,38,82,0),</v>
      </c>
      <c r="R233" s="7" t="str">
        <f t="shared" si="12"/>
        <v>(1961,32,'1961.08.12',8,24,28,38,82),</v>
      </c>
    </row>
    <row r="234" spans="1:18" x14ac:dyDescent="0.25">
      <c r="A234" s="7" t="s">
        <v>5869</v>
      </c>
      <c r="B234" s="8" t="s">
        <v>20</v>
      </c>
      <c r="C234" s="10">
        <f t="shared" si="11"/>
        <v>22512</v>
      </c>
      <c r="D234" t="s">
        <v>11</v>
      </c>
      <c r="E234" t="s">
        <v>12</v>
      </c>
      <c r="F234" t="s">
        <v>11</v>
      </c>
      <c r="G234" t="s">
        <v>12</v>
      </c>
      <c r="H234" t="s">
        <v>11</v>
      </c>
      <c r="I234" t="s">
        <v>12</v>
      </c>
      <c r="J234" t="s">
        <v>11</v>
      </c>
      <c r="K234" t="s">
        <v>12</v>
      </c>
      <c r="L234" s="12" t="s">
        <v>43</v>
      </c>
      <c r="M234" s="12" t="s">
        <v>19</v>
      </c>
      <c r="N234" s="12" t="s">
        <v>20</v>
      </c>
      <c r="O234" s="12" t="s">
        <v>46</v>
      </c>
      <c r="P234" s="12" t="s">
        <v>73</v>
      </c>
      <c r="Q234" s="7" t="str">
        <f t="shared" si="10"/>
        <v>(1961,33,'1961.08.19',16,18,33,37,76,0),</v>
      </c>
      <c r="R234" s="7" t="str">
        <f t="shared" si="12"/>
        <v>(1961,33,'1961.08.19',16,18,33,37,76),</v>
      </c>
    </row>
    <row r="235" spans="1:18" x14ac:dyDescent="0.25">
      <c r="A235" s="7" t="s">
        <v>5869</v>
      </c>
      <c r="B235" s="8" t="s">
        <v>25</v>
      </c>
      <c r="C235" s="10">
        <f t="shared" si="11"/>
        <v>22519</v>
      </c>
      <c r="D235" t="s">
        <v>11</v>
      </c>
      <c r="E235" t="s">
        <v>12</v>
      </c>
      <c r="F235" t="s">
        <v>11</v>
      </c>
      <c r="G235" t="s">
        <v>12</v>
      </c>
      <c r="H235" t="s">
        <v>11</v>
      </c>
      <c r="I235" t="s">
        <v>12</v>
      </c>
      <c r="J235" t="s">
        <v>11</v>
      </c>
      <c r="K235" t="s">
        <v>12</v>
      </c>
      <c r="L235" s="12" t="s">
        <v>168</v>
      </c>
      <c r="M235" s="12" t="s">
        <v>89</v>
      </c>
      <c r="N235" s="12" t="s">
        <v>98</v>
      </c>
      <c r="O235" s="12" t="s">
        <v>99</v>
      </c>
      <c r="P235" s="12" t="s">
        <v>214</v>
      </c>
      <c r="Q235" s="7" t="str">
        <f t="shared" si="10"/>
        <v>(1961,34,'1961.08.26',4,5,42,52,64,0),</v>
      </c>
      <c r="R235" s="7" t="str">
        <f t="shared" si="12"/>
        <v>(1961,34,'1961.08.26',4,5,42,52,64),</v>
      </c>
    </row>
    <row r="236" spans="1:18" x14ac:dyDescent="0.25">
      <c r="A236" s="7" t="s">
        <v>5869</v>
      </c>
      <c r="B236" s="8" t="s">
        <v>64</v>
      </c>
      <c r="C236" s="10">
        <f t="shared" si="11"/>
        <v>22526</v>
      </c>
      <c r="D236" t="s">
        <v>11</v>
      </c>
      <c r="E236" t="s">
        <v>12</v>
      </c>
      <c r="F236" t="s">
        <v>11</v>
      </c>
      <c r="G236" t="s">
        <v>12</v>
      </c>
      <c r="H236" t="s">
        <v>11</v>
      </c>
      <c r="I236" t="s">
        <v>12</v>
      </c>
      <c r="J236" t="s">
        <v>11</v>
      </c>
      <c r="K236" t="s">
        <v>12</v>
      </c>
      <c r="L236" s="12" t="s">
        <v>198</v>
      </c>
      <c r="M236" s="12" t="s">
        <v>62</v>
      </c>
      <c r="N236" s="12" t="s">
        <v>32</v>
      </c>
      <c r="O236" s="12" t="s">
        <v>21</v>
      </c>
      <c r="P236" s="12" t="s">
        <v>233</v>
      </c>
      <c r="Q236" s="7" t="str">
        <f t="shared" si="10"/>
        <v>(1961,35,'1961.09.02',9,10,22,36,66,0),</v>
      </c>
      <c r="R236" s="7" t="str">
        <f t="shared" si="12"/>
        <v>(1961,35,'1961.09.02',9,10,22,36,66),</v>
      </c>
    </row>
    <row r="237" spans="1:18" x14ac:dyDescent="0.25">
      <c r="A237" s="7" t="s">
        <v>5869</v>
      </c>
      <c r="B237" s="8" t="s">
        <v>21</v>
      </c>
      <c r="C237" s="10">
        <f t="shared" si="11"/>
        <v>22533</v>
      </c>
      <c r="D237" t="s">
        <v>11</v>
      </c>
      <c r="E237" t="s">
        <v>12</v>
      </c>
      <c r="F237" t="s">
        <v>11</v>
      </c>
      <c r="G237" t="s">
        <v>12</v>
      </c>
      <c r="H237" t="s">
        <v>11</v>
      </c>
      <c r="I237" t="s">
        <v>12</v>
      </c>
      <c r="J237" t="s">
        <v>11</v>
      </c>
      <c r="K237" t="s">
        <v>12</v>
      </c>
      <c r="L237" s="12" t="s">
        <v>53</v>
      </c>
      <c r="M237" s="12" t="s">
        <v>19</v>
      </c>
      <c r="N237" s="12" t="s">
        <v>33</v>
      </c>
      <c r="O237" s="12" t="s">
        <v>248</v>
      </c>
      <c r="P237" s="12" t="s">
        <v>200</v>
      </c>
      <c r="Q237" s="7" t="str">
        <f t="shared" si="10"/>
        <v>(1961,36,'1961.09.09',7,18,24,63,70,0),</v>
      </c>
      <c r="R237" s="7" t="str">
        <f t="shared" si="12"/>
        <v>(1961,36,'1961.09.09',7,18,24,63,70),</v>
      </c>
    </row>
    <row r="238" spans="1:18" x14ac:dyDescent="0.25">
      <c r="A238" s="7" t="s">
        <v>5869</v>
      </c>
      <c r="B238" s="8" t="s">
        <v>46</v>
      </c>
      <c r="C238" s="10">
        <f t="shared" si="11"/>
        <v>22540</v>
      </c>
      <c r="D238" t="s">
        <v>11</v>
      </c>
      <c r="E238" t="s">
        <v>12</v>
      </c>
      <c r="F238" t="s">
        <v>11</v>
      </c>
      <c r="G238" t="s">
        <v>12</v>
      </c>
      <c r="H238" t="s">
        <v>11</v>
      </c>
      <c r="I238" t="s">
        <v>12</v>
      </c>
      <c r="J238" t="s">
        <v>11</v>
      </c>
      <c r="K238" t="s">
        <v>12</v>
      </c>
      <c r="L238" s="12" t="s">
        <v>89</v>
      </c>
      <c r="M238" s="12" t="s">
        <v>31</v>
      </c>
      <c r="N238" s="12" t="s">
        <v>80</v>
      </c>
      <c r="O238" s="12" t="s">
        <v>81</v>
      </c>
      <c r="P238" s="12" t="s">
        <v>233</v>
      </c>
      <c r="Q238" s="7" t="str">
        <f t="shared" si="10"/>
        <v>(1961,37,'1961.09.16',5,12,32,47,66,0),</v>
      </c>
      <c r="R238" s="7" t="str">
        <f t="shared" si="12"/>
        <v>(1961,37,'1961.09.16',5,12,32,47,66),</v>
      </c>
    </row>
    <row r="239" spans="1:18" x14ac:dyDescent="0.25">
      <c r="A239" s="7" t="s">
        <v>5869</v>
      </c>
      <c r="B239" s="8" t="s">
        <v>36</v>
      </c>
      <c r="C239" s="10">
        <f t="shared" si="11"/>
        <v>22547</v>
      </c>
      <c r="D239" t="s">
        <v>11</v>
      </c>
      <c r="E239" t="s">
        <v>12</v>
      </c>
      <c r="F239" t="s">
        <v>11</v>
      </c>
      <c r="G239" t="s">
        <v>12</v>
      </c>
      <c r="H239" t="s">
        <v>11</v>
      </c>
      <c r="I239" t="s">
        <v>12</v>
      </c>
      <c r="J239" t="s">
        <v>11</v>
      </c>
      <c r="K239" t="s">
        <v>12</v>
      </c>
      <c r="L239" s="12" t="s">
        <v>42</v>
      </c>
      <c r="M239" s="12" t="s">
        <v>62</v>
      </c>
      <c r="N239" s="12" t="s">
        <v>192</v>
      </c>
      <c r="O239" s="12" t="s">
        <v>200</v>
      </c>
      <c r="P239" s="12" t="s">
        <v>125</v>
      </c>
      <c r="Q239" s="7" t="str">
        <f t="shared" si="10"/>
        <v>(1961,38,'1961.09.23',3,10,46,70,83,0),</v>
      </c>
      <c r="R239" s="7" t="str">
        <f t="shared" si="12"/>
        <v>(1961,38,'1961.09.23',3,10,46,70,83),</v>
      </c>
    </row>
    <row r="240" spans="1:18" x14ac:dyDescent="0.25">
      <c r="A240" s="7" t="s">
        <v>5869</v>
      </c>
      <c r="B240" s="8" t="s">
        <v>24</v>
      </c>
      <c r="C240" s="10">
        <f t="shared" si="11"/>
        <v>22554</v>
      </c>
      <c r="D240" t="s">
        <v>11</v>
      </c>
      <c r="E240" t="s">
        <v>12</v>
      </c>
      <c r="F240" t="s">
        <v>11</v>
      </c>
      <c r="G240" t="s">
        <v>12</v>
      </c>
      <c r="H240" t="s">
        <v>11</v>
      </c>
      <c r="I240" t="s">
        <v>12</v>
      </c>
      <c r="J240" t="s">
        <v>11</v>
      </c>
      <c r="K240" t="s">
        <v>12</v>
      </c>
      <c r="L240" s="12" t="s">
        <v>19</v>
      </c>
      <c r="M240" s="12" t="s">
        <v>98</v>
      </c>
      <c r="N240" s="12" t="s">
        <v>124</v>
      </c>
      <c r="O240" s="12" t="s">
        <v>47</v>
      </c>
      <c r="P240" s="12" t="s">
        <v>56</v>
      </c>
      <c r="Q240" s="7" t="str">
        <f t="shared" si="10"/>
        <v>(1961,39,'1961.09.30',18,42,62,69,71,0),</v>
      </c>
      <c r="R240" s="7" t="str">
        <f t="shared" si="12"/>
        <v>(1961,39,'1961.09.30',18,42,62,69,71),</v>
      </c>
    </row>
    <row r="241" spans="1:18" x14ac:dyDescent="0.25">
      <c r="A241" s="7" t="s">
        <v>5869</v>
      </c>
      <c r="B241" s="8" t="s">
        <v>10</v>
      </c>
      <c r="C241" s="10">
        <f t="shared" si="11"/>
        <v>22561</v>
      </c>
      <c r="D241" t="s">
        <v>11</v>
      </c>
      <c r="E241" t="s">
        <v>12</v>
      </c>
      <c r="F241" t="s">
        <v>11</v>
      </c>
      <c r="G241" t="s">
        <v>12</v>
      </c>
      <c r="H241" t="s">
        <v>11</v>
      </c>
      <c r="I241" t="s">
        <v>12</v>
      </c>
      <c r="J241" t="s">
        <v>11</v>
      </c>
      <c r="K241" t="s">
        <v>12</v>
      </c>
      <c r="L241" s="12" t="s">
        <v>135</v>
      </c>
      <c r="M241" s="12" t="s">
        <v>134</v>
      </c>
      <c r="N241" s="12" t="s">
        <v>200</v>
      </c>
      <c r="O241" s="12" t="s">
        <v>301</v>
      </c>
      <c r="P241" s="12" t="s">
        <v>379</v>
      </c>
      <c r="Q241" s="7" t="str">
        <f t="shared" si="10"/>
        <v>(1961,40,'1961.10.07',27,56,70,80,89,0),</v>
      </c>
      <c r="R241" s="7" t="str">
        <f t="shared" si="12"/>
        <v>(1961,40,'1961.10.07',27,56,70,80,89),</v>
      </c>
    </row>
    <row r="242" spans="1:18" x14ac:dyDescent="0.25">
      <c r="A242" s="7" t="s">
        <v>5869</v>
      </c>
      <c r="B242" s="8" t="s">
        <v>13</v>
      </c>
      <c r="C242" s="10">
        <f t="shared" si="11"/>
        <v>22568</v>
      </c>
      <c r="D242" t="s">
        <v>11</v>
      </c>
      <c r="E242" t="s">
        <v>12</v>
      </c>
      <c r="F242" t="s">
        <v>11</v>
      </c>
      <c r="G242" t="s">
        <v>12</v>
      </c>
      <c r="H242" t="s">
        <v>11</v>
      </c>
      <c r="I242" t="s">
        <v>12</v>
      </c>
      <c r="J242" t="s">
        <v>11</v>
      </c>
      <c r="K242" t="s">
        <v>12</v>
      </c>
      <c r="L242" s="12" t="s">
        <v>31</v>
      </c>
      <c r="M242" s="12" t="s">
        <v>44</v>
      </c>
      <c r="N242" s="12" t="s">
        <v>143</v>
      </c>
      <c r="O242" s="12" t="s">
        <v>246</v>
      </c>
      <c r="P242" s="12" t="s">
        <v>468</v>
      </c>
      <c r="Q242" s="7" t="str">
        <f t="shared" si="10"/>
        <v>(1961,41,'1961.10.14',12,21,77,84,85,0),</v>
      </c>
      <c r="R242" s="7" t="str">
        <f t="shared" si="12"/>
        <v>(1961,41,'1961.10.14',12,21,77,84,85),</v>
      </c>
    </row>
    <row r="243" spans="1:18" x14ac:dyDescent="0.25">
      <c r="A243" s="7" t="s">
        <v>5869</v>
      </c>
      <c r="B243" s="8" t="s">
        <v>98</v>
      </c>
      <c r="C243" s="10">
        <f t="shared" si="11"/>
        <v>22575</v>
      </c>
      <c r="D243" t="s">
        <v>11</v>
      </c>
      <c r="E243" t="s">
        <v>12</v>
      </c>
      <c r="F243" t="s">
        <v>11</v>
      </c>
      <c r="G243" t="s">
        <v>12</v>
      </c>
      <c r="H243" t="s">
        <v>11</v>
      </c>
      <c r="I243" t="s">
        <v>12</v>
      </c>
      <c r="J243" t="s">
        <v>11</v>
      </c>
      <c r="K243" t="s">
        <v>12</v>
      </c>
      <c r="L243" s="12" t="s">
        <v>42</v>
      </c>
      <c r="M243" s="12" t="s">
        <v>198</v>
      </c>
      <c r="N243" s="12" t="s">
        <v>44</v>
      </c>
      <c r="O243" s="12" t="s">
        <v>116</v>
      </c>
      <c r="P243" s="12" t="s">
        <v>73</v>
      </c>
      <c r="Q243" s="7" t="str">
        <f t="shared" si="10"/>
        <v>(1961,42,'1961.10.21',3,9,21,29,76,0),</v>
      </c>
      <c r="R243" s="7" t="str">
        <f t="shared" si="12"/>
        <v>(1961,42,'1961.10.21',3,9,21,29,76),</v>
      </c>
    </row>
    <row r="244" spans="1:18" x14ac:dyDescent="0.25">
      <c r="A244" s="7" t="s">
        <v>5869</v>
      </c>
      <c r="B244" s="8" t="s">
        <v>45</v>
      </c>
      <c r="C244" s="10">
        <f t="shared" si="11"/>
        <v>22582</v>
      </c>
      <c r="D244" t="s">
        <v>11</v>
      </c>
      <c r="E244" t="s">
        <v>12</v>
      </c>
      <c r="F244" t="s">
        <v>11</v>
      </c>
      <c r="G244" t="s">
        <v>12</v>
      </c>
      <c r="H244" t="s">
        <v>11</v>
      </c>
      <c r="I244" t="s">
        <v>12</v>
      </c>
      <c r="J244" t="s">
        <v>11</v>
      </c>
      <c r="K244" t="s">
        <v>12</v>
      </c>
      <c r="L244" s="12" t="s">
        <v>36</v>
      </c>
      <c r="M244" s="12" t="s">
        <v>22</v>
      </c>
      <c r="N244" s="12" t="s">
        <v>123</v>
      </c>
      <c r="O244" s="12" t="s">
        <v>134</v>
      </c>
      <c r="P244" s="12" t="s">
        <v>92</v>
      </c>
      <c r="Q244" s="7" t="str">
        <f t="shared" si="10"/>
        <v>(1961,43,'1961.10.28',38,48,54,56,68,0),</v>
      </c>
      <c r="R244" s="7" t="str">
        <f t="shared" si="12"/>
        <v>(1961,43,'1961.10.28',38,48,54,56,68),</v>
      </c>
    </row>
    <row r="245" spans="1:18" x14ac:dyDescent="0.25">
      <c r="A245" s="7" t="s">
        <v>5869</v>
      </c>
      <c r="B245" s="8" t="s">
        <v>142</v>
      </c>
      <c r="C245" s="10">
        <f t="shared" si="11"/>
        <v>22589</v>
      </c>
      <c r="D245" t="s">
        <v>11</v>
      </c>
      <c r="E245" t="s">
        <v>12</v>
      </c>
      <c r="F245" t="s">
        <v>11</v>
      </c>
      <c r="G245" t="s">
        <v>12</v>
      </c>
      <c r="H245" t="s">
        <v>11</v>
      </c>
      <c r="I245" t="s">
        <v>12</v>
      </c>
      <c r="J245" t="s">
        <v>11</v>
      </c>
      <c r="K245" t="s">
        <v>12</v>
      </c>
      <c r="L245" s="12" t="s">
        <v>32</v>
      </c>
      <c r="M245" s="12" t="s">
        <v>10</v>
      </c>
      <c r="N245" s="12" t="s">
        <v>98</v>
      </c>
      <c r="O245" s="12" t="s">
        <v>122</v>
      </c>
      <c r="P245" s="12" t="s">
        <v>175</v>
      </c>
      <c r="Q245" s="7" t="str">
        <f t="shared" si="10"/>
        <v>(1961,44,'1961.11.04',22,40,42,51,55,0),</v>
      </c>
      <c r="R245" s="7" t="str">
        <f t="shared" si="12"/>
        <v>(1961,44,'1961.11.04',22,40,42,51,55),</v>
      </c>
    </row>
    <row r="246" spans="1:18" x14ac:dyDescent="0.25">
      <c r="A246" s="7" t="s">
        <v>5869</v>
      </c>
      <c r="B246" s="8" t="s">
        <v>133</v>
      </c>
      <c r="C246" s="10">
        <f t="shared" si="11"/>
        <v>22596</v>
      </c>
      <c r="D246" t="s">
        <v>11</v>
      </c>
      <c r="E246" t="s">
        <v>12</v>
      </c>
      <c r="F246" t="s">
        <v>11</v>
      </c>
      <c r="G246" t="s">
        <v>12</v>
      </c>
      <c r="H246" t="s">
        <v>11</v>
      </c>
      <c r="I246" t="s">
        <v>12</v>
      </c>
      <c r="J246" t="s">
        <v>11</v>
      </c>
      <c r="K246" t="s">
        <v>12</v>
      </c>
      <c r="L246" s="12" t="s">
        <v>89</v>
      </c>
      <c r="M246" s="12" t="s">
        <v>20</v>
      </c>
      <c r="N246" s="12" t="s">
        <v>25</v>
      </c>
      <c r="O246" s="12" t="s">
        <v>150</v>
      </c>
      <c r="P246" s="12" t="s">
        <v>201</v>
      </c>
      <c r="Q246" s="7" t="str">
        <f t="shared" si="10"/>
        <v>(1961,45,'1961.11.11',5,33,34,57,72,0),</v>
      </c>
      <c r="R246" s="7" t="str">
        <f t="shared" si="12"/>
        <v>(1961,45,'1961.11.11',5,33,34,57,72),</v>
      </c>
    </row>
    <row r="247" spans="1:18" x14ac:dyDescent="0.25">
      <c r="A247" s="7" t="s">
        <v>5869</v>
      </c>
      <c r="B247" s="8" t="s">
        <v>192</v>
      </c>
      <c r="C247" s="10">
        <f t="shared" si="11"/>
        <v>22603</v>
      </c>
      <c r="D247" t="s">
        <v>11</v>
      </c>
      <c r="E247" t="s">
        <v>12</v>
      </c>
      <c r="F247" t="s">
        <v>11</v>
      </c>
      <c r="G247" t="s">
        <v>12</v>
      </c>
      <c r="H247" t="s">
        <v>11</v>
      </c>
      <c r="I247" t="s">
        <v>12</v>
      </c>
      <c r="J247" t="s">
        <v>11</v>
      </c>
      <c r="K247" t="s">
        <v>12</v>
      </c>
      <c r="L247" s="12" t="s">
        <v>199</v>
      </c>
      <c r="M247" s="12" t="s">
        <v>23</v>
      </c>
      <c r="N247" s="12" t="s">
        <v>91</v>
      </c>
      <c r="O247" s="12" t="s">
        <v>468</v>
      </c>
      <c r="P247" s="12" t="s">
        <v>186</v>
      </c>
      <c r="Q247" s="7" t="str">
        <f t="shared" si="10"/>
        <v>(1961,46,'1961.11.18',53,60,61,85,90,0),</v>
      </c>
      <c r="R247" s="7" t="str">
        <f t="shared" si="12"/>
        <v>(1961,46,'1961.11.18',53,60,61,85,90),</v>
      </c>
    </row>
    <row r="248" spans="1:18" x14ac:dyDescent="0.25">
      <c r="A248" s="7" t="s">
        <v>5869</v>
      </c>
      <c r="B248" s="8" t="s">
        <v>81</v>
      </c>
      <c r="C248" s="10">
        <f t="shared" si="11"/>
        <v>22610</v>
      </c>
      <c r="D248" t="s">
        <v>11</v>
      </c>
      <c r="E248" t="s">
        <v>12</v>
      </c>
      <c r="F248" t="s">
        <v>11</v>
      </c>
      <c r="G248" t="s">
        <v>12</v>
      </c>
      <c r="H248" t="s">
        <v>11</v>
      </c>
      <c r="I248" t="s">
        <v>12</v>
      </c>
      <c r="J248" t="s">
        <v>11</v>
      </c>
      <c r="K248" t="s">
        <v>12</v>
      </c>
      <c r="L248" s="12" t="s">
        <v>83</v>
      </c>
      <c r="M248" s="12" t="s">
        <v>54</v>
      </c>
      <c r="N248" s="12" t="s">
        <v>134</v>
      </c>
      <c r="O248" s="12" t="s">
        <v>169</v>
      </c>
      <c r="P248" s="12" t="s">
        <v>151</v>
      </c>
      <c r="Q248" s="7" t="str">
        <f t="shared" si="10"/>
        <v>(1961,47,'1961.11.25',11,15,56,58,79,0),</v>
      </c>
      <c r="R248" s="7" t="str">
        <f t="shared" si="12"/>
        <v>(1961,47,'1961.11.25',11,15,56,58,79),</v>
      </c>
    </row>
    <row r="249" spans="1:18" x14ac:dyDescent="0.25">
      <c r="A249" s="7" t="s">
        <v>5869</v>
      </c>
      <c r="B249" s="8" t="s">
        <v>22</v>
      </c>
      <c r="C249" s="10">
        <f t="shared" si="11"/>
        <v>22617</v>
      </c>
      <c r="D249" t="s">
        <v>11</v>
      </c>
      <c r="E249" t="s">
        <v>12</v>
      </c>
      <c r="F249" t="s">
        <v>11</v>
      </c>
      <c r="G249" t="s">
        <v>12</v>
      </c>
      <c r="H249" t="s">
        <v>11</v>
      </c>
      <c r="I249" t="s">
        <v>12</v>
      </c>
      <c r="J249" t="s">
        <v>11</v>
      </c>
      <c r="K249" t="s">
        <v>12</v>
      </c>
      <c r="L249" s="12" t="s">
        <v>168</v>
      </c>
      <c r="M249" s="12" t="s">
        <v>71</v>
      </c>
      <c r="N249" s="12" t="s">
        <v>201</v>
      </c>
      <c r="O249" s="12" t="s">
        <v>622</v>
      </c>
      <c r="P249" s="12" t="s">
        <v>468</v>
      </c>
      <c r="Q249" s="7" t="str">
        <f t="shared" si="10"/>
        <v>(1961,48,'1961.12.02',4,31,72,82,85,0),</v>
      </c>
      <c r="R249" s="7" t="str">
        <f t="shared" si="12"/>
        <v>(1961,48,'1961.12.02',4,31,72,82,85),</v>
      </c>
    </row>
    <row r="250" spans="1:18" x14ac:dyDescent="0.25">
      <c r="A250" s="7" t="s">
        <v>5869</v>
      </c>
      <c r="B250" s="8" t="s">
        <v>34</v>
      </c>
      <c r="C250" s="10">
        <f t="shared" si="11"/>
        <v>22624</v>
      </c>
      <c r="D250" t="s">
        <v>11</v>
      </c>
      <c r="E250" t="s">
        <v>12</v>
      </c>
      <c r="F250" t="s">
        <v>11</v>
      </c>
      <c r="G250" t="s">
        <v>12</v>
      </c>
      <c r="H250" t="s">
        <v>11</v>
      </c>
      <c r="I250" t="s">
        <v>12</v>
      </c>
      <c r="J250" t="s">
        <v>11</v>
      </c>
      <c r="K250" t="s">
        <v>12</v>
      </c>
      <c r="L250" s="12" t="s">
        <v>42</v>
      </c>
      <c r="M250" s="12" t="s">
        <v>31</v>
      </c>
      <c r="N250" s="12" t="s">
        <v>127</v>
      </c>
      <c r="O250" s="12" t="s">
        <v>122</v>
      </c>
      <c r="P250" s="12" t="s">
        <v>199</v>
      </c>
      <c r="Q250" s="7" t="str">
        <f t="shared" si="10"/>
        <v>(1961,49,'1961.12.09',3,12,14,51,53,0),</v>
      </c>
      <c r="R250" s="7" t="str">
        <f t="shared" si="12"/>
        <v>(1961,49,'1961.12.09',3,12,14,51,53),</v>
      </c>
    </row>
    <row r="251" spans="1:18" x14ac:dyDescent="0.25">
      <c r="A251" s="7" t="s">
        <v>5869</v>
      </c>
      <c r="B251" s="8" t="s">
        <v>105</v>
      </c>
      <c r="C251" s="10">
        <f t="shared" si="11"/>
        <v>22631</v>
      </c>
      <c r="D251" t="s">
        <v>11</v>
      </c>
      <c r="E251" t="s">
        <v>12</v>
      </c>
      <c r="F251" t="s">
        <v>11</v>
      </c>
      <c r="G251" t="s">
        <v>12</v>
      </c>
      <c r="H251" t="s">
        <v>11</v>
      </c>
      <c r="I251" t="s">
        <v>12</v>
      </c>
      <c r="J251" t="s">
        <v>11</v>
      </c>
      <c r="K251" t="s">
        <v>12</v>
      </c>
      <c r="L251" s="12" t="s">
        <v>127</v>
      </c>
      <c r="M251" s="12" t="s">
        <v>199</v>
      </c>
      <c r="N251" s="12" t="s">
        <v>35</v>
      </c>
      <c r="O251" s="12" t="s">
        <v>245</v>
      </c>
      <c r="P251" s="12" t="s">
        <v>622</v>
      </c>
      <c r="Q251" s="7" t="str">
        <f t="shared" si="10"/>
        <v>(1961,50,'1961.12.16',14,53,65,74,82,0),</v>
      </c>
      <c r="R251" s="7" t="str">
        <f t="shared" si="12"/>
        <v>(1961,50,'1961.12.16',14,53,65,74,82),</v>
      </c>
    </row>
    <row r="252" spans="1:18" x14ac:dyDescent="0.25">
      <c r="A252" s="7" t="s">
        <v>5869</v>
      </c>
      <c r="B252" s="8" t="s">
        <v>122</v>
      </c>
      <c r="C252" s="10">
        <f t="shared" si="11"/>
        <v>22638</v>
      </c>
      <c r="D252" t="s">
        <v>11</v>
      </c>
      <c r="E252" t="s">
        <v>12</v>
      </c>
      <c r="F252" t="s">
        <v>11</v>
      </c>
      <c r="G252" t="s">
        <v>12</v>
      </c>
      <c r="H252" t="s">
        <v>11</v>
      </c>
      <c r="I252" t="s">
        <v>12</v>
      </c>
      <c r="J252" t="s">
        <v>11</v>
      </c>
      <c r="K252" t="s">
        <v>12</v>
      </c>
      <c r="L252" s="12" t="s">
        <v>232</v>
      </c>
      <c r="M252" s="12" t="s">
        <v>83</v>
      </c>
      <c r="N252" s="12" t="s">
        <v>152</v>
      </c>
      <c r="O252" s="12" t="s">
        <v>25</v>
      </c>
      <c r="P252" s="12" t="s">
        <v>124</v>
      </c>
      <c r="Q252" s="7" t="str">
        <f t="shared" si="10"/>
        <v>(1961,51,'1961.12.23',8,11,25,34,62,0),</v>
      </c>
      <c r="R252" s="7" t="str">
        <f t="shared" si="12"/>
        <v>(1961,51,'1961.12.23',8,11,25,34,62),</v>
      </c>
    </row>
    <row r="253" spans="1:18" x14ac:dyDescent="0.25">
      <c r="A253" s="7" t="s">
        <v>5869</v>
      </c>
      <c r="B253" s="8" t="s">
        <v>99</v>
      </c>
      <c r="C253" s="10">
        <f t="shared" si="11"/>
        <v>22645</v>
      </c>
      <c r="D253" t="s">
        <v>11</v>
      </c>
      <c r="E253" t="s">
        <v>12</v>
      </c>
      <c r="F253" t="s">
        <v>11</v>
      </c>
      <c r="G253" t="s">
        <v>12</v>
      </c>
      <c r="H253" t="s">
        <v>11</v>
      </c>
      <c r="I253" t="s">
        <v>12</v>
      </c>
      <c r="J253" t="s">
        <v>11</v>
      </c>
      <c r="K253" t="s">
        <v>12</v>
      </c>
      <c r="L253" s="12" t="s">
        <v>46</v>
      </c>
      <c r="M253" s="12" t="s">
        <v>192</v>
      </c>
      <c r="N253" s="12" t="s">
        <v>199</v>
      </c>
      <c r="O253" s="12" t="s">
        <v>239</v>
      </c>
      <c r="P253" s="12" t="s">
        <v>215</v>
      </c>
      <c r="Q253" s="7" t="str">
        <f t="shared" si="10"/>
        <v>(1961,52,'1961.12.30',37,46,53,73,81,0),</v>
      </c>
      <c r="R253" s="7" t="str">
        <f t="shared" si="12"/>
        <v>(1961,52,'1961.12.30',37,46,53,73,81),</v>
      </c>
    </row>
    <row r="254" spans="1:18" x14ac:dyDescent="0.25">
      <c r="A254" s="7" t="s">
        <v>5868</v>
      </c>
      <c r="B254" s="8" t="s">
        <v>108</v>
      </c>
      <c r="C254" s="10">
        <f t="shared" si="11"/>
        <v>22652</v>
      </c>
      <c r="D254" t="s">
        <v>11</v>
      </c>
      <c r="E254" t="s">
        <v>12</v>
      </c>
      <c r="F254" t="s">
        <v>11</v>
      </c>
      <c r="G254" t="s">
        <v>12</v>
      </c>
      <c r="H254" t="s">
        <v>11</v>
      </c>
      <c r="I254" t="s">
        <v>12</v>
      </c>
      <c r="J254" t="s">
        <v>11</v>
      </c>
      <c r="K254" t="s">
        <v>12</v>
      </c>
      <c r="L254" s="12" t="s">
        <v>32</v>
      </c>
      <c r="M254" s="12" t="s">
        <v>71</v>
      </c>
      <c r="N254" s="12" t="s">
        <v>233</v>
      </c>
      <c r="O254" s="12" t="s">
        <v>143</v>
      </c>
      <c r="P254" s="12" t="s">
        <v>308</v>
      </c>
      <c r="Q254" s="7" t="str">
        <f t="shared" si="10"/>
        <v>(1962,1,'1962.01.06',22,31,66,77,86,0),</v>
      </c>
      <c r="R254" s="7" t="str">
        <f t="shared" si="12"/>
        <v>(1962,1,'1962.01.06',22,31,66,77,86),</v>
      </c>
    </row>
    <row r="255" spans="1:18" x14ac:dyDescent="0.25">
      <c r="A255" s="7" t="s">
        <v>5868</v>
      </c>
      <c r="B255" s="8" t="s">
        <v>207</v>
      </c>
      <c r="C255" s="10">
        <f t="shared" si="11"/>
        <v>22659</v>
      </c>
      <c r="D255" t="s">
        <v>11</v>
      </c>
      <c r="E255" t="s">
        <v>12</v>
      </c>
      <c r="F255" t="s">
        <v>11</v>
      </c>
      <c r="G255" t="s">
        <v>12</v>
      </c>
      <c r="H255" t="s">
        <v>11</v>
      </c>
      <c r="I255" t="s">
        <v>12</v>
      </c>
      <c r="J255" t="s">
        <v>11</v>
      </c>
      <c r="K255" t="s">
        <v>12</v>
      </c>
      <c r="L255" s="12" t="s">
        <v>89</v>
      </c>
      <c r="M255" s="12" t="s">
        <v>47</v>
      </c>
      <c r="N255" s="12" t="s">
        <v>56</v>
      </c>
      <c r="O255" s="12" t="s">
        <v>215</v>
      </c>
      <c r="P255" s="12" t="s">
        <v>379</v>
      </c>
      <c r="Q255" s="7" t="str">
        <f t="shared" si="10"/>
        <v>(1962,2,'1962.01.13',5,69,71,81,89,0),</v>
      </c>
      <c r="R255" s="7" t="str">
        <f t="shared" si="12"/>
        <v>(1962,2,'1962.01.13',5,69,71,81,89),</v>
      </c>
    </row>
    <row r="256" spans="1:18" x14ac:dyDescent="0.25">
      <c r="A256" s="7" t="s">
        <v>5868</v>
      </c>
      <c r="B256" s="8" t="s">
        <v>42</v>
      </c>
      <c r="C256" s="10">
        <f t="shared" si="11"/>
        <v>22666</v>
      </c>
      <c r="D256" t="s">
        <v>11</v>
      </c>
      <c r="E256" t="s">
        <v>12</v>
      </c>
      <c r="F256" t="s">
        <v>11</v>
      </c>
      <c r="G256" t="s">
        <v>12</v>
      </c>
      <c r="H256" t="s">
        <v>11</v>
      </c>
      <c r="I256" t="s">
        <v>12</v>
      </c>
      <c r="J256" t="s">
        <v>11</v>
      </c>
      <c r="K256" t="s">
        <v>12</v>
      </c>
      <c r="L256" s="12" t="s">
        <v>163</v>
      </c>
      <c r="M256" s="12" t="s">
        <v>126</v>
      </c>
      <c r="N256" s="12" t="s">
        <v>81</v>
      </c>
      <c r="O256" s="12" t="s">
        <v>105</v>
      </c>
      <c r="P256" s="12" t="s">
        <v>239</v>
      </c>
      <c r="Q256" s="7" t="str">
        <f t="shared" si="10"/>
        <v>(1962,3,'1962.01.20',23,28,47,50,73,0),</v>
      </c>
      <c r="R256" s="7" t="str">
        <f t="shared" si="12"/>
        <v>(1962,3,'1962.01.20',23,28,47,50,73),</v>
      </c>
    </row>
    <row r="257" spans="1:18" x14ac:dyDescent="0.25">
      <c r="A257" s="7" t="s">
        <v>5868</v>
      </c>
      <c r="B257" s="8" t="s">
        <v>168</v>
      </c>
      <c r="C257" s="10">
        <f t="shared" si="11"/>
        <v>22673</v>
      </c>
      <c r="D257" t="s">
        <v>11</v>
      </c>
      <c r="E257" t="s">
        <v>12</v>
      </c>
      <c r="F257" t="s">
        <v>11</v>
      </c>
      <c r="G257" t="s">
        <v>12</v>
      </c>
      <c r="H257" t="s">
        <v>11</v>
      </c>
      <c r="I257" t="s">
        <v>12</v>
      </c>
      <c r="J257" t="s">
        <v>11</v>
      </c>
      <c r="K257" t="s">
        <v>12</v>
      </c>
      <c r="L257" s="12" t="s">
        <v>42</v>
      </c>
      <c r="M257" s="12" t="s">
        <v>126</v>
      </c>
      <c r="N257" s="12" t="s">
        <v>45</v>
      </c>
      <c r="O257" s="12" t="s">
        <v>192</v>
      </c>
      <c r="P257" s="12" t="s">
        <v>308</v>
      </c>
      <c r="Q257" s="7" t="str">
        <f t="shared" si="10"/>
        <v>(1962,4,'1962.01.27',3,28,43,46,86,0),</v>
      </c>
      <c r="R257" s="7" t="str">
        <f t="shared" si="12"/>
        <v>(1962,4,'1962.01.27',3,28,43,46,86),</v>
      </c>
    </row>
    <row r="258" spans="1:18" x14ac:dyDescent="0.25">
      <c r="A258" s="7" t="s">
        <v>5868</v>
      </c>
      <c r="B258" s="8" t="s">
        <v>89</v>
      </c>
      <c r="C258" s="10">
        <f t="shared" si="11"/>
        <v>22680</v>
      </c>
      <c r="D258" t="s">
        <v>11</v>
      </c>
      <c r="E258" t="s">
        <v>12</v>
      </c>
      <c r="F258" t="s">
        <v>11</v>
      </c>
      <c r="G258" t="s">
        <v>12</v>
      </c>
      <c r="H258" t="s">
        <v>11</v>
      </c>
      <c r="I258" t="s">
        <v>12</v>
      </c>
      <c r="J258" t="s">
        <v>11</v>
      </c>
      <c r="K258" t="s">
        <v>12</v>
      </c>
      <c r="L258" s="12" t="s">
        <v>42</v>
      </c>
      <c r="M258" s="12" t="s">
        <v>62</v>
      </c>
      <c r="N258" s="12" t="s">
        <v>21</v>
      </c>
      <c r="O258" s="12" t="s">
        <v>10</v>
      </c>
      <c r="P258" s="12" t="s">
        <v>45</v>
      </c>
      <c r="Q258" s="7" t="str">
        <f t="shared" ref="Q258:Q321" si="13">"("&amp;A258&amp;","&amp;B258&amp;",'"&amp;TEXT(C258,"éééé.hh.nn")&amp;"',"&amp;L258&amp;","&amp;M258&amp;","&amp;N258&amp;","&amp;O258&amp;","&amp;P258&amp;",0)"&amp;IF(P259&lt;&gt;0,",","")</f>
        <v>(1962,5,'1962.02.03',3,10,36,40,43,0),</v>
      </c>
      <c r="R258" s="7" t="str">
        <f t="shared" si="12"/>
        <v>(1962,5,'1962.02.03',3,10,36,40,43),</v>
      </c>
    </row>
    <row r="259" spans="1:18" x14ac:dyDescent="0.25">
      <c r="A259" s="7" t="s">
        <v>5868</v>
      </c>
      <c r="B259" s="8" t="s">
        <v>270</v>
      </c>
      <c r="C259" s="10">
        <f t="shared" ref="C259:C322" si="14">+C258+7</f>
        <v>22687</v>
      </c>
      <c r="D259" t="s">
        <v>11</v>
      </c>
      <c r="E259" t="s">
        <v>12</v>
      </c>
      <c r="F259" t="s">
        <v>11</v>
      </c>
      <c r="G259" t="s">
        <v>12</v>
      </c>
      <c r="H259" t="s">
        <v>11</v>
      </c>
      <c r="I259" t="s">
        <v>12</v>
      </c>
      <c r="J259" t="s">
        <v>11</v>
      </c>
      <c r="K259" t="s">
        <v>12</v>
      </c>
      <c r="L259" s="12" t="s">
        <v>90</v>
      </c>
      <c r="M259" s="12" t="s">
        <v>169</v>
      </c>
      <c r="N259" s="12" t="s">
        <v>47</v>
      </c>
      <c r="O259" s="12" t="s">
        <v>125</v>
      </c>
      <c r="P259" s="12" t="s">
        <v>269</v>
      </c>
      <c r="Q259" s="7" t="str">
        <f t="shared" si="13"/>
        <v>(1962,6,'1962.02.10',17,58,69,83,87,0),</v>
      </c>
      <c r="R259" s="7" t="str">
        <f t="shared" ref="R259:R322" si="15">IF(TRIM(P259)="","","("&amp;A259&amp;","&amp;B259&amp;",'"&amp;TEXT(C259,"éééé.hh.nn")&amp;"',"&amp;L259&amp;","&amp;M259&amp;","&amp;N259&amp;","&amp;O259&amp;","&amp;P259&amp;")"&amp;IF(P260=0,";",","))</f>
        <v>(1962,6,'1962.02.10',17,58,69,83,87),</v>
      </c>
    </row>
    <row r="260" spans="1:18" x14ac:dyDescent="0.25">
      <c r="A260" s="7" t="s">
        <v>5868</v>
      </c>
      <c r="B260" s="8" t="s">
        <v>53</v>
      </c>
      <c r="C260" s="10">
        <f t="shared" si="14"/>
        <v>22694</v>
      </c>
      <c r="D260" t="s">
        <v>11</v>
      </c>
      <c r="E260" t="s">
        <v>12</v>
      </c>
      <c r="F260" t="s">
        <v>11</v>
      </c>
      <c r="G260" t="s">
        <v>12</v>
      </c>
      <c r="H260" t="s">
        <v>11</v>
      </c>
      <c r="I260" t="s">
        <v>12</v>
      </c>
      <c r="J260" t="s">
        <v>11</v>
      </c>
      <c r="K260" t="s">
        <v>12</v>
      </c>
      <c r="L260" s="12" t="s">
        <v>90</v>
      </c>
      <c r="M260" s="12" t="s">
        <v>33</v>
      </c>
      <c r="N260" s="12" t="s">
        <v>36</v>
      </c>
      <c r="O260" s="12" t="s">
        <v>24</v>
      </c>
      <c r="P260" s="12" t="s">
        <v>199</v>
      </c>
      <c r="Q260" s="7" t="str">
        <f t="shared" si="13"/>
        <v>(1962,7,'1962.02.17',17,24,38,39,53,0),</v>
      </c>
      <c r="R260" s="7" t="str">
        <f t="shared" si="15"/>
        <v>(1962,7,'1962.02.17',17,24,38,39,53),</v>
      </c>
    </row>
    <row r="261" spans="1:18" x14ac:dyDescent="0.25">
      <c r="A261" s="7" t="s">
        <v>5868</v>
      </c>
      <c r="B261" s="8" t="s">
        <v>232</v>
      </c>
      <c r="C261" s="10">
        <f t="shared" si="14"/>
        <v>22701</v>
      </c>
      <c r="D261" t="s">
        <v>11</v>
      </c>
      <c r="E261" t="s">
        <v>12</v>
      </c>
      <c r="F261" t="s">
        <v>11</v>
      </c>
      <c r="G261" t="s">
        <v>12</v>
      </c>
      <c r="H261" t="s">
        <v>11</v>
      </c>
      <c r="I261" t="s">
        <v>12</v>
      </c>
      <c r="J261" t="s">
        <v>11</v>
      </c>
      <c r="K261" t="s">
        <v>12</v>
      </c>
      <c r="L261" s="12" t="s">
        <v>127</v>
      </c>
      <c r="M261" s="12" t="s">
        <v>64</v>
      </c>
      <c r="N261" s="12" t="s">
        <v>46</v>
      </c>
      <c r="O261" s="12" t="s">
        <v>169</v>
      </c>
      <c r="P261" s="12" t="s">
        <v>269</v>
      </c>
      <c r="Q261" s="7" t="str">
        <f t="shared" si="13"/>
        <v>(1962,8,'1962.02.24',14,35,37,58,87,0),</v>
      </c>
      <c r="R261" s="7" t="str">
        <f t="shared" si="15"/>
        <v>(1962,8,'1962.02.24',14,35,37,58,87),</v>
      </c>
    </row>
    <row r="262" spans="1:18" x14ac:dyDescent="0.25">
      <c r="A262" s="7" t="s">
        <v>5868</v>
      </c>
      <c r="B262" s="8" t="s">
        <v>198</v>
      </c>
      <c r="C262" s="10">
        <f t="shared" si="14"/>
        <v>22708</v>
      </c>
      <c r="D262" t="s">
        <v>11</v>
      </c>
      <c r="E262" t="s">
        <v>12</v>
      </c>
      <c r="F262" t="s">
        <v>11</v>
      </c>
      <c r="G262" t="s">
        <v>12</v>
      </c>
      <c r="H262" t="s">
        <v>11</v>
      </c>
      <c r="I262" t="s">
        <v>12</v>
      </c>
      <c r="J262" t="s">
        <v>11</v>
      </c>
      <c r="K262" t="s">
        <v>12</v>
      </c>
      <c r="L262" s="12" t="s">
        <v>108</v>
      </c>
      <c r="M262" s="12" t="s">
        <v>24</v>
      </c>
      <c r="N262" s="12" t="s">
        <v>169</v>
      </c>
      <c r="O262" s="12" t="s">
        <v>200</v>
      </c>
      <c r="P262" s="12" t="s">
        <v>269</v>
      </c>
      <c r="Q262" s="7" t="str">
        <f t="shared" si="13"/>
        <v>(1962,9,'1962.03.03',1,39,58,70,87,0),</v>
      </c>
      <c r="R262" s="7" t="str">
        <f t="shared" si="15"/>
        <v>(1962,9,'1962.03.03',1,39,58,70,87),</v>
      </c>
    </row>
    <row r="263" spans="1:18" x14ac:dyDescent="0.25">
      <c r="A263" s="7" t="s">
        <v>5868</v>
      </c>
      <c r="B263" s="8" t="s">
        <v>62</v>
      </c>
      <c r="C263" s="10">
        <f t="shared" si="14"/>
        <v>22715</v>
      </c>
      <c r="D263" t="s">
        <v>11</v>
      </c>
      <c r="E263" t="s">
        <v>12</v>
      </c>
      <c r="F263" t="s">
        <v>11</v>
      </c>
      <c r="G263" t="s">
        <v>12</v>
      </c>
      <c r="H263" t="s">
        <v>11</v>
      </c>
      <c r="I263" t="s">
        <v>12</v>
      </c>
      <c r="J263" t="s">
        <v>11</v>
      </c>
      <c r="K263" t="s">
        <v>12</v>
      </c>
      <c r="L263" s="12" t="s">
        <v>108</v>
      </c>
      <c r="M263" s="12" t="s">
        <v>55</v>
      </c>
      <c r="N263" s="12" t="s">
        <v>107</v>
      </c>
      <c r="O263" s="12" t="s">
        <v>24</v>
      </c>
      <c r="P263" s="12" t="s">
        <v>622</v>
      </c>
      <c r="Q263" s="7" t="str">
        <f t="shared" si="13"/>
        <v>(1962,10,'1962.03.10',1,19,30,39,82,0),</v>
      </c>
      <c r="R263" s="7" t="str">
        <f t="shared" si="15"/>
        <v>(1962,10,'1962.03.10',1,19,30,39,82),</v>
      </c>
    </row>
    <row r="264" spans="1:18" x14ac:dyDescent="0.25">
      <c r="A264" s="7" t="s">
        <v>5868</v>
      </c>
      <c r="B264" s="8" t="s">
        <v>83</v>
      </c>
      <c r="C264" s="10">
        <f t="shared" si="14"/>
        <v>22722</v>
      </c>
      <c r="D264" t="s">
        <v>11</v>
      </c>
      <c r="E264" t="s">
        <v>12</v>
      </c>
      <c r="F264" t="s">
        <v>11</v>
      </c>
      <c r="G264" t="s">
        <v>12</v>
      </c>
      <c r="H264" t="s">
        <v>11</v>
      </c>
      <c r="I264" t="s">
        <v>12</v>
      </c>
      <c r="J264" t="s">
        <v>11</v>
      </c>
      <c r="K264" t="s">
        <v>12</v>
      </c>
      <c r="L264" s="12" t="s">
        <v>152</v>
      </c>
      <c r="M264" s="12" t="s">
        <v>21</v>
      </c>
      <c r="N264" s="12" t="s">
        <v>142</v>
      </c>
      <c r="O264" s="12" t="s">
        <v>169</v>
      </c>
      <c r="P264" s="12" t="s">
        <v>186</v>
      </c>
      <c r="Q264" s="7" t="str">
        <f t="shared" si="13"/>
        <v>(1962,11,'1962.03.17',25,36,44,58,90,0),</v>
      </c>
      <c r="R264" s="7" t="str">
        <f t="shared" si="15"/>
        <v>(1962,11,'1962.03.17',25,36,44,58,90),</v>
      </c>
    </row>
    <row r="265" spans="1:18" x14ac:dyDescent="0.25">
      <c r="A265" s="7" t="s">
        <v>5868</v>
      </c>
      <c r="B265" s="8" t="s">
        <v>31</v>
      </c>
      <c r="C265" s="10">
        <f t="shared" si="14"/>
        <v>22729</v>
      </c>
      <c r="D265" t="s">
        <v>11</v>
      </c>
      <c r="E265" t="s">
        <v>12</v>
      </c>
      <c r="F265" t="s">
        <v>11</v>
      </c>
      <c r="G265" t="s">
        <v>12</v>
      </c>
      <c r="H265" t="s">
        <v>11</v>
      </c>
      <c r="I265" t="s">
        <v>12</v>
      </c>
      <c r="J265" t="s">
        <v>11</v>
      </c>
      <c r="K265" t="s">
        <v>12</v>
      </c>
      <c r="L265" s="12" t="s">
        <v>36</v>
      </c>
      <c r="M265" s="12" t="s">
        <v>45</v>
      </c>
      <c r="N265" s="12" t="s">
        <v>91</v>
      </c>
      <c r="O265" s="12" t="s">
        <v>239</v>
      </c>
      <c r="P265" s="12" t="s">
        <v>269</v>
      </c>
      <c r="Q265" s="7" t="str">
        <f t="shared" si="13"/>
        <v>(1962,12,'1962.03.24',38,43,61,73,87,0),</v>
      </c>
      <c r="R265" s="7" t="str">
        <f t="shared" si="15"/>
        <v>(1962,12,'1962.03.24',38,43,61,73,87),</v>
      </c>
    </row>
    <row r="266" spans="1:18" x14ac:dyDescent="0.25">
      <c r="A266" s="7" t="s">
        <v>5868</v>
      </c>
      <c r="B266" s="8" t="s">
        <v>65</v>
      </c>
      <c r="C266" s="10">
        <f t="shared" si="14"/>
        <v>22736</v>
      </c>
      <c r="D266" t="s">
        <v>11</v>
      </c>
      <c r="E266" t="s">
        <v>12</v>
      </c>
      <c r="F266" t="s">
        <v>11</v>
      </c>
      <c r="G266" t="s">
        <v>12</v>
      </c>
      <c r="H266" t="s">
        <v>11</v>
      </c>
      <c r="I266" t="s">
        <v>12</v>
      </c>
      <c r="J266" t="s">
        <v>11</v>
      </c>
      <c r="K266" t="s">
        <v>12</v>
      </c>
      <c r="L266" s="12" t="s">
        <v>108</v>
      </c>
      <c r="M266" s="12" t="s">
        <v>90</v>
      </c>
      <c r="N266" s="12" t="s">
        <v>21</v>
      </c>
      <c r="O266" s="12" t="s">
        <v>199</v>
      </c>
      <c r="P266" s="12" t="s">
        <v>73</v>
      </c>
      <c r="Q266" s="7" t="str">
        <f t="shared" si="13"/>
        <v>(1962,13,'1962.03.31',1,17,36,53,76,0),</v>
      </c>
      <c r="R266" s="7" t="str">
        <f t="shared" si="15"/>
        <v>(1962,13,'1962.03.31',1,17,36,53,76),</v>
      </c>
    </row>
    <row r="267" spans="1:18" x14ac:dyDescent="0.25">
      <c r="A267" s="7" t="s">
        <v>5868</v>
      </c>
      <c r="B267" s="8" t="s">
        <v>127</v>
      </c>
      <c r="C267" s="10">
        <f t="shared" si="14"/>
        <v>22743</v>
      </c>
      <c r="D267" t="s">
        <v>11</v>
      </c>
      <c r="E267" t="s">
        <v>12</v>
      </c>
      <c r="F267" t="s">
        <v>11</v>
      </c>
      <c r="G267" t="s">
        <v>12</v>
      </c>
      <c r="H267" t="s">
        <v>11</v>
      </c>
      <c r="I267" t="s">
        <v>12</v>
      </c>
      <c r="J267" t="s">
        <v>11</v>
      </c>
      <c r="K267" t="s">
        <v>12</v>
      </c>
      <c r="L267" s="12" t="s">
        <v>54</v>
      </c>
      <c r="M267" s="12" t="s">
        <v>105</v>
      </c>
      <c r="N267" s="12" t="s">
        <v>150</v>
      </c>
      <c r="O267" s="12" t="s">
        <v>214</v>
      </c>
      <c r="P267" s="12" t="s">
        <v>200</v>
      </c>
      <c r="Q267" s="7" t="str">
        <f t="shared" si="13"/>
        <v>(1962,14,'1962.04.07',15,50,57,64,70,0),</v>
      </c>
      <c r="R267" s="7" t="str">
        <f t="shared" si="15"/>
        <v>(1962,14,'1962.04.07',15,50,57,64,70),</v>
      </c>
    </row>
    <row r="268" spans="1:18" x14ac:dyDescent="0.25">
      <c r="A268" s="7" t="s">
        <v>5868</v>
      </c>
      <c r="B268" s="8" t="s">
        <v>54</v>
      </c>
      <c r="C268" s="10">
        <f t="shared" si="14"/>
        <v>22750</v>
      </c>
      <c r="D268" t="s">
        <v>11</v>
      </c>
      <c r="E268" t="s">
        <v>12</v>
      </c>
      <c r="F268" t="s">
        <v>11</v>
      </c>
      <c r="G268" t="s">
        <v>12</v>
      </c>
      <c r="H268" t="s">
        <v>11</v>
      </c>
      <c r="I268" t="s">
        <v>12</v>
      </c>
      <c r="J268" t="s">
        <v>11</v>
      </c>
      <c r="K268" t="s">
        <v>12</v>
      </c>
      <c r="L268" s="12" t="s">
        <v>80</v>
      </c>
      <c r="M268" s="12" t="s">
        <v>10</v>
      </c>
      <c r="N268" s="12" t="s">
        <v>35</v>
      </c>
      <c r="O268" s="12" t="s">
        <v>73</v>
      </c>
      <c r="P268" s="12" t="s">
        <v>208</v>
      </c>
      <c r="Q268" s="7" t="str">
        <f t="shared" si="13"/>
        <v>(1962,15,'1962.04.14',32,40,65,76,88,0),</v>
      </c>
      <c r="R268" s="7" t="str">
        <f t="shared" si="15"/>
        <v>(1962,15,'1962.04.14',32,40,65,76,88),</v>
      </c>
    </row>
    <row r="269" spans="1:18" x14ac:dyDescent="0.25">
      <c r="A269" s="7" t="s">
        <v>5868</v>
      </c>
      <c r="B269" s="8" t="s">
        <v>43</v>
      </c>
      <c r="C269" s="10">
        <f t="shared" si="14"/>
        <v>22757</v>
      </c>
      <c r="D269" t="s">
        <v>11</v>
      </c>
      <c r="E269" t="s">
        <v>12</v>
      </c>
      <c r="F269" t="s">
        <v>11</v>
      </c>
      <c r="G269" t="s">
        <v>12</v>
      </c>
      <c r="H269" t="s">
        <v>11</v>
      </c>
      <c r="I269" t="s">
        <v>12</v>
      </c>
      <c r="J269" t="s">
        <v>11</v>
      </c>
      <c r="K269" t="s">
        <v>12</v>
      </c>
      <c r="L269" s="12" t="s">
        <v>62</v>
      </c>
      <c r="M269" s="12" t="s">
        <v>19</v>
      </c>
      <c r="N269" s="12" t="s">
        <v>23</v>
      </c>
      <c r="O269" s="12" t="s">
        <v>92</v>
      </c>
      <c r="P269" s="12" t="s">
        <v>73</v>
      </c>
      <c r="Q269" s="7" t="str">
        <f t="shared" si="13"/>
        <v>(1962,16,'1962.04.21',10,18,60,68,76,0),</v>
      </c>
      <c r="R269" s="7" t="str">
        <f t="shared" si="15"/>
        <v>(1962,16,'1962.04.21',10,18,60,68,76),</v>
      </c>
    </row>
    <row r="270" spans="1:18" x14ac:dyDescent="0.25">
      <c r="A270" s="7" t="s">
        <v>5868</v>
      </c>
      <c r="B270" s="8" t="s">
        <v>90</v>
      </c>
      <c r="C270" s="10">
        <f t="shared" si="14"/>
        <v>22764</v>
      </c>
      <c r="D270" t="s">
        <v>11</v>
      </c>
      <c r="E270" t="s">
        <v>12</v>
      </c>
      <c r="F270" t="s">
        <v>11</v>
      </c>
      <c r="G270" t="s">
        <v>12</v>
      </c>
      <c r="H270" t="s">
        <v>11</v>
      </c>
      <c r="I270" t="s">
        <v>12</v>
      </c>
      <c r="J270" t="s">
        <v>11</v>
      </c>
      <c r="K270" t="s">
        <v>12</v>
      </c>
      <c r="L270" s="12" t="s">
        <v>55</v>
      </c>
      <c r="M270" s="12" t="s">
        <v>34</v>
      </c>
      <c r="N270" s="12" t="s">
        <v>35</v>
      </c>
      <c r="O270" s="12" t="s">
        <v>56</v>
      </c>
      <c r="P270" s="12" t="s">
        <v>622</v>
      </c>
      <c r="Q270" s="7" t="str">
        <f t="shared" si="13"/>
        <v>(1962,17,'1962.04.28',19,49,65,71,82,0),</v>
      </c>
      <c r="R270" s="7" t="str">
        <f t="shared" si="15"/>
        <v>(1962,17,'1962.04.28',19,49,65,71,82),</v>
      </c>
    </row>
    <row r="271" spans="1:18" x14ac:dyDescent="0.25">
      <c r="A271" s="7" t="s">
        <v>5868</v>
      </c>
      <c r="B271" s="8" t="s">
        <v>19</v>
      </c>
      <c r="C271" s="10">
        <f t="shared" si="14"/>
        <v>22771</v>
      </c>
      <c r="D271" t="s">
        <v>11</v>
      </c>
      <c r="E271" t="s">
        <v>12</v>
      </c>
      <c r="F271" t="s">
        <v>11</v>
      </c>
      <c r="G271" t="s">
        <v>12</v>
      </c>
      <c r="H271" t="s">
        <v>11</v>
      </c>
      <c r="I271" t="s">
        <v>12</v>
      </c>
      <c r="J271" t="s">
        <v>11</v>
      </c>
      <c r="K271" t="s">
        <v>12</v>
      </c>
      <c r="L271" s="12" t="s">
        <v>83</v>
      </c>
      <c r="M271" s="12" t="s">
        <v>107</v>
      </c>
      <c r="N271" s="12" t="s">
        <v>199</v>
      </c>
      <c r="O271" s="12" t="s">
        <v>92</v>
      </c>
      <c r="P271" s="12" t="s">
        <v>143</v>
      </c>
      <c r="Q271" s="7" t="str">
        <f t="shared" si="13"/>
        <v>(1962,18,'1962.05.05',11,30,53,68,77,0),</v>
      </c>
      <c r="R271" s="7" t="str">
        <f t="shared" si="15"/>
        <v>(1962,18,'1962.05.05',11,30,53,68,77),</v>
      </c>
    </row>
    <row r="272" spans="1:18" x14ac:dyDescent="0.25">
      <c r="A272" s="7" t="s">
        <v>5868</v>
      </c>
      <c r="B272" s="8" t="s">
        <v>55</v>
      </c>
      <c r="C272" s="10">
        <f t="shared" si="14"/>
        <v>22778</v>
      </c>
      <c r="D272" t="s">
        <v>11</v>
      </c>
      <c r="E272" t="s">
        <v>12</v>
      </c>
      <c r="F272" t="s">
        <v>11</v>
      </c>
      <c r="G272" t="s">
        <v>12</v>
      </c>
      <c r="H272" t="s">
        <v>11</v>
      </c>
      <c r="I272" t="s">
        <v>12</v>
      </c>
      <c r="J272" t="s">
        <v>11</v>
      </c>
      <c r="K272" t="s">
        <v>12</v>
      </c>
      <c r="L272" s="12" t="s">
        <v>168</v>
      </c>
      <c r="M272" s="12" t="s">
        <v>64</v>
      </c>
      <c r="N272" s="12" t="s">
        <v>36</v>
      </c>
      <c r="O272" s="12" t="s">
        <v>175</v>
      </c>
      <c r="P272" s="12" t="s">
        <v>208</v>
      </c>
      <c r="Q272" s="7" t="str">
        <f t="shared" si="13"/>
        <v>(1962,19,'1962.05.12',4,35,38,55,88,0),</v>
      </c>
      <c r="R272" s="7" t="str">
        <f t="shared" si="15"/>
        <v>(1962,19,'1962.05.12',4,35,38,55,88),</v>
      </c>
    </row>
    <row r="273" spans="1:18" x14ac:dyDescent="0.25">
      <c r="A273" s="7" t="s">
        <v>5868</v>
      </c>
      <c r="B273" s="8" t="s">
        <v>115</v>
      </c>
      <c r="C273" s="10">
        <f t="shared" si="14"/>
        <v>22785</v>
      </c>
      <c r="D273" t="s">
        <v>11</v>
      </c>
      <c r="E273" t="s">
        <v>12</v>
      </c>
      <c r="F273" t="s">
        <v>11</v>
      </c>
      <c r="G273" t="s">
        <v>12</v>
      </c>
      <c r="H273" t="s">
        <v>11</v>
      </c>
      <c r="I273" t="s">
        <v>12</v>
      </c>
      <c r="J273" t="s">
        <v>11</v>
      </c>
      <c r="K273" t="s">
        <v>12</v>
      </c>
      <c r="L273" s="12" t="s">
        <v>55</v>
      </c>
      <c r="M273" s="12" t="s">
        <v>163</v>
      </c>
      <c r="N273" s="12" t="s">
        <v>99</v>
      </c>
      <c r="O273" s="12" t="s">
        <v>143</v>
      </c>
      <c r="P273" s="12" t="s">
        <v>379</v>
      </c>
      <c r="Q273" s="7" t="str">
        <f t="shared" si="13"/>
        <v>(1962,20,'1962.05.19',19,23,52,77,89,0),</v>
      </c>
      <c r="R273" s="7" t="str">
        <f t="shared" si="15"/>
        <v>(1962,20,'1962.05.19',19,23,52,77,89),</v>
      </c>
    </row>
    <row r="274" spans="1:18" x14ac:dyDescent="0.25">
      <c r="A274" s="7" t="s">
        <v>5868</v>
      </c>
      <c r="B274" s="8" t="s">
        <v>44</v>
      </c>
      <c r="C274" s="10">
        <f t="shared" si="14"/>
        <v>22792</v>
      </c>
      <c r="D274" t="s">
        <v>11</v>
      </c>
      <c r="E274" t="s">
        <v>12</v>
      </c>
      <c r="F274" t="s">
        <v>11</v>
      </c>
      <c r="G274" t="s">
        <v>12</v>
      </c>
      <c r="H274" t="s">
        <v>11</v>
      </c>
      <c r="I274" t="s">
        <v>12</v>
      </c>
      <c r="J274" t="s">
        <v>11</v>
      </c>
      <c r="K274" t="s">
        <v>12</v>
      </c>
      <c r="L274" s="12" t="s">
        <v>83</v>
      </c>
      <c r="M274" s="12" t="s">
        <v>25</v>
      </c>
      <c r="N274" s="12" t="s">
        <v>99</v>
      </c>
      <c r="O274" s="12" t="s">
        <v>35</v>
      </c>
      <c r="P274" s="12" t="s">
        <v>468</v>
      </c>
      <c r="Q274" s="7" t="str">
        <f t="shared" si="13"/>
        <v>(1962,21,'1962.05.26',11,34,52,65,85,0),</v>
      </c>
      <c r="R274" s="7" t="str">
        <f t="shared" si="15"/>
        <v>(1962,21,'1962.05.26',11,34,52,65,85),</v>
      </c>
    </row>
    <row r="275" spans="1:18" x14ac:dyDescent="0.25">
      <c r="A275" s="7" t="s">
        <v>5868</v>
      </c>
      <c r="B275" s="8" t="s">
        <v>32</v>
      </c>
      <c r="C275" s="10">
        <f t="shared" si="14"/>
        <v>22799</v>
      </c>
      <c r="D275" t="s">
        <v>11</v>
      </c>
      <c r="E275" t="s">
        <v>12</v>
      </c>
      <c r="F275" t="s">
        <v>11</v>
      </c>
      <c r="G275" t="s">
        <v>12</v>
      </c>
      <c r="H275" t="s">
        <v>11</v>
      </c>
      <c r="I275" t="s">
        <v>12</v>
      </c>
      <c r="J275" t="s">
        <v>11</v>
      </c>
      <c r="K275" t="s">
        <v>12</v>
      </c>
      <c r="L275" s="12" t="s">
        <v>89</v>
      </c>
      <c r="M275" s="12" t="s">
        <v>62</v>
      </c>
      <c r="N275" s="12" t="s">
        <v>169</v>
      </c>
      <c r="O275" s="12" t="s">
        <v>246</v>
      </c>
      <c r="P275" s="12" t="s">
        <v>208</v>
      </c>
      <c r="Q275" s="7" t="str">
        <f t="shared" si="13"/>
        <v>(1962,22,'1962.06.02',5,10,58,84,88,0),</v>
      </c>
      <c r="R275" s="7" t="str">
        <f t="shared" si="15"/>
        <v>(1962,22,'1962.06.02',5,10,58,84,88),</v>
      </c>
    </row>
    <row r="276" spans="1:18" x14ac:dyDescent="0.25">
      <c r="A276" s="7" t="s">
        <v>5868</v>
      </c>
      <c r="B276" s="8" t="s">
        <v>163</v>
      </c>
      <c r="C276" s="10">
        <f t="shared" si="14"/>
        <v>22806</v>
      </c>
      <c r="D276" t="s">
        <v>11</v>
      </c>
      <c r="E276" t="s">
        <v>12</v>
      </c>
      <c r="F276" t="s">
        <v>11</v>
      </c>
      <c r="G276" t="s">
        <v>12</v>
      </c>
      <c r="H276" t="s">
        <v>11</v>
      </c>
      <c r="I276" t="s">
        <v>12</v>
      </c>
      <c r="J276" t="s">
        <v>11</v>
      </c>
      <c r="K276" t="s">
        <v>12</v>
      </c>
      <c r="L276" s="12" t="s">
        <v>90</v>
      </c>
      <c r="M276" s="12" t="s">
        <v>44</v>
      </c>
      <c r="N276" s="12" t="s">
        <v>214</v>
      </c>
      <c r="O276" s="12" t="s">
        <v>56</v>
      </c>
      <c r="P276" s="12" t="s">
        <v>63</v>
      </c>
      <c r="Q276" s="7" t="str">
        <f t="shared" si="13"/>
        <v>(1962,23,'1962.06.09',17,21,64,71,78,0),</v>
      </c>
      <c r="R276" s="7" t="str">
        <f t="shared" si="15"/>
        <v>(1962,23,'1962.06.09',17,21,64,71,78),</v>
      </c>
    </row>
    <row r="277" spans="1:18" x14ac:dyDescent="0.25">
      <c r="A277" s="7" t="s">
        <v>5868</v>
      </c>
      <c r="B277" s="8" t="s">
        <v>33</v>
      </c>
      <c r="C277" s="10">
        <f t="shared" si="14"/>
        <v>22813</v>
      </c>
      <c r="D277" t="s">
        <v>11</v>
      </c>
      <c r="E277" t="s">
        <v>12</v>
      </c>
      <c r="F277" t="s">
        <v>11</v>
      </c>
      <c r="G277" t="s">
        <v>12</v>
      </c>
      <c r="H277" t="s">
        <v>11</v>
      </c>
      <c r="I277" t="s">
        <v>12</v>
      </c>
      <c r="J277" t="s">
        <v>11</v>
      </c>
      <c r="K277" t="s">
        <v>12</v>
      </c>
      <c r="L277" s="12" t="s">
        <v>207</v>
      </c>
      <c r="M277" s="12" t="s">
        <v>127</v>
      </c>
      <c r="N277" s="12" t="s">
        <v>21</v>
      </c>
      <c r="O277" s="12" t="s">
        <v>98</v>
      </c>
      <c r="P277" s="12" t="s">
        <v>73</v>
      </c>
      <c r="Q277" s="7" t="str">
        <f t="shared" si="13"/>
        <v>(1962,24,'1962.06.16',2,14,36,42,76,0),</v>
      </c>
      <c r="R277" s="7" t="str">
        <f t="shared" si="15"/>
        <v>(1962,24,'1962.06.16',2,14,36,42,76),</v>
      </c>
    </row>
    <row r="278" spans="1:18" x14ac:dyDescent="0.25">
      <c r="A278" s="7" t="s">
        <v>5868</v>
      </c>
      <c r="B278" s="8" t="s">
        <v>152</v>
      </c>
      <c r="C278" s="10">
        <f t="shared" si="14"/>
        <v>22820</v>
      </c>
      <c r="D278" t="s">
        <v>11</v>
      </c>
      <c r="E278" t="s">
        <v>12</v>
      </c>
      <c r="F278" t="s">
        <v>11</v>
      </c>
      <c r="G278" t="s">
        <v>12</v>
      </c>
      <c r="H278" t="s">
        <v>11</v>
      </c>
      <c r="I278" t="s">
        <v>12</v>
      </c>
      <c r="J278" t="s">
        <v>11</v>
      </c>
      <c r="K278" t="s">
        <v>12</v>
      </c>
      <c r="L278" s="12" t="s">
        <v>80</v>
      </c>
      <c r="M278" s="12" t="s">
        <v>133</v>
      </c>
      <c r="N278" s="12" t="s">
        <v>34</v>
      </c>
      <c r="O278" s="12" t="s">
        <v>175</v>
      </c>
      <c r="P278" s="12" t="s">
        <v>200</v>
      </c>
      <c r="Q278" s="7" t="str">
        <f t="shared" si="13"/>
        <v>(1962,25,'1962.06.23',32,45,49,55,70,0),</v>
      </c>
      <c r="R278" s="7" t="str">
        <f t="shared" si="15"/>
        <v>(1962,25,'1962.06.23',32,45,49,55,70),</v>
      </c>
    </row>
    <row r="279" spans="1:18" x14ac:dyDescent="0.25">
      <c r="A279" s="7" t="s">
        <v>5868</v>
      </c>
      <c r="B279" s="8" t="s">
        <v>74</v>
      </c>
      <c r="C279" s="10">
        <f t="shared" si="14"/>
        <v>22827</v>
      </c>
      <c r="D279" t="s">
        <v>11</v>
      </c>
      <c r="E279" t="s">
        <v>12</v>
      </c>
      <c r="F279" t="s">
        <v>11</v>
      </c>
      <c r="G279" t="s">
        <v>12</v>
      </c>
      <c r="H279" t="s">
        <v>11</v>
      </c>
      <c r="I279" t="s">
        <v>12</v>
      </c>
      <c r="J279" t="s">
        <v>11</v>
      </c>
      <c r="K279" t="s">
        <v>12</v>
      </c>
      <c r="L279" s="12" t="s">
        <v>163</v>
      </c>
      <c r="M279" s="12" t="s">
        <v>82</v>
      </c>
      <c r="N279" s="12" t="s">
        <v>233</v>
      </c>
      <c r="O279" s="12" t="s">
        <v>201</v>
      </c>
      <c r="P279" s="12" t="s">
        <v>245</v>
      </c>
      <c r="Q279" s="7" t="str">
        <f t="shared" si="13"/>
        <v>(1962,26,'1962.06.30',23,59,66,72,74,0),</v>
      </c>
      <c r="R279" s="7" t="str">
        <f t="shared" si="15"/>
        <v>(1962,26,'1962.06.30',23,59,66,72,74),</v>
      </c>
    </row>
    <row r="280" spans="1:18" x14ac:dyDescent="0.25">
      <c r="A280" s="7" t="s">
        <v>5868</v>
      </c>
      <c r="B280" s="8" t="s">
        <v>135</v>
      </c>
      <c r="C280" s="10">
        <f t="shared" si="14"/>
        <v>22834</v>
      </c>
      <c r="D280" t="s">
        <v>11</v>
      </c>
      <c r="E280" t="s">
        <v>12</v>
      </c>
      <c r="F280" t="s">
        <v>11</v>
      </c>
      <c r="G280" t="s">
        <v>12</v>
      </c>
      <c r="H280" t="s">
        <v>11</v>
      </c>
      <c r="I280" t="s">
        <v>12</v>
      </c>
      <c r="J280" t="s">
        <v>11</v>
      </c>
      <c r="K280" t="s">
        <v>12</v>
      </c>
      <c r="L280" s="12" t="s">
        <v>107</v>
      </c>
      <c r="M280" s="12" t="s">
        <v>81</v>
      </c>
      <c r="N280" s="12" t="s">
        <v>72</v>
      </c>
      <c r="O280" s="12" t="s">
        <v>200</v>
      </c>
      <c r="P280" s="12" t="s">
        <v>106</v>
      </c>
      <c r="Q280" s="7" t="str">
        <f t="shared" si="13"/>
        <v>(1962,27,'1962.07.07',30,47,67,70,75,0),</v>
      </c>
      <c r="R280" s="7" t="str">
        <f t="shared" si="15"/>
        <v>(1962,27,'1962.07.07',30,47,67,70,75),</v>
      </c>
    </row>
    <row r="281" spans="1:18" x14ac:dyDescent="0.25">
      <c r="A281" s="7" t="s">
        <v>5868</v>
      </c>
      <c r="B281" s="8" t="s">
        <v>126</v>
      </c>
      <c r="C281" s="10">
        <f t="shared" si="14"/>
        <v>22841</v>
      </c>
      <c r="D281" t="s">
        <v>11</v>
      </c>
      <c r="E281" t="s">
        <v>12</v>
      </c>
      <c r="F281" t="s">
        <v>11</v>
      </c>
      <c r="G281" t="s">
        <v>12</v>
      </c>
      <c r="H281" t="s">
        <v>11</v>
      </c>
      <c r="I281" t="s">
        <v>12</v>
      </c>
      <c r="J281" t="s">
        <v>11</v>
      </c>
      <c r="K281" t="s">
        <v>12</v>
      </c>
      <c r="L281" s="12" t="s">
        <v>270</v>
      </c>
      <c r="M281" s="12" t="s">
        <v>64</v>
      </c>
      <c r="N281" s="12" t="s">
        <v>239</v>
      </c>
      <c r="O281" s="12" t="s">
        <v>73</v>
      </c>
      <c r="P281" s="12" t="s">
        <v>622</v>
      </c>
      <c r="Q281" s="7" t="str">
        <f t="shared" si="13"/>
        <v>(1962,28,'1962.07.14',6,35,73,76,82,0),</v>
      </c>
      <c r="R281" s="7" t="str">
        <f t="shared" si="15"/>
        <v>(1962,28,'1962.07.14',6,35,73,76,82),</v>
      </c>
    </row>
    <row r="282" spans="1:18" x14ac:dyDescent="0.25">
      <c r="A282" s="7" t="s">
        <v>5868</v>
      </c>
      <c r="B282" s="8" t="s">
        <v>116</v>
      </c>
      <c r="C282" s="10">
        <f t="shared" si="14"/>
        <v>22848</v>
      </c>
      <c r="D282" t="s">
        <v>11</v>
      </c>
      <c r="E282" t="s">
        <v>12</v>
      </c>
      <c r="F282" t="s">
        <v>11</v>
      </c>
      <c r="G282" t="s">
        <v>12</v>
      </c>
      <c r="H282" t="s">
        <v>11</v>
      </c>
      <c r="I282" t="s">
        <v>12</v>
      </c>
      <c r="J282" t="s">
        <v>11</v>
      </c>
      <c r="K282" t="s">
        <v>12</v>
      </c>
      <c r="L282" s="12" t="s">
        <v>25</v>
      </c>
      <c r="M282" s="12" t="s">
        <v>36</v>
      </c>
      <c r="N282" s="12" t="s">
        <v>98</v>
      </c>
      <c r="O282" s="12" t="s">
        <v>239</v>
      </c>
      <c r="P282" s="12" t="s">
        <v>143</v>
      </c>
      <c r="Q282" s="7" t="str">
        <f t="shared" si="13"/>
        <v>(1962,29,'1962.07.21',34,38,42,73,77,0),</v>
      </c>
      <c r="R282" s="7" t="str">
        <f t="shared" si="15"/>
        <v>(1962,29,'1962.07.21',34,38,42,73,77),</v>
      </c>
    </row>
    <row r="283" spans="1:18" x14ac:dyDescent="0.25">
      <c r="A283" s="7" t="s">
        <v>5868</v>
      </c>
      <c r="B283" s="8" t="s">
        <v>107</v>
      </c>
      <c r="C283" s="10">
        <f t="shared" si="14"/>
        <v>22855</v>
      </c>
      <c r="D283" t="s">
        <v>11</v>
      </c>
      <c r="E283" t="s">
        <v>12</v>
      </c>
      <c r="F283" t="s">
        <v>11</v>
      </c>
      <c r="G283" t="s">
        <v>12</v>
      </c>
      <c r="H283" t="s">
        <v>11</v>
      </c>
      <c r="I283" t="s">
        <v>12</v>
      </c>
      <c r="J283" t="s">
        <v>11</v>
      </c>
      <c r="K283" t="s">
        <v>12</v>
      </c>
      <c r="L283" s="12" t="s">
        <v>107</v>
      </c>
      <c r="M283" s="12" t="s">
        <v>13</v>
      </c>
      <c r="N283" s="12" t="s">
        <v>133</v>
      </c>
      <c r="O283" s="12" t="s">
        <v>82</v>
      </c>
      <c r="P283" s="12" t="s">
        <v>201</v>
      </c>
      <c r="Q283" s="7" t="str">
        <f t="shared" si="13"/>
        <v>(1962,30,'1962.07.28',30,41,45,59,72,0),</v>
      </c>
      <c r="R283" s="7" t="str">
        <f t="shared" si="15"/>
        <v>(1962,30,'1962.07.28',30,41,45,59,72),</v>
      </c>
    </row>
    <row r="284" spans="1:18" x14ac:dyDescent="0.25">
      <c r="A284" s="7" t="s">
        <v>5868</v>
      </c>
      <c r="B284" s="8" t="s">
        <v>71</v>
      </c>
      <c r="C284" s="10">
        <f t="shared" si="14"/>
        <v>22862</v>
      </c>
      <c r="D284" t="s">
        <v>11</v>
      </c>
      <c r="E284" t="s">
        <v>12</v>
      </c>
      <c r="F284" t="s">
        <v>11</v>
      </c>
      <c r="G284" t="s">
        <v>12</v>
      </c>
      <c r="H284" t="s">
        <v>11</v>
      </c>
      <c r="I284" t="s">
        <v>12</v>
      </c>
      <c r="J284" t="s">
        <v>11</v>
      </c>
      <c r="K284" t="s">
        <v>12</v>
      </c>
      <c r="L284" s="12" t="s">
        <v>54</v>
      </c>
      <c r="M284" s="12" t="s">
        <v>55</v>
      </c>
      <c r="N284" s="12" t="s">
        <v>21</v>
      </c>
      <c r="O284" s="12" t="s">
        <v>199</v>
      </c>
      <c r="P284" s="12" t="s">
        <v>175</v>
      </c>
      <c r="Q284" s="7" t="str">
        <f t="shared" si="13"/>
        <v>(1962,31,'1962.08.04',15,19,36,53,55,0),</v>
      </c>
      <c r="R284" s="7" t="str">
        <f t="shared" si="15"/>
        <v>(1962,31,'1962.08.04',15,19,36,53,55),</v>
      </c>
    </row>
    <row r="285" spans="1:18" x14ac:dyDescent="0.25">
      <c r="A285" s="7" t="s">
        <v>5868</v>
      </c>
      <c r="B285" s="8" t="s">
        <v>80</v>
      </c>
      <c r="C285" s="10">
        <f t="shared" si="14"/>
        <v>22869</v>
      </c>
      <c r="D285" t="s">
        <v>11</v>
      </c>
      <c r="E285" t="s">
        <v>12</v>
      </c>
      <c r="F285" t="s">
        <v>11</v>
      </c>
      <c r="G285" t="s">
        <v>12</v>
      </c>
      <c r="H285" t="s">
        <v>11</v>
      </c>
      <c r="I285" t="s">
        <v>12</v>
      </c>
      <c r="J285" t="s">
        <v>11</v>
      </c>
      <c r="K285" t="s">
        <v>12</v>
      </c>
      <c r="L285" s="12" t="s">
        <v>42</v>
      </c>
      <c r="M285" s="12" t="s">
        <v>55</v>
      </c>
      <c r="N285" s="12" t="s">
        <v>35</v>
      </c>
      <c r="O285" s="12" t="s">
        <v>308</v>
      </c>
      <c r="P285" s="12" t="s">
        <v>208</v>
      </c>
      <c r="Q285" s="7" t="str">
        <f t="shared" si="13"/>
        <v>(1962,32,'1962.08.11',3,19,65,86,88,0),</v>
      </c>
      <c r="R285" s="7" t="str">
        <f t="shared" si="15"/>
        <v>(1962,32,'1962.08.11',3,19,65,86,88),</v>
      </c>
    </row>
    <row r="286" spans="1:18" x14ac:dyDescent="0.25">
      <c r="A286" s="7" t="s">
        <v>5868</v>
      </c>
      <c r="B286" s="8" t="s">
        <v>20</v>
      </c>
      <c r="C286" s="10">
        <f t="shared" si="14"/>
        <v>22876</v>
      </c>
      <c r="D286" t="s">
        <v>11</v>
      </c>
      <c r="E286" t="s">
        <v>12</v>
      </c>
      <c r="F286" t="s">
        <v>11</v>
      </c>
      <c r="G286" t="s">
        <v>12</v>
      </c>
      <c r="H286" t="s">
        <v>11</v>
      </c>
      <c r="I286" t="s">
        <v>12</v>
      </c>
      <c r="J286" t="s">
        <v>11</v>
      </c>
      <c r="K286" t="s">
        <v>12</v>
      </c>
      <c r="L286" s="12" t="s">
        <v>31</v>
      </c>
      <c r="M286" s="12" t="s">
        <v>32</v>
      </c>
      <c r="N286" s="12" t="s">
        <v>107</v>
      </c>
      <c r="O286" s="12" t="s">
        <v>134</v>
      </c>
      <c r="P286" s="12" t="s">
        <v>72</v>
      </c>
      <c r="Q286" s="7" t="str">
        <f t="shared" si="13"/>
        <v>(1962,33,'1962.08.18',12,22,30,56,67,0),</v>
      </c>
      <c r="R286" s="7" t="str">
        <f t="shared" si="15"/>
        <v>(1962,33,'1962.08.18',12,22,30,56,67),</v>
      </c>
    </row>
    <row r="287" spans="1:18" x14ac:dyDescent="0.25">
      <c r="A287" s="7" t="s">
        <v>5868</v>
      </c>
      <c r="B287" s="8" t="s">
        <v>25</v>
      </c>
      <c r="C287" s="10">
        <f t="shared" si="14"/>
        <v>22883</v>
      </c>
      <c r="D287" t="s">
        <v>11</v>
      </c>
      <c r="E287" t="s">
        <v>12</v>
      </c>
      <c r="F287" t="s">
        <v>11</v>
      </c>
      <c r="G287" t="s">
        <v>12</v>
      </c>
      <c r="H287" t="s">
        <v>11</v>
      </c>
      <c r="I287" t="s">
        <v>12</v>
      </c>
      <c r="J287" t="s">
        <v>11</v>
      </c>
      <c r="K287" t="s">
        <v>12</v>
      </c>
      <c r="L287" s="12" t="s">
        <v>42</v>
      </c>
      <c r="M287" s="12" t="s">
        <v>198</v>
      </c>
      <c r="N287" s="12" t="s">
        <v>175</v>
      </c>
      <c r="O287" s="12" t="s">
        <v>214</v>
      </c>
      <c r="P287" s="12" t="s">
        <v>245</v>
      </c>
      <c r="Q287" s="7" t="str">
        <f t="shared" si="13"/>
        <v>(1962,34,'1962.08.25',3,9,55,64,74,0),</v>
      </c>
      <c r="R287" s="7" t="str">
        <f t="shared" si="15"/>
        <v>(1962,34,'1962.08.25',3,9,55,64,74),</v>
      </c>
    </row>
    <row r="288" spans="1:18" x14ac:dyDescent="0.25">
      <c r="A288" s="7" t="s">
        <v>5868</v>
      </c>
      <c r="B288" s="8" t="s">
        <v>64</v>
      </c>
      <c r="C288" s="10">
        <f t="shared" si="14"/>
        <v>22890</v>
      </c>
      <c r="D288" t="s">
        <v>11</v>
      </c>
      <c r="E288" t="s">
        <v>12</v>
      </c>
      <c r="F288" t="s">
        <v>11</v>
      </c>
      <c r="G288" t="s">
        <v>12</v>
      </c>
      <c r="H288" t="s">
        <v>11</v>
      </c>
      <c r="I288" t="s">
        <v>12</v>
      </c>
      <c r="J288" t="s">
        <v>11</v>
      </c>
      <c r="K288" t="s">
        <v>12</v>
      </c>
      <c r="L288" s="12" t="s">
        <v>152</v>
      </c>
      <c r="M288" s="12" t="s">
        <v>192</v>
      </c>
      <c r="N288" s="12" t="s">
        <v>99</v>
      </c>
      <c r="O288" s="12" t="s">
        <v>150</v>
      </c>
      <c r="P288" s="12" t="s">
        <v>106</v>
      </c>
      <c r="Q288" s="7" t="str">
        <f t="shared" si="13"/>
        <v>(1962,35,'1962.09.01',25,46,52,57,75,0),</v>
      </c>
      <c r="R288" s="7" t="str">
        <f t="shared" si="15"/>
        <v>(1962,35,'1962.09.01',25,46,52,57,75),</v>
      </c>
    </row>
    <row r="289" spans="1:18" x14ac:dyDescent="0.25">
      <c r="A289" s="7" t="s">
        <v>5868</v>
      </c>
      <c r="B289" s="8" t="s">
        <v>21</v>
      </c>
      <c r="C289" s="10">
        <f t="shared" si="14"/>
        <v>22897</v>
      </c>
      <c r="D289" t="s">
        <v>11</v>
      </c>
      <c r="E289" t="s">
        <v>12</v>
      </c>
      <c r="F289" t="s">
        <v>11</v>
      </c>
      <c r="G289" t="s">
        <v>12</v>
      </c>
      <c r="H289" t="s">
        <v>11</v>
      </c>
      <c r="I289" t="s">
        <v>12</v>
      </c>
      <c r="J289" t="s">
        <v>11</v>
      </c>
      <c r="K289" t="s">
        <v>12</v>
      </c>
      <c r="L289" s="12" t="s">
        <v>62</v>
      </c>
      <c r="M289" s="12" t="s">
        <v>163</v>
      </c>
      <c r="N289" s="12" t="s">
        <v>33</v>
      </c>
      <c r="O289" s="12" t="s">
        <v>150</v>
      </c>
      <c r="P289" s="12" t="s">
        <v>125</v>
      </c>
      <c r="Q289" s="7" t="str">
        <f t="shared" si="13"/>
        <v>(1962,36,'1962.09.08',10,23,24,57,83,0),</v>
      </c>
      <c r="R289" s="7" t="str">
        <f t="shared" si="15"/>
        <v>(1962,36,'1962.09.08',10,23,24,57,83),</v>
      </c>
    </row>
    <row r="290" spans="1:18" x14ac:dyDescent="0.25">
      <c r="A290" s="7" t="s">
        <v>5868</v>
      </c>
      <c r="B290" s="8" t="s">
        <v>46</v>
      </c>
      <c r="C290" s="10">
        <f t="shared" si="14"/>
        <v>22904</v>
      </c>
      <c r="D290" t="s">
        <v>11</v>
      </c>
      <c r="E290" t="s">
        <v>12</v>
      </c>
      <c r="F290" t="s">
        <v>11</v>
      </c>
      <c r="G290" t="s">
        <v>12</v>
      </c>
      <c r="H290" t="s">
        <v>11</v>
      </c>
      <c r="I290" t="s">
        <v>12</v>
      </c>
      <c r="J290" t="s">
        <v>11</v>
      </c>
      <c r="K290" t="s">
        <v>12</v>
      </c>
      <c r="L290" s="12" t="s">
        <v>108</v>
      </c>
      <c r="M290" s="12" t="s">
        <v>90</v>
      </c>
      <c r="N290" s="12" t="s">
        <v>163</v>
      </c>
      <c r="O290" s="12" t="s">
        <v>82</v>
      </c>
      <c r="P290" s="12" t="s">
        <v>35</v>
      </c>
      <c r="Q290" s="7" t="str">
        <f t="shared" si="13"/>
        <v>(1962,37,'1962.09.15',1,17,23,59,65,0),</v>
      </c>
      <c r="R290" s="7" t="str">
        <f t="shared" si="15"/>
        <v>(1962,37,'1962.09.15',1,17,23,59,65),</v>
      </c>
    </row>
    <row r="291" spans="1:18" x14ac:dyDescent="0.25">
      <c r="A291" s="7" t="s">
        <v>5868</v>
      </c>
      <c r="B291" s="8" t="s">
        <v>36</v>
      </c>
      <c r="C291" s="10">
        <f t="shared" si="14"/>
        <v>22911</v>
      </c>
      <c r="D291" t="s">
        <v>11</v>
      </c>
      <c r="E291" t="s">
        <v>12</v>
      </c>
      <c r="F291" t="s">
        <v>11</v>
      </c>
      <c r="G291" t="s">
        <v>12</v>
      </c>
      <c r="H291" t="s">
        <v>11</v>
      </c>
      <c r="I291" t="s">
        <v>12</v>
      </c>
      <c r="J291" t="s">
        <v>11</v>
      </c>
      <c r="K291" t="s">
        <v>12</v>
      </c>
      <c r="L291" s="12" t="s">
        <v>108</v>
      </c>
      <c r="M291" s="12" t="s">
        <v>192</v>
      </c>
      <c r="N291" s="12" t="s">
        <v>175</v>
      </c>
      <c r="O291" s="12" t="s">
        <v>233</v>
      </c>
      <c r="P291" s="12" t="s">
        <v>200</v>
      </c>
      <c r="Q291" s="7" t="str">
        <f t="shared" si="13"/>
        <v>(1962,38,'1962.09.22',1,46,55,66,70,0),</v>
      </c>
      <c r="R291" s="7" t="str">
        <f t="shared" si="15"/>
        <v>(1962,38,'1962.09.22',1,46,55,66,70),</v>
      </c>
    </row>
    <row r="292" spans="1:18" x14ac:dyDescent="0.25">
      <c r="A292" s="7" t="s">
        <v>5868</v>
      </c>
      <c r="B292" s="8" t="s">
        <v>24</v>
      </c>
      <c r="C292" s="10">
        <f t="shared" si="14"/>
        <v>22918</v>
      </c>
      <c r="D292" t="s">
        <v>11</v>
      </c>
      <c r="E292" t="s">
        <v>12</v>
      </c>
      <c r="F292" t="s">
        <v>11</v>
      </c>
      <c r="G292" t="s">
        <v>12</v>
      </c>
      <c r="H292" t="s">
        <v>11</v>
      </c>
      <c r="I292" t="s">
        <v>12</v>
      </c>
      <c r="J292" t="s">
        <v>11</v>
      </c>
      <c r="K292" t="s">
        <v>12</v>
      </c>
      <c r="L292" s="12" t="s">
        <v>31</v>
      </c>
      <c r="M292" s="12" t="s">
        <v>74</v>
      </c>
      <c r="N292" s="12" t="s">
        <v>81</v>
      </c>
      <c r="O292" s="12" t="s">
        <v>169</v>
      </c>
      <c r="P292" s="12" t="s">
        <v>622</v>
      </c>
      <c r="Q292" s="7" t="str">
        <f t="shared" si="13"/>
        <v>(1962,39,'1962.09.29',12,26,47,58,82,0),</v>
      </c>
      <c r="R292" s="7" t="str">
        <f t="shared" si="15"/>
        <v>(1962,39,'1962.09.29',12,26,47,58,82),</v>
      </c>
    </row>
    <row r="293" spans="1:18" x14ac:dyDescent="0.25">
      <c r="A293" s="7" t="s">
        <v>5868</v>
      </c>
      <c r="B293" s="8" t="s">
        <v>10</v>
      </c>
      <c r="C293" s="10">
        <f t="shared" si="14"/>
        <v>22925</v>
      </c>
      <c r="D293" t="s">
        <v>11</v>
      </c>
      <c r="E293" t="s">
        <v>12</v>
      </c>
      <c r="F293" t="s">
        <v>11</v>
      </c>
      <c r="G293" t="s">
        <v>12</v>
      </c>
      <c r="H293" t="s">
        <v>11</v>
      </c>
      <c r="I293" t="s">
        <v>12</v>
      </c>
      <c r="J293" t="s">
        <v>11</v>
      </c>
      <c r="K293" t="s">
        <v>12</v>
      </c>
      <c r="L293" s="12" t="s">
        <v>19</v>
      </c>
      <c r="M293" s="12" t="s">
        <v>24</v>
      </c>
      <c r="N293" s="12" t="s">
        <v>13</v>
      </c>
      <c r="O293" s="12" t="s">
        <v>124</v>
      </c>
      <c r="P293" s="12" t="s">
        <v>201</v>
      </c>
      <c r="Q293" s="7" t="str">
        <f t="shared" si="13"/>
        <v>(1962,40,'1962.10.06',18,39,41,62,72,0),</v>
      </c>
      <c r="R293" s="7" t="str">
        <f t="shared" si="15"/>
        <v>(1962,40,'1962.10.06',18,39,41,62,72),</v>
      </c>
    </row>
    <row r="294" spans="1:18" x14ac:dyDescent="0.25">
      <c r="A294" s="7" t="s">
        <v>5868</v>
      </c>
      <c r="B294" s="8" t="s">
        <v>13</v>
      </c>
      <c r="C294" s="10">
        <f t="shared" si="14"/>
        <v>22932</v>
      </c>
      <c r="D294" t="s">
        <v>11</v>
      </c>
      <c r="E294" t="s">
        <v>12</v>
      </c>
      <c r="F294" t="s">
        <v>11</v>
      </c>
      <c r="G294" t="s">
        <v>12</v>
      </c>
      <c r="H294" t="s">
        <v>11</v>
      </c>
      <c r="I294" t="s">
        <v>12</v>
      </c>
      <c r="J294" t="s">
        <v>11</v>
      </c>
      <c r="K294" t="s">
        <v>12</v>
      </c>
      <c r="L294" s="12" t="s">
        <v>115</v>
      </c>
      <c r="M294" s="12" t="s">
        <v>199</v>
      </c>
      <c r="N294" s="12" t="s">
        <v>82</v>
      </c>
      <c r="O294" s="12" t="s">
        <v>201</v>
      </c>
      <c r="P294" s="12" t="s">
        <v>379</v>
      </c>
      <c r="Q294" s="7" t="str">
        <f t="shared" si="13"/>
        <v>(1962,41,'1962.10.13',20,53,59,72,89,0),</v>
      </c>
      <c r="R294" s="7" t="str">
        <f t="shared" si="15"/>
        <v>(1962,41,'1962.10.13',20,53,59,72,89),</v>
      </c>
    </row>
    <row r="295" spans="1:18" x14ac:dyDescent="0.25">
      <c r="A295" s="7" t="s">
        <v>5868</v>
      </c>
      <c r="B295" s="8" t="s">
        <v>98</v>
      </c>
      <c r="C295" s="10">
        <f t="shared" si="14"/>
        <v>22939</v>
      </c>
      <c r="D295" t="s">
        <v>11</v>
      </c>
      <c r="E295" t="s">
        <v>12</v>
      </c>
      <c r="F295" t="s">
        <v>11</v>
      </c>
      <c r="G295" t="s">
        <v>12</v>
      </c>
      <c r="H295" t="s">
        <v>11</v>
      </c>
      <c r="I295" t="s">
        <v>12</v>
      </c>
      <c r="J295" t="s">
        <v>11</v>
      </c>
      <c r="K295" t="s">
        <v>12</v>
      </c>
      <c r="L295" s="12" t="s">
        <v>270</v>
      </c>
      <c r="M295" s="12" t="s">
        <v>115</v>
      </c>
      <c r="N295" s="12" t="s">
        <v>74</v>
      </c>
      <c r="O295" s="12" t="s">
        <v>81</v>
      </c>
      <c r="P295" s="12" t="s">
        <v>233</v>
      </c>
      <c r="Q295" s="7" t="str">
        <f t="shared" si="13"/>
        <v>(1962,42,'1962.10.20',6,20,26,47,66,0),</v>
      </c>
      <c r="R295" s="7" t="str">
        <f t="shared" si="15"/>
        <v>(1962,42,'1962.10.20',6,20,26,47,66),</v>
      </c>
    </row>
    <row r="296" spans="1:18" x14ac:dyDescent="0.25">
      <c r="A296" s="7" t="s">
        <v>5868</v>
      </c>
      <c r="B296" s="8" t="s">
        <v>45</v>
      </c>
      <c r="C296" s="10">
        <f t="shared" si="14"/>
        <v>22946</v>
      </c>
      <c r="D296" t="s">
        <v>11</v>
      </c>
      <c r="E296" t="s">
        <v>12</v>
      </c>
      <c r="F296" t="s">
        <v>11</v>
      </c>
      <c r="G296" t="s">
        <v>12</v>
      </c>
      <c r="H296" t="s">
        <v>11</v>
      </c>
      <c r="I296" t="s">
        <v>12</v>
      </c>
      <c r="J296" t="s">
        <v>11</v>
      </c>
      <c r="K296" t="s">
        <v>12</v>
      </c>
      <c r="L296" s="12" t="s">
        <v>127</v>
      </c>
      <c r="M296" s="12" t="s">
        <v>55</v>
      </c>
      <c r="N296" s="12" t="s">
        <v>32</v>
      </c>
      <c r="O296" s="12" t="s">
        <v>35</v>
      </c>
      <c r="P296" s="12" t="s">
        <v>63</v>
      </c>
      <c r="Q296" s="7" t="str">
        <f t="shared" si="13"/>
        <v>(1962,43,'1962.10.27',14,19,22,65,78,0),</v>
      </c>
      <c r="R296" s="7" t="str">
        <f t="shared" si="15"/>
        <v>(1962,43,'1962.10.27',14,19,22,65,78),</v>
      </c>
    </row>
    <row r="297" spans="1:18" x14ac:dyDescent="0.25">
      <c r="A297" s="7" t="s">
        <v>5868</v>
      </c>
      <c r="B297" s="8" t="s">
        <v>142</v>
      </c>
      <c r="C297" s="10">
        <f t="shared" si="14"/>
        <v>22953</v>
      </c>
      <c r="D297" t="s">
        <v>11</v>
      </c>
      <c r="E297" t="s">
        <v>12</v>
      </c>
      <c r="F297" t="s">
        <v>11</v>
      </c>
      <c r="G297" t="s">
        <v>12</v>
      </c>
      <c r="H297" t="s">
        <v>11</v>
      </c>
      <c r="I297" t="s">
        <v>12</v>
      </c>
      <c r="J297" t="s">
        <v>11</v>
      </c>
      <c r="K297" t="s">
        <v>12</v>
      </c>
      <c r="L297" s="12" t="s">
        <v>207</v>
      </c>
      <c r="M297" s="12" t="s">
        <v>65</v>
      </c>
      <c r="N297" s="12" t="s">
        <v>107</v>
      </c>
      <c r="O297" s="12" t="s">
        <v>10</v>
      </c>
      <c r="P297" s="12" t="s">
        <v>82</v>
      </c>
      <c r="Q297" s="7" t="str">
        <f t="shared" si="13"/>
        <v>(1962,44,'1962.11.03',2,13,30,40,59,0),</v>
      </c>
      <c r="R297" s="7" t="str">
        <f t="shared" si="15"/>
        <v>(1962,44,'1962.11.03',2,13,30,40,59),</v>
      </c>
    </row>
    <row r="298" spans="1:18" x14ac:dyDescent="0.25">
      <c r="A298" s="7" t="s">
        <v>5868</v>
      </c>
      <c r="B298" s="8" t="s">
        <v>133</v>
      </c>
      <c r="C298" s="10">
        <f t="shared" si="14"/>
        <v>22960</v>
      </c>
      <c r="D298" t="s">
        <v>11</v>
      </c>
      <c r="E298" t="s">
        <v>12</v>
      </c>
      <c r="F298" t="s">
        <v>11</v>
      </c>
      <c r="G298" t="s">
        <v>12</v>
      </c>
      <c r="H298" t="s">
        <v>11</v>
      </c>
      <c r="I298" t="s">
        <v>12</v>
      </c>
      <c r="J298" t="s">
        <v>11</v>
      </c>
      <c r="K298" t="s">
        <v>12</v>
      </c>
      <c r="L298" s="12" t="s">
        <v>207</v>
      </c>
      <c r="M298" s="12" t="s">
        <v>90</v>
      </c>
      <c r="N298" s="12" t="s">
        <v>80</v>
      </c>
      <c r="O298" s="12" t="s">
        <v>105</v>
      </c>
      <c r="P298" s="12" t="s">
        <v>468</v>
      </c>
      <c r="Q298" s="7" t="str">
        <f t="shared" si="13"/>
        <v>(1962,45,'1962.11.10',2,17,32,50,85,0),</v>
      </c>
      <c r="R298" s="7" t="str">
        <f t="shared" si="15"/>
        <v>(1962,45,'1962.11.10',2,17,32,50,85),</v>
      </c>
    </row>
    <row r="299" spans="1:18" x14ac:dyDescent="0.25">
      <c r="A299" s="7" t="s">
        <v>5868</v>
      </c>
      <c r="B299" s="8" t="s">
        <v>192</v>
      </c>
      <c r="C299" s="10">
        <f t="shared" si="14"/>
        <v>22967</v>
      </c>
      <c r="D299" t="s">
        <v>11</v>
      </c>
      <c r="E299" t="s">
        <v>12</v>
      </c>
      <c r="F299" t="s">
        <v>11</v>
      </c>
      <c r="G299" t="s">
        <v>12</v>
      </c>
      <c r="H299" t="s">
        <v>11</v>
      </c>
      <c r="I299" t="s">
        <v>12</v>
      </c>
      <c r="J299" t="s">
        <v>11</v>
      </c>
      <c r="K299" t="s">
        <v>12</v>
      </c>
      <c r="L299" s="12" t="s">
        <v>116</v>
      </c>
      <c r="M299" s="12" t="s">
        <v>25</v>
      </c>
      <c r="N299" s="12" t="s">
        <v>21</v>
      </c>
      <c r="O299" s="12" t="s">
        <v>82</v>
      </c>
      <c r="P299" s="12" t="s">
        <v>301</v>
      </c>
      <c r="Q299" s="7" t="str">
        <f t="shared" si="13"/>
        <v>(1962,46,'1962.11.17',29,34,36,59,80,0),</v>
      </c>
      <c r="R299" s="7" t="str">
        <f t="shared" si="15"/>
        <v>(1962,46,'1962.11.17',29,34,36,59,80),</v>
      </c>
    </row>
    <row r="300" spans="1:18" x14ac:dyDescent="0.25">
      <c r="A300" s="7" t="s">
        <v>5868</v>
      </c>
      <c r="B300" s="8" t="s">
        <v>81</v>
      </c>
      <c r="C300" s="10">
        <f t="shared" si="14"/>
        <v>22974</v>
      </c>
      <c r="D300" t="s">
        <v>11</v>
      </c>
      <c r="E300" t="s">
        <v>12</v>
      </c>
      <c r="F300" t="s">
        <v>11</v>
      </c>
      <c r="G300" t="s">
        <v>12</v>
      </c>
      <c r="H300" t="s">
        <v>11</v>
      </c>
      <c r="I300" t="s">
        <v>12</v>
      </c>
      <c r="J300" t="s">
        <v>11</v>
      </c>
      <c r="K300" t="s">
        <v>12</v>
      </c>
      <c r="L300" s="12" t="s">
        <v>270</v>
      </c>
      <c r="M300" s="12" t="s">
        <v>19</v>
      </c>
      <c r="N300" s="12" t="s">
        <v>199</v>
      </c>
      <c r="O300" s="12" t="s">
        <v>91</v>
      </c>
      <c r="P300" s="12" t="s">
        <v>214</v>
      </c>
      <c r="Q300" s="7" t="str">
        <f t="shared" si="13"/>
        <v>(1962,47,'1962.11.24',6,18,53,61,64,0),</v>
      </c>
      <c r="R300" s="7" t="str">
        <f t="shared" si="15"/>
        <v>(1962,47,'1962.11.24',6,18,53,61,64),</v>
      </c>
    </row>
    <row r="301" spans="1:18" x14ac:dyDescent="0.25">
      <c r="A301" s="7" t="s">
        <v>5868</v>
      </c>
      <c r="B301" s="8" t="s">
        <v>22</v>
      </c>
      <c r="C301" s="10">
        <f t="shared" si="14"/>
        <v>22981</v>
      </c>
      <c r="D301" t="s">
        <v>11</v>
      </c>
      <c r="E301" t="s">
        <v>12</v>
      </c>
      <c r="F301" t="s">
        <v>11</v>
      </c>
      <c r="G301" t="s">
        <v>12</v>
      </c>
      <c r="H301" t="s">
        <v>11</v>
      </c>
      <c r="I301" t="s">
        <v>12</v>
      </c>
      <c r="J301" t="s">
        <v>11</v>
      </c>
      <c r="K301" t="s">
        <v>12</v>
      </c>
      <c r="L301" s="12" t="s">
        <v>65</v>
      </c>
      <c r="M301" s="12" t="s">
        <v>126</v>
      </c>
      <c r="N301" s="12" t="s">
        <v>142</v>
      </c>
      <c r="O301" s="12" t="s">
        <v>192</v>
      </c>
      <c r="P301" s="12" t="s">
        <v>186</v>
      </c>
      <c r="Q301" s="7" t="str">
        <f t="shared" si="13"/>
        <v>(1962,48,'1962.12.01',13,28,44,46,90,0),</v>
      </c>
      <c r="R301" s="7" t="str">
        <f t="shared" si="15"/>
        <v>(1962,48,'1962.12.01',13,28,44,46,90),</v>
      </c>
    </row>
    <row r="302" spans="1:18" x14ac:dyDescent="0.25">
      <c r="A302" s="7" t="s">
        <v>5868</v>
      </c>
      <c r="B302" s="8" t="s">
        <v>34</v>
      </c>
      <c r="C302" s="10">
        <f t="shared" si="14"/>
        <v>22988</v>
      </c>
      <c r="D302" t="s">
        <v>11</v>
      </c>
      <c r="E302" t="s">
        <v>12</v>
      </c>
      <c r="F302" t="s">
        <v>11</v>
      </c>
      <c r="G302" t="s">
        <v>12</v>
      </c>
      <c r="H302" t="s">
        <v>11</v>
      </c>
      <c r="I302" t="s">
        <v>12</v>
      </c>
      <c r="J302" t="s">
        <v>11</v>
      </c>
      <c r="K302" t="s">
        <v>12</v>
      </c>
      <c r="L302" s="12" t="s">
        <v>44</v>
      </c>
      <c r="M302" s="12" t="s">
        <v>34</v>
      </c>
      <c r="N302" s="12" t="s">
        <v>124</v>
      </c>
      <c r="O302" s="12" t="s">
        <v>248</v>
      </c>
      <c r="P302" s="12" t="s">
        <v>186</v>
      </c>
      <c r="Q302" s="7" t="str">
        <f t="shared" si="13"/>
        <v>(1962,49,'1962.12.08',21,49,62,63,90,0),</v>
      </c>
      <c r="R302" s="7" t="str">
        <f t="shared" si="15"/>
        <v>(1962,49,'1962.12.08',21,49,62,63,90),</v>
      </c>
    </row>
    <row r="303" spans="1:18" x14ac:dyDescent="0.25">
      <c r="A303" s="7" t="s">
        <v>5868</v>
      </c>
      <c r="B303" s="8" t="s">
        <v>105</v>
      </c>
      <c r="C303" s="10">
        <f t="shared" si="14"/>
        <v>22995</v>
      </c>
      <c r="D303" t="s">
        <v>11</v>
      </c>
      <c r="E303" t="s">
        <v>12</v>
      </c>
      <c r="F303" t="s">
        <v>11</v>
      </c>
      <c r="G303" t="s">
        <v>12</v>
      </c>
      <c r="H303" t="s">
        <v>11</v>
      </c>
      <c r="I303" t="s">
        <v>12</v>
      </c>
      <c r="J303" t="s">
        <v>11</v>
      </c>
      <c r="K303" t="s">
        <v>12</v>
      </c>
      <c r="L303" s="12" t="s">
        <v>198</v>
      </c>
      <c r="M303" s="12" t="s">
        <v>31</v>
      </c>
      <c r="N303" s="12" t="s">
        <v>80</v>
      </c>
      <c r="O303" s="12" t="s">
        <v>25</v>
      </c>
      <c r="P303" s="12" t="s">
        <v>64</v>
      </c>
      <c r="Q303" s="7" t="str">
        <f t="shared" si="13"/>
        <v>(1962,50,'1962.12.15',9,12,32,34,35,0),</v>
      </c>
      <c r="R303" s="7" t="str">
        <f t="shared" si="15"/>
        <v>(1962,50,'1962.12.15',9,12,32,34,35),</v>
      </c>
    </row>
    <row r="304" spans="1:18" x14ac:dyDescent="0.25">
      <c r="A304" s="7" t="s">
        <v>5868</v>
      </c>
      <c r="B304" s="8" t="s">
        <v>122</v>
      </c>
      <c r="C304" s="10">
        <f t="shared" si="14"/>
        <v>23002</v>
      </c>
      <c r="D304" t="s">
        <v>11</v>
      </c>
      <c r="E304" t="s">
        <v>12</v>
      </c>
      <c r="F304" t="s">
        <v>11</v>
      </c>
      <c r="G304" t="s">
        <v>12</v>
      </c>
      <c r="H304" t="s">
        <v>11</v>
      </c>
      <c r="I304" t="s">
        <v>12</v>
      </c>
      <c r="J304" t="s">
        <v>11</v>
      </c>
      <c r="K304" t="s">
        <v>12</v>
      </c>
      <c r="L304" s="12" t="s">
        <v>19</v>
      </c>
      <c r="M304" s="12" t="s">
        <v>152</v>
      </c>
      <c r="N304" s="12" t="s">
        <v>135</v>
      </c>
      <c r="O304" s="12" t="s">
        <v>25</v>
      </c>
      <c r="P304" s="12" t="s">
        <v>122</v>
      </c>
      <c r="Q304" s="7" t="str">
        <f t="shared" si="13"/>
        <v>(1962,51,'1962.12.22',18,25,27,34,51,0),</v>
      </c>
      <c r="R304" s="7" t="str">
        <f t="shared" si="15"/>
        <v>(1962,51,'1962.12.22',18,25,27,34,51),</v>
      </c>
    </row>
    <row r="305" spans="1:18" x14ac:dyDescent="0.25">
      <c r="A305" s="7" t="s">
        <v>5868</v>
      </c>
      <c r="B305" s="8" t="s">
        <v>99</v>
      </c>
      <c r="C305" s="10">
        <f t="shared" si="14"/>
        <v>23009</v>
      </c>
      <c r="D305" t="s">
        <v>11</v>
      </c>
      <c r="E305" t="s">
        <v>12</v>
      </c>
      <c r="F305" t="s">
        <v>11</v>
      </c>
      <c r="G305" t="s">
        <v>12</v>
      </c>
      <c r="H305" t="s">
        <v>11</v>
      </c>
      <c r="I305" t="s">
        <v>12</v>
      </c>
      <c r="J305" t="s">
        <v>11</v>
      </c>
      <c r="K305" t="s">
        <v>12</v>
      </c>
      <c r="L305" s="12" t="s">
        <v>13</v>
      </c>
      <c r="M305" s="12" t="s">
        <v>81</v>
      </c>
      <c r="N305" s="12" t="s">
        <v>34</v>
      </c>
      <c r="O305" s="12" t="s">
        <v>82</v>
      </c>
      <c r="P305" s="12" t="s">
        <v>35</v>
      </c>
      <c r="Q305" s="7" t="str">
        <f t="shared" si="13"/>
        <v>(1962,52,'1962.12.29',41,47,49,59,65,0),</v>
      </c>
      <c r="R305" s="7" t="str">
        <f t="shared" si="15"/>
        <v>(1962,52,'1962.12.29',41,47,49,59,65),</v>
      </c>
    </row>
    <row r="306" spans="1:18" x14ac:dyDescent="0.25">
      <c r="A306" s="7" t="s">
        <v>5867</v>
      </c>
      <c r="B306" s="8" t="s">
        <v>108</v>
      </c>
      <c r="C306" s="10">
        <f t="shared" si="14"/>
        <v>23016</v>
      </c>
      <c r="D306" t="s">
        <v>11</v>
      </c>
      <c r="E306" t="s">
        <v>12</v>
      </c>
      <c r="F306" t="s">
        <v>11</v>
      </c>
      <c r="G306" t="s">
        <v>12</v>
      </c>
      <c r="H306" t="s">
        <v>11</v>
      </c>
      <c r="I306" t="s">
        <v>12</v>
      </c>
      <c r="J306" t="s">
        <v>11</v>
      </c>
      <c r="K306" t="s">
        <v>12</v>
      </c>
      <c r="L306" s="12" t="s">
        <v>53</v>
      </c>
      <c r="M306" s="12" t="s">
        <v>90</v>
      </c>
      <c r="N306" s="12" t="s">
        <v>150</v>
      </c>
      <c r="O306" s="12" t="s">
        <v>200</v>
      </c>
      <c r="P306" s="12" t="s">
        <v>239</v>
      </c>
      <c r="Q306" s="7" t="str">
        <f t="shared" si="13"/>
        <v>(1963,1,'1963.01.05',7,17,57,70,73,0),</v>
      </c>
      <c r="R306" s="7" t="str">
        <f t="shared" si="15"/>
        <v>(1963,1,'1963.01.05',7,17,57,70,73),</v>
      </c>
    </row>
    <row r="307" spans="1:18" x14ac:dyDescent="0.25">
      <c r="A307" s="7" t="s">
        <v>5867</v>
      </c>
      <c r="B307" s="8" t="s">
        <v>207</v>
      </c>
      <c r="C307" s="10">
        <f t="shared" si="14"/>
        <v>23023</v>
      </c>
      <c r="D307" t="s">
        <v>11</v>
      </c>
      <c r="E307" t="s">
        <v>12</v>
      </c>
      <c r="F307" t="s">
        <v>11</v>
      </c>
      <c r="G307" t="s">
        <v>12</v>
      </c>
      <c r="H307" t="s">
        <v>11</v>
      </c>
      <c r="I307" t="s">
        <v>12</v>
      </c>
      <c r="J307" t="s">
        <v>11</v>
      </c>
      <c r="K307" t="s">
        <v>12</v>
      </c>
      <c r="L307" s="12" t="s">
        <v>33</v>
      </c>
      <c r="M307" s="12" t="s">
        <v>25</v>
      </c>
      <c r="N307" s="12" t="s">
        <v>123</v>
      </c>
      <c r="O307" s="12" t="s">
        <v>215</v>
      </c>
      <c r="P307" s="12" t="s">
        <v>186</v>
      </c>
      <c r="Q307" s="7" t="str">
        <f t="shared" si="13"/>
        <v>(1963,2,'1963.01.12',24,34,54,81,90,0),</v>
      </c>
      <c r="R307" s="7" t="str">
        <f t="shared" si="15"/>
        <v>(1963,2,'1963.01.12',24,34,54,81,90),</v>
      </c>
    </row>
    <row r="308" spans="1:18" x14ac:dyDescent="0.25">
      <c r="A308" s="7" t="s">
        <v>5867</v>
      </c>
      <c r="B308" s="8" t="s">
        <v>42</v>
      </c>
      <c r="C308" s="10">
        <f t="shared" si="14"/>
        <v>23030</v>
      </c>
      <c r="D308" t="s">
        <v>11</v>
      </c>
      <c r="E308" t="s">
        <v>12</v>
      </c>
      <c r="F308" t="s">
        <v>11</v>
      </c>
      <c r="G308" t="s">
        <v>12</v>
      </c>
      <c r="H308" t="s">
        <v>11</v>
      </c>
      <c r="I308" t="s">
        <v>12</v>
      </c>
      <c r="J308" t="s">
        <v>11</v>
      </c>
      <c r="K308" t="s">
        <v>12</v>
      </c>
      <c r="L308" s="12" t="s">
        <v>42</v>
      </c>
      <c r="M308" s="12" t="s">
        <v>198</v>
      </c>
      <c r="N308" s="12" t="s">
        <v>54</v>
      </c>
      <c r="O308" s="12" t="s">
        <v>80</v>
      </c>
      <c r="P308" s="12" t="s">
        <v>248</v>
      </c>
      <c r="Q308" s="7" t="str">
        <f t="shared" si="13"/>
        <v>(1963,3,'1963.01.19',3,9,15,32,63,0),</v>
      </c>
      <c r="R308" s="7" t="str">
        <f t="shared" si="15"/>
        <v>(1963,3,'1963.01.19',3,9,15,32,63),</v>
      </c>
    </row>
    <row r="309" spans="1:18" x14ac:dyDescent="0.25">
      <c r="A309" s="7" t="s">
        <v>5867</v>
      </c>
      <c r="B309" s="8" t="s">
        <v>168</v>
      </c>
      <c r="C309" s="10">
        <f t="shared" si="14"/>
        <v>23037</v>
      </c>
      <c r="D309" t="s">
        <v>11</v>
      </c>
      <c r="E309" t="s">
        <v>12</v>
      </c>
      <c r="F309" t="s">
        <v>11</v>
      </c>
      <c r="G309" t="s">
        <v>12</v>
      </c>
      <c r="H309" t="s">
        <v>11</v>
      </c>
      <c r="I309" t="s">
        <v>12</v>
      </c>
      <c r="J309" t="s">
        <v>11</v>
      </c>
      <c r="K309" t="s">
        <v>12</v>
      </c>
      <c r="L309" s="12" t="s">
        <v>207</v>
      </c>
      <c r="M309" s="12" t="s">
        <v>42</v>
      </c>
      <c r="N309" s="12" t="s">
        <v>31</v>
      </c>
      <c r="O309" s="12" t="s">
        <v>63</v>
      </c>
      <c r="P309" s="12" t="s">
        <v>208</v>
      </c>
      <c r="Q309" s="7" t="str">
        <f t="shared" si="13"/>
        <v>(1963,4,'1963.01.26',2,3,12,78,88,0),</v>
      </c>
      <c r="R309" s="7" t="str">
        <f t="shared" si="15"/>
        <v>(1963,4,'1963.01.26',2,3,12,78,88),</v>
      </c>
    </row>
    <row r="310" spans="1:18" x14ac:dyDescent="0.25">
      <c r="A310" s="7" t="s">
        <v>5867</v>
      </c>
      <c r="B310" s="8" t="s">
        <v>89</v>
      </c>
      <c r="C310" s="10">
        <f t="shared" si="14"/>
        <v>23044</v>
      </c>
      <c r="D310" t="s">
        <v>11</v>
      </c>
      <c r="E310" t="s">
        <v>12</v>
      </c>
      <c r="F310" t="s">
        <v>11</v>
      </c>
      <c r="G310" t="s">
        <v>12</v>
      </c>
      <c r="H310" t="s">
        <v>11</v>
      </c>
      <c r="I310" t="s">
        <v>12</v>
      </c>
      <c r="J310" t="s">
        <v>11</v>
      </c>
      <c r="K310" t="s">
        <v>12</v>
      </c>
      <c r="L310" s="12" t="s">
        <v>168</v>
      </c>
      <c r="M310" s="12" t="s">
        <v>116</v>
      </c>
      <c r="N310" s="12" t="s">
        <v>71</v>
      </c>
      <c r="O310" s="12" t="s">
        <v>64</v>
      </c>
      <c r="P310" s="12" t="s">
        <v>186</v>
      </c>
      <c r="Q310" s="7" t="str">
        <f t="shared" si="13"/>
        <v>(1963,5,'1963.02.02',4,29,31,35,90,0),</v>
      </c>
      <c r="R310" s="7" t="str">
        <f t="shared" si="15"/>
        <v>(1963,5,'1963.02.02',4,29,31,35,90),</v>
      </c>
    </row>
    <row r="311" spans="1:18" x14ac:dyDescent="0.25">
      <c r="A311" s="7" t="s">
        <v>5867</v>
      </c>
      <c r="B311" s="8" t="s">
        <v>270</v>
      </c>
      <c r="C311" s="10">
        <f t="shared" si="14"/>
        <v>23051</v>
      </c>
      <c r="D311" t="s">
        <v>11</v>
      </c>
      <c r="E311" t="s">
        <v>12</v>
      </c>
      <c r="F311" t="s">
        <v>11</v>
      </c>
      <c r="G311" t="s">
        <v>12</v>
      </c>
      <c r="H311" t="s">
        <v>11</v>
      </c>
      <c r="I311" t="s">
        <v>12</v>
      </c>
      <c r="J311" t="s">
        <v>11</v>
      </c>
      <c r="K311" t="s">
        <v>12</v>
      </c>
      <c r="L311" s="12" t="s">
        <v>83</v>
      </c>
      <c r="M311" s="12" t="s">
        <v>54</v>
      </c>
      <c r="N311" s="12" t="s">
        <v>55</v>
      </c>
      <c r="O311" s="12" t="s">
        <v>150</v>
      </c>
      <c r="P311" s="12" t="s">
        <v>47</v>
      </c>
      <c r="Q311" s="7" t="str">
        <f t="shared" si="13"/>
        <v>(1963,6,'1963.02.09',11,15,19,57,69,0),</v>
      </c>
      <c r="R311" s="7" t="str">
        <f t="shared" si="15"/>
        <v>(1963,6,'1963.02.09',11,15,19,57,69),</v>
      </c>
    </row>
    <row r="312" spans="1:18" x14ac:dyDescent="0.25">
      <c r="A312" s="7" t="s">
        <v>5867</v>
      </c>
      <c r="B312" s="8" t="s">
        <v>53</v>
      </c>
      <c r="C312" s="10">
        <f t="shared" si="14"/>
        <v>23058</v>
      </c>
      <c r="D312" t="s">
        <v>11</v>
      </c>
      <c r="E312" t="s">
        <v>12</v>
      </c>
      <c r="F312" t="s">
        <v>11</v>
      </c>
      <c r="G312" t="s">
        <v>12</v>
      </c>
      <c r="H312" t="s">
        <v>11</v>
      </c>
      <c r="I312" t="s">
        <v>12</v>
      </c>
      <c r="J312" t="s">
        <v>11</v>
      </c>
      <c r="K312" t="s">
        <v>12</v>
      </c>
      <c r="L312" s="12" t="s">
        <v>80</v>
      </c>
      <c r="M312" s="12" t="s">
        <v>20</v>
      </c>
      <c r="N312" s="12" t="s">
        <v>92</v>
      </c>
      <c r="O312" s="12" t="s">
        <v>239</v>
      </c>
      <c r="P312" s="12" t="s">
        <v>246</v>
      </c>
      <c r="Q312" s="7" t="str">
        <f t="shared" si="13"/>
        <v>(1963,7,'1963.02.16',32,33,68,73,84,0),</v>
      </c>
      <c r="R312" s="7" t="str">
        <f t="shared" si="15"/>
        <v>(1963,7,'1963.02.16',32,33,68,73,84),</v>
      </c>
    </row>
    <row r="313" spans="1:18" x14ac:dyDescent="0.25">
      <c r="A313" s="7" t="s">
        <v>5867</v>
      </c>
      <c r="B313" s="8" t="s">
        <v>232</v>
      </c>
      <c r="C313" s="10">
        <f t="shared" si="14"/>
        <v>23065</v>
      </c>
      <c r="D313" t="s">
        <v>11</v>
      </c>
      <c r="E313" t="s">
        <v>12</v>
      </c>
      <c r="F313" t="s">
        <v>11</v>
      </c>
      <c r="G313" t="s">
        <v>12</v>
      </c>
      <c r="H313" t="s">
        <v>11</v>
      </c>
      <c r="I313" t="s">
        <v>12</v>
      </c>
      <c r="J313" t="s">
        <v>11</v>
      </c>
      <c r="K313" t="s">
        <v>12</v>
      </c>
      <c r="L313" s="12" t="s">
        <v>20</v>
      </c>
      <c r="M313" s="12" t="s">
        <v>10</v>
      </c>
      <c r="N313" s="12" t="s">
        <v>98</v>
      </c>
      <c r="O313" s="12" t="s">
        <v>47</v>
      </c>
      <c r="P313" s="12" t="s">
        <v>245</v>
      </c>
      <c r="Q313" s="7" t="str">
        <f t="shared" si="13"/>
        <v>(1963,8,'1963.02.23',33,40,42,69,74,0),</v>
      </c>
      <c r="R313" s="7" t="str">
        <f t="shared" si="15"/>
        <v>(1963,8,'1963.02.23',33,40,42,69,74),</v>
      </c>
    </row>
    <row r="314" spans="1:18" x14ac:dyDescent="0.25">
      <c r="A314" s="7" t="s">
        <v>5867</v>
      </c>
      <c r="B314" s="8" t="s">
        <v>198</v>
      </c>
      <c r="C314" s="10">
        <f t="shared" si="14"/>
        <v>23072</v>
      </c>
      <c r="D314" t="s">
        <v>11</v>
      </c>
      <c r="E314" t="s">
        <v>12</v>
      </c>
      <c r="F314" t="s">
        <v>11</v>
      </c>
      <c r="G314" t="s">
        <v>12</v>
      </c>
      <c r="H314" t="s">
        <v>11</v>
      </c>
      <c r="I314" t="s">
        <v>12</v>
      </c>
      <c r="J314" t="s">
        <v>11</v>
      </c>
      <c r="K314" t="s">
        <v>12</v>
      </c>
      <c r="L314" s="12" t="s">
        <v>53</v>
      </c>
      <c r="M314" s="12" t="s">
        <v>127</v>
      </c>
      <c r="N314" s="12" t="s">
        <v>54</v>
      </c>
      <c r="O314" s="12" t="s">
        <v>133</v>
      </c>
      <c r="P314" s="12" t="s">
        <v>622</v>
      </c>
      <c r="Q314" s="7" t="str">
        <f t="shared" si="13"/>
        <v>(1963,9,'1963.03.02',7,14,15,45,82,0),</v>
      </c>
      <c r="R314" s="7" t="str">
        <f t="shared" si="15"/>
        <v>(1963,9,'1963.03.02',7,14,15,45,82),</v>
      </c>
    </row>
    <row r="315" spans="1:18" x14ac:dyDescent="0.25">
      <c r="A315" s="7" t="s">
        <v>5867</v>
      </c>
      <c r="B315" s="8" t="s">
        <v>62</v>
      </c>
      <c r="C315" s="10">
        <f t="shared" si="14"/>
        <v>23079</v>
      </c>
      <c r="D315" t="s">
        <v>11</v>
      </c>
      <c r="E315" t="s">
        <v>12</v>
      </c>
      <c r="F315" t="s">
        <v>11</v>
      </c>
      <c r="G315" t="s">
        <v>12</v>
      </c>
      <c r="H315" t="s">
        <v>11</v>
      </c>
      <c r="I315" t="s">
        <v>12</v>
      </c>
      <c r="J315" t="s">
        <v>11</v>
      </c>
      <c r="K315" t="s">
        <v>12</v>
      </c>
      <c r="L315" s="12" t="s">
        <v>19</v>
      </c>
      <c r="M315" s="12" t="s">
        <v>81</v>
      </c>
      <c r="N315" s="12" t="s">
        <v>35</v>
      </c>
      <c r="O315" s="12" t="s">
        <v>106</v>
      </c>
      <c r="P315" s="12" t="s">
        <v>379</v>
      </c>
      <c r="Q315" s="7" t="str">
        <f t="shared" si="13"/>
        <v>(1963,10,'1963.03.09',18,47,65,75,89,0),</v>
      </c>
      <c r="R315" s="7" t="str">
        <f t="shared" si="15"/>
        <v>(1963,10,'1963.03.09',18,47,65,75,89),</v>
      </c>
    </row>
    <row r="316" spans="1:18" x14ac:dyDescent="0.25">
      <c r="A316" s="7" t="s">
        <v>5867</v>
      </c>
      <c r="B316" s="8" t="s">
        <v>83</v>
      </c>
      <c r="C316" s="10">
        <f t="shared" si="14"/>
        <v>23086</v>
      </c>
      <c r="D316" t="s">
        <v>11</v>
      </c>
      <c r="E316" t="s">
        <v>12</v>
      </c>
      <c r="F316" t="s">
        <v>11</v>
      </c>
      <c r="G316" t="s">
        <v>12</v>
      </c>
      <c r="H316" t="s">
        <v>11</v>
      </c>
      <c r="I316" t="s">
        <v>12</v>
      </c>
      <c r="J316" t="s">
        <v>11</v>
      </c>
      <c r="K316" t="s">
        <v>12</v>
      </c>
      <c r="L316" s="12" t="s">
        <v>62</v>
      </c>
      <c r="M316" s="12" t="s">
        <v>24</v>
      </c>
      <c r="N316" s="12" t="s">
        <v>56</v>
      </c>
      <c r="O316" s="12" t="s">
        <v>73</v>
      </c>
      <c r="P316" s="12" t="s">
        <v>215</v>
      </c>
      <c r="Q316" s="7" t="str">
        <f t="shared" si="13"/>
        <v>(1963,11,'1963.03.16',10,39,71,76,81,0),</v>
      </c>
      <c r="R316" s="7" t="str">
        <f t="shared" si="15"/>
        <v>(1963,11,'1963.03.16',10,39,71,76,81),</v>
      </c>
    </row>
    <row r="317" spans="1:18" x14ac:dyDescent="0.25">
      <c r="A317" s="7" t="s">
        <v>5867</v>
      </c>
      <c r="B317" s="8" t="s">
        <v>31</v>
      </c>
      <c r="C317" s="10">
        <f t="shared" si="14"/>
        <v>23093</v>
      </c>
      <c r="D317" t="s">
        <v>11</v>
      </c>
      <c r="E317" t="s">
        <v>12</v>
      </c>
      <c r="F317" t="s">
        <v>11</v>
      </c>
      <c r="G317" t="s">
        <v>12</v>
      </c>
      <c r="H317" t="s">
        <v>11</v>
      </c>
      <c r="I317" t="s">
        <v>12</v>
      </c>
      <c r="J317" t="s">
        <v>11</v>
      </c>
      <c r="K317" t="s">
        <v>12</v>
      </c>
      <c r="L317" s="12" t="s">
        <v>25</v>
      </c>
      <c r="M317" s="12" t="s">
        <v>98</v>
      </c>
      <c r="N317" s="12" t="s">
        <v>199</v>
      </c>
      <c r="O317" s="12" t="s">
        <v>123</v>
      </c>
      <c r="P317" s="12" t="s">
        <v>301</v>
      </c>
      <c r="Q317" s="7" t="str">
        <f t="shared" si="13"/>
        <v>(1963,12,'1963.03.23',34,42,53,54,80,0),</v>
      </c>
      <c r="R317" s="7" t="str">
        <f t="shared" si="15"/>
        <v>(1963,12,'1963.03.23',34,42,53,54,80),</v>
      </c>
    </row>
    <row r="318" spans="1:18" x14ac:dyDescent="0.25">
      <c r="A318" s="7" t="s">
        <v>5867</v>
      </c>
      <c r="B318" s="8" t="s">
        <v>65</v>
      </c>
      <c r="C318" s="10">
        <f t="shared" si="14"/>
        <v>23100</v>
      </c>
      <c r="D318" t="s">
        <v>11</v>
      </c>
      <c r="E318" t="s">
        <v>12</v>
      </c>
      <c r="F318" t="s">
        <v>11</v>
      </c>
      <c r="G318" t="s">
        <v>12</v>
      </c>
      <c r="H318" t="s">
        <v>11</v>
      </c>
      <c r="I318" t="s">
        <v>12</v>
      </c>
      <c r="J318" t="s">
        <v>11</v>
      </c>
      <c r="K318" t="s">
        <v>12</v>
      </c>
      <c r="L318" s="12" t="s">
        <v>108</v>
      </c>
      <c r="M318" s="12" t="s">
        <v>42</v>
      </c>
      <c r="N318" s="12" t="s">
        <v>152</v>
      </c>
      <c r="O318" s="12" t="s">
        <v>47</v>
      </c>
      <c r="P318" s="12" t="s">
        <v>239</v>
      </c>
      <c r="Q318" s="7" t="str">
        <f t="shared" si="13"/>
        <v>(1963,13,'1963.03.30',1,3,25,69,73,0),</v>
      </c>
      <c r="R318" s="7" t="str">
        <f t="shared" si="15"/>
        <v>(1963,13,'1963.03.30',1,3,25,69,73),</v>
      </c>
    </row>
    <row r="319" spans="1:18" x14ac:dyDescent="0.25">
      <c r="A319" s="7" t="s">
        <v>5867</v>
      </c>
      <c r="B319" s="8" t="s">
        <v>127</v>
      </c>
      <c r="C319" s="10">
        <f t="shared" si="14"/>
        <v>23107</v>
      </c>
      <c r="D319" t="s">
        <v>11</v>
      </c>
      <c r="E319" t="s">
        <v>12</v>
      </c>
      <c r="F319" t="s">
        <v>11</v>
      </c>
      <c r="G319" t="s">
        <v>12</v>
      </c>
      <c r="H319" t="s">
        <v>11</v>
      </c>
      <c r="I319" t="s">
        <v>12</v>
      </c>
      <c r="J319" t="s">
        <v>11</v>
      </c>
      <c r="K319" t="s">
        <v>12</v>
      </c>
      <c r="L319" s="12" t="s">
        <v>115</v>
      </c>
      <c r="M319" s="12" t="s">
        <v>21</v>
      </c>
      <c r="N319" s="12" t="s">
        <v>24</v>
      </c>
      <c r="O319" s="12" t="s">
        <v>45</v>
      </c>
      <c r="P319" s="12" t="s">
        <v>122</v>
      </c>
      <c r="Q319" s="7" t="str">
        <f t="shared" si="13"/>
        <v>(1963,14,'1963.04.06',20,36,39,43,51,0),</v>
      </c>
      <c r="R319" s="7" t="str">
        <f t="shared" si="15"/>
        <v>(1963,14,'1963.04.06',20,36,39,43,51),</v>
      </c>
    </row>
    <row r="320" spans="1:18" x14ac:dyDescent="0.25">
      <c r="A320" s="7" t="s">
        <v>5867</v>
      </c>
      <c r="B320" s="8" t="s">
        <v>54</v>
      </c>
      <c r="C320" s="10">
        <f t="shared" si="14"/>
        <v>23114</v>
      </c>
      <c r="D320" t="s">
        <v>11</v>
      </c>
      <c r="E320" t="s">
        <v>12</v>
      </c>
      <c r="F320" t="s">
        <v>11</v>
      </c>
      <c r="G320" t="s">
        <v>12</v>
      </c>
      <c r="H320" t="s">
        <v>11</v>
      </c>
      <c r="I320" t="s">
        <v>12</v>
      </c>
      <c r="J320" t="s">
        <v>11</v>
      </c>
      <c r="K320" t="s">
        <v>12</v>
      </c>
      <c r="L320" s="12" t="s">
        <v>32</v>
      </c>
      <c r="M320" s="12" t="s">
        <v>25</v>
      </c>
      <c r="N320" s="12" t="s">
        <v>105</v>
      </c>
      <c r="O320" s="12" t="s">
        <v>214</v>
      </c>
      <c r="P320" s="12" t="s">
        <v>215</v>
      </c>
      <c r="Q320" s="7" t="str">
        <f t="shared" si="13"/>
        <v>(1963,15,'1963.04.13',22,34,50,64,81,0),</v>
      </c>
      <c r="R320" s="7" t="str">
        <f t="shared" si="15"/>
        <v>(1963,15,'1963.04.13',22,34,50,64,81),</v>
      </c>
    </row>
    <row r="321" spans="1:18" x14ac:dyDescent="0.25">
      <c r="A321" s="7" t="s">
        <v>5867</v>
      </c>
      <c r="B321" s="8" t="s">
        <v>43</v>
      </c>
      <c r="C321" s="10">
        <f t="shared" si="14"/>
        <v>23121</v>
      </c>
      <c r="D321" t="s">
        <v>11</v>
      </c>
      <c r="E321" t="s">
        <v>12</v>
      </c>
      <c r="F321" t="s">
        <v>11</v>
      </c>
      <c r="G321" t="s">
        <v>12</v>
      </c>
      <c r="H321" t="s">
        <v>11</v>
      </c>
      <c r="I321" t="s">
        <v>12</v>
      </c>
      <c r="J321" t="s">
        <v>11</v>
      </c>
      <c r="K321" t="s">
        <v>12</v>
      </c>
      <c r="L321" s="12" t="s">
        <v>270</v>
      </c>
      <c r="M321" s="12" t="s">
        <v>32</v>
      </c>
      <c r="N321" s="12" t="s">
        <v>74</v>
      </c>
      <c r="O321" s="12" t="s">
        <v>105</v>
      </c>
      <c r="P321" s="12" t="s">
        <v>175</v>
      </c>
      <c r="Q321" s="7" t="str">
        <f t="shared" si="13"/>
        <v>(1963,16,'1963.04.20',6,22,26,50,55,0),</v>
      </c>
      <c r="R321" s="7" t="str">
        <f t="shared" si="15"/>
        <v>(1963,16,'1963.04.20',6,22,26,50,55),</v>
      </c>
    </row>
    <row r="322" spans="1:18" x14ac:dyDescent="0.25">
      <c r="A322" s="7" t="s">
        <v>5867</v>
      </c>
      <c r="B322" s="8" t="s">
        <v>90</v>
      </c>
      <c r="C322" s="10">
        <f t="shared" si="14"/>
        <v>23128</v>
      </c>
      <c r="D322" t="s">
        <v>11</v>
      </c>
      <c r="E322" t="s">
        <v>12</v>
      </c>
      <c r="F322" t="s">
        <v>11</v>
      </c>
      <c r="G322" t="s">
        <v>12</v>
      </c>
      <c r="H322" t="s">
        <v>11</v>
      </c>
      <c r="I322" t="s">
        <v>12</v>
      </c>
      <c r="J322" t="s">
        <v>11</v>
      </c>
      <c r="K322" t="s">
        <v>12</v>
      </c>
      <c r="L322" s="12" t="s">
        <v>83</v>
      </c>
      <c r="M322" s="12" t="s">
        <v>116</v>
      </c>
      <c r="N322" s="12" t="s">
        <v>64</v>
      </c>
      <c r="O322" s="12" t="s">
        <v>142</v>
      </c>
      <c r="P322" s="12" t="s">
        <v>72</v>
      </c>
      <c r="Q322" s="7" t="str">
        <f t="shared" ref="Q322:Q385" si="16">"("&amp;A322&amp;","&amp;B322&amp;",'"&amp;TEXT(C322,"éééé.hh.nn")&amp;"',"&amp;L322&amp;","&amp;M322&amp;","&amp;N322&amp;","&amp;O322&amp;","&amp;P322&amp;",0)"&amp;IF(P323&lt;&gt;0,",","")</f>
        <v>(1963,17,'1963.04.27',11,29,35,44,67,0),</v>
      </c>
      <c r="R322" s="7" t="str">
        <f t="shared" si="15"/>
        <v>(1963,17,'1963.04.27',11,29,35,44,67),</v>
      </c>
    </row>
    <row r="323" spans="1:18" x14ac:dyDescent="0.25">
      <c r="A323" s="7" t="s">
        <v>5867</v>
      </c>
      <c r="B323" s="8" t="s">
        <v>19</v>
      </c>
      <c r="C323" s="10">
        <f t="shared" ref="C323:C386" si="17">+C322+7</f>
        <v>23135</v>
      </c>
      <c r="D323" t="s">
        <v>11</v>
      </c>
      <c r="E323" t="s">
        <v>12</v>
      </c>
      <c r="F323" t="s">
        <v>11</v>
      </c>
      <c r="G323" t="s">
        <v>12</v>
      </c>
      <c r="H323" t="s">
        <v>11</v>
      </c>
      <c r="I323" t="s">
        <v>12</v>
      </c>
      <c r="J323" t="s">
        <v>11</v>
      </c>
      <c r="K323" t="s">
        <v>12</v>
      </c>
      <c r="L323" s="12" t="s">
        <v>36</v>
      </c>
      <c r="M323" s="12" t="s">
        <v>122</v>
      </c>
      <c r="N323" s="12" t="s">
        <v>214</v>
      </c>
      <c r="O323" s="12" t="s">
        <v>245</v>
      </c>
      <c r="P323" s="12" t="s">
        <v>215</v>
      </c>
      <c r="Q323" s="7" t="str">
        <f t="shared" si="16"/>
        <v>(1963,18,'1963.05.04',38,51,64,74,81,0),</v>
      </c>
      <c r="R323" s="7" t="str">
        <f t="shared" ref="R323:R386" si="18">IF(TRIM(P323)="","","("&amp;A323&amp;","&amp;B323&amp;",'"&amp;TEXT(C323,"éééé.hh.nn")&amp;"',"&amp;L323&amp;","&amp;M323&amp;","&amp;N323&amp;","&amp;O323&amp;","&amp;P323&amp;")"&amp;IF(P324=0,";",","))</f>
        <v>(1963,18,'1963.05.04',38,51,64,74,81),</v>
      </c>
    </row>
    <row r="324" spans="1:18" x14ac:dyDescent="0.25">
      <c r="A324" s="7" t="s">
        <v>5867</v>
      </c>
      <c r="B324" s="8" t="s">
        <v>55</v>
      </c>
      <c r="C324" s="10">
        <f t="shared" si="17"/>
        <v>23142</v>
      </c>
      <c r="D324" t="s">
        <v>11</v>
      </c>
      <c r="E324" t="s">
        <v>12</v>
      </c>
      <c r="F324" t="s">
        <v>11</v>
      </c>
      <c r="G324" t="s">
        <v>12</v>
      </c>
      <c r="H324" t="s">
        <v>11</v>
      </c>
      <c r="I324" t="s">
        <v>12</v>
      </c>
      <c r="J324" t="s">
        <v>11</v>
      </c>
      <c r="K324" t="s">
        <v>12</v>
      </c>
      <c r="L324" s="12" t="s">
        <v>65</v>
      </c>
      <c r="M324" s="12" t="s">
        <v>23</v>
      </c>
      <c r="N324" s="12" t="s">
        <v>201</v>
      </c>
      <c r="O324" s="12" t="s">
        <v>106</v>
      </c>
      <c r="P324" s="12" t="s">
        <v>208</v>
      </c>
      <c r="Q324" s="7" t="str">
        <f t="shared" si="16"/>
        <v>(1963,19,'1963.05.11',13,60,72,75,88,0),</v>
      </c>
      <c r="R324" s="7" t="str">
        <f t="shared" si="18"/>
        <v>(1963,19,'1963.05.11',13,60,72,75,88),</v>
      </c>
    </row>
    <row r="325" spans="1:18" x14ac:dyDescent="0.25">
      <c r="A325" s="7" t="s">
        <v>5867</v>
      </c>
      <c r="B325" s="8" t="s">
        <v>115</v>
      </c>
      <c r="C325" s="10">
        <f t="shared" si="17"/>
        <v>23149</v>
      </c>
      <c r="D325" t="s">
        <v>11</v>
      </c>
      <c r="E325" t="s">
        <v>12</v>
      </c>
      <c r="F325" t="s">
        <v>11</v>
      </c>
      <c r="G325" t="s">
        <v>12</v>
      </c>
      <c r="H325" t="s">
        <v>11</v>
      </c>
      <c r="I325" t="s">
        <v>12</v>
      </c>
      <c r="J325" t="s">
        <v>11</v>
      </c>
      <c r="K325" t="s">
        <v>12</v>
      </c>
      <c r="L325" s="12" t="s">
        <v>108</v>
      </c>
      <c r="M325" s="12" t="s">
        <v>152</v>
      </c>
      <c r="N325" s="12" t="s">
        <v>192</v>
      </c>
      <c r="O325" s="12" t="s">
        <v>22</v>
      </c>
      <c r="P325" s="12" t="s">
        <v>34</v>
      </c>
      <c r="Q325" s="7" t="str">
        <f t="shared" si="16"/>
        <v>(1963,20,'1963.05.18',1,25,46,48,49,0),</v>
      </c>
      <c r="R325" s="7" t="str">
        <f t="shared" si="18"/>
        <v>(1963,20,'1963.05.18',1,25,46,48,49),</v>
      </c>
    </row>
    <row r="326" spans="1:18" x14ac:dyDescent="0.25">
      <c r="A326" s="7" t="s">
        <v>5867</v>
      </c>
      <c r="B326" s="8" t="s">
        <v>44</v>
      </c>
      <c r="C326" s="10">
        <f t="shared" si="17"/>
        <v>23156</v>
      </c>
      <c r="D326" t="s">
        <v>11</v>
      </c>
      <c r="E326" t="s">
        <v>12</v>
      </c>
      <c r="F326" t="s">
        <v>11</v>
      </c>
      <c r="G326" t="s">
        <v>12</v>
      </c>
      <c r="H326" t="s">
        <v>11</v>
      </c>
      <c r="I326" t="s">
        <v>12</v>
      </c>
      <c r="J326" t="s">
        <v>11</v>
      </c>
      <c r="K326" t="s">
        <v>12</v>
      </c>
      <c r="L326" s="12" t="s">
        <v>53</v>
      </c>
      <c r="M326" s="12" t="s">
        <v>62</v>
      </c>
      <c r="N326" s="12" t="s">
        <v>19</v>
      </c>
      <c r="O326" s="12" t="s">
        <v>81</v>
      </c>
      <c r="P326" s="12" t="s">
        <v>92</v>
      </c>
      <c r="Q326" s="7" t="str">
        <f t="shared" si="16"/>
        <v>(1963,21,'1963.05.25',7,10,18,47,68,0),</v>
      </c>
      <c r="R326" s="7" t="str">
        <f t="shared" si="18"/>
        <v>(1963,21,'1963.05.25',7,10,18,47,68),</v>
      </c>
    </row>
    <row r="327" spans="1:18" x14ac:dyDescent="0.25">
      <c r="A327" s="7" t="s">
        <v>5867</v>
      </c>
      <c r="B327" s="8" t="s">
        <v>32</v>
      </c>
      <c r="C327" s="10">
        <f t="shared" si="17"/>
        <v>23163</v>
      </c>
      <c r="D327" t="s">
        <v>11</v>
      </c>
      <c r="E327" t="s">
        <v>12</v>
      </c>
      <c r="F327" t="s">
        <v>11</v>
      </c>
      <c r="G327" t="s">
        <v>12</v>
      </c>
      <c r="H327" t="s">
        <v>11</v>
      </c>
      <c r="I327" t="s">
        <v>12</v>
      </c>
      <c r="J327" t="s">
        <v>11</v>
      </c>
      <c r="K327" t="s">
        <v>12</v>
      </c>
      <c r="L327" s="12" t="s">
        <v>31</v>
      </c>
      <c r="M327" s="12" t="s">
        <v>44</v>
      </c>
      <c r="N327" s="12" t="s">
        <v>74</v>
      </c>
      <c r="O327" s="12" t="s">
        <v>134</v>
      </c>
      <c r="P327" s="12" t="s">
        <v>308</v>
      </c>
      <c r="Q327" s="7" t="str">
        <f t="shared" si="16"/>
        <v>(1963,22,'1963.06.01',12,21,26,56,86,0),</v>
      </c>
      <c r="R327" s="7" t="str">
        <f t="shared" si="18"/>
        <v>(1963,22,'1963.06.01',12,21,26,56,86),</v>
      </c>
    </row>
    <row r="328" spans="1:18" x14ac:dyDescent="0.25">
      <c r="A328" s="7" t="s">
        <v>5867</v>
      </c>
      <c r="B328" s="8" t="s">
        <v>163</v>
      </c>
      <c r="C328" s="10">
        <f t="shared" si="17"/>
        <v>23170</v>
      </c>
      <c r="D328" t="s">
        <v>11</v>
      </c>
      <c r="E328" t="s">
        <v>12</v>
      </c>
      <c r="F328" t="s">
        <v>11</v>
      </c>
      <c r="G328" t="s">
        <v>12</v>
      </c>
      <c r="H328" t="s">
        <v>11</v>
      </c>
      <c r="I328" t="s">
        <v>12</v>
      </c>
      <c r="J328" t="s">
        <v>11</v>
      </c>
      <c r="K328" t="s">
        <v>12</v>
      </c>
      <c r="L328" s="12" t="s">
        <v>42</v>
      </c>
      <c r="M328" s="12" t="s">
        <v>19</v>
      </c>
      <c r="N328" s="12" t="s">
        <v>115</v>
      </c>
      <c r="O328" s="12" t="s">
        <v>13</v>
      </c>
      <c r="P328" s="12" t="s">
        <v>34</v>
      </c>
      <c r="Q328" s="7" t="str">
        <f t="shared" si="16"/>
        <v>(1963,23,'1963.06.08',3,18,20,41,49,0),</v>
      </c>
      <c r="R328" s="7" t="str">
        <f t="shared" si="18"/>
        <v>(1963,23,'1963.06.08',3,18,20,41,49),</v>
      </c>
    </row>
    <row r="329" spans="1:18" x14ac:dyDescent="0.25">
      <c r="A329" s="7" t="s">
        <v>5867</v>
      </c>
      <c r="B329" s="8" t="s">
        <v>33</v>
      </c>
      <c r="C329" s="10">
        <f t="shared" si="17"/>
        <v>23177</v>
      </c>
      <c r="D329" t="s">
        <v>11</v>
      </c>
      <c r="E329" t="s">
        <v>12</v>
      </c>
      <c r="F329" t="s">
        <v>11</v>
      </c>
      <c r="G329" t="s">
        <v>12</v>
      </c>
      <c r="H329" t="s">
        <v>11</v>
      </c>
      <c r="I329" t="s">
        <v>12</v>
      </c>
      <c r="J329" t="s">
        <v>11</v>
      </c>
      <c r="K329" t="s">
        <v>12</v>
      </c>
      <c r="L329" s="12" t="s">
        <v>32</v>
      </c>
      <c r="M329" s="12" t="s">
        <v>20</v>
      </c>
      <c r="N329" s="12" t="s">
        <v>105</v>
      </c>
      <c r="O329" s="12" t="s">
        <v>124</v>
      </c>
      <c r="P329" s="12" t="s">
        <v>47</v>
      </c>
      <c r="Q329" s="7" t="str">
        <f t="shared" si="16"/>
        <v>(1963,24,'1963.06.15',22,33,50,62,69,0),</v>
      </c>
      <c r="R329" s="7" t="str">
        <f t="shared" si="18"/>
        <v>(1963,24,'1963.06.15',22,33,50,62,69),</v>
      </c>
    </row>
    <row r="330" spans="1:18" x14ac:dyDescent="0.25">
      <c r="A330" s="7" t="s">
        <v>5867</v>
      </c>
      <c r="B330" s="8" t="s">
        <v>152</v>
      </c>
      <c r="C330" s="10">
        <f t="shared" si="17"/>
        <v>23184</v>
      </c>
      <c r="D330" t="s">
        <v>11</v>
      </c>
      <c r="E330" t="s">
        <v>12</v>
      </c>
      <c r="F330" t="s">
        <v>11</v>
      </c>
      <c r="G330" t="s">
        <v>12</v>
      </c>
      <c r="H330" t="s">
        <v>11</v>
      </c>
      <c r="I330" t="s">
        <v>12</v>
      </c>
      <c r="J330" t="s">
        <v>11</v>
      </c>
      <c r="K330" t="s">
        <v>12</v>
      </c>
      <c r="L330" s="12" t="s">
        <v>31</v>
      </c>
      <c r="M330" s="12" t="s">
        <v>126</v>
      </c>
      <c r="N330" s="12" t="s">
        <v>46</v>
      </c>
      <c r="O330" s="12" t="s">
        <v>122</v>
      </c>
      <c r="P330" s="12" t="s">
        <v>151</v>
      </c>
      <c r="Q330" s="7" t="str">
        <f t="shared" si="16"/>
        <v>(1963,25,'1963.06.22',12,28,37,51,79,0),</v>
      </c>
      <c r="R330" s="7" t="str">
        <f t="shared" si="18"/>
        <v>(1963,25,'1963.06.22',12,28,37,51,79),</v>
      </c>
    </row>
    <row r="331" spans="1:18" x14ac:dyDescent="0.25">
      <c r="A331" s="7" t="s">
        <v>5867</v>
      </c>
      <c r="B331" s="8" t="s">
        <v>74</v>
      </c>
      <c r="C331" s="10">
        <f t="shared" si="17"/>
        <v>23191</v>
      </c>
      <c r="D331" t="s">
        <v>11</v>
      </c>
      <c r="E331" t="s">
        <v>12</v>
      </c>
      <c r="F331" t="s">
        <v>11</v>
      </c>
      <c r="G331" t="s">
        <v>12</v>
      </c>
      <c r="H331" t="s">
        <v>11</v>
      </c>
      <c r="I331" t="s">
        <v>12</v>
      </c>
      <c r="J331" t="s">
        <v>11</v>
      </c>
      <c r="K331" t="s">
        <v>12</v>
      </c>
      <c r="L331" s="12" t="s">
        <v>65</v>
      </c>
      <c r="M331" s="12" t="s">
        <v>33</v>
      </c>
      <c r="N331" s="12" t="s">
        <v>13</v>
      </c>
      <c r="O331" s="12" t="s">
        <v>81</v>
      </c>
      <c r="P331" s="12" t="s">
        <v>308</v>
      </c>
      <c r="Q331" s="7" t="str">
        <f t="shared" si="16"/>
        <v>(1963,26,'1963.06.29',13,24,41,47,86,0),</v>
      </c>
      <c r="R331" s="7" t="str">
        <f t="shared" si="18"/>
        <v>(1963,26,'1963.06.29',13,24,41,47,86),</v>
      </c>
    </row>
    <row r="332" spans="1:18" x14ac:dyDescent="0.25">
      <c r="A332" s="7" t="s">
        <v>5867</v>
      </c>
      <c r="B332" s="8" t="s">
        <v>135</v>
      </c>
      <c r="C332" s="10">
        <f t="shared" si="17"/>
        <v>23198</v>
      </c>
      <c r="D332" t="s">
        <v>11</v>
      </c>
      <c r="E332" t="s">
        <v>12</v>
      </c>
      <c r="F332" t="s">
        <v>11</v>
      </c>
      <c r="G332" t="s">
        <v>12</v>
      </c>
      <c r="H332" t="s">
        <v>11</v>
      </c>
      <c r="I332" t="s">
        <v>12</v>
      </c>
      <c r="J332" t="s">
        <v>11</v>
      </c>
      <c r="K332" t="s">
        <v>12</v>
      </c>
      <c r="L332" s="12" t="s">
        <v>89</v>
      </c>
      <c r="M332" s="12" t="s">
        <v>152</v>
      </c>
      <c r="N332" s="12" t="s">
        <v>142</v>
      </c>
      <c r="O332" s="12" t="s">
        <v>622</v>
      </c>
      <c r="P332" s="12" t="s">
        <v>269</v>
      </c>
      <c r="Q332" s="7" t="str">
        <f t="shared" si="16"/>
        <v>(1963,27,'1963.07.06',5,25,44,82,87,0),</v>
      </c>
      <c r="R332" s="7" t="str">
        <f t="shared" si="18"/>
        <v>(1963,27,'1963.07.06',5,25,44,82,87),</v>
      </c>
    </row>
    <row r="333" spans="1:18" x14ac:dyDescent="0.25">
      <c r="A333" s="7" t="s">
        <v>5867</v>
      </c>
      <c r="B333" s="8" t="s">
        <v>126</v>
      </c>
      <c r="C333" s="10">
        <f t="shared" si="17"/>
        <v>23205</v>
      </c>
      <c r="D333" t="s">
        <v>11</v>
      </c>
      <c r="E333" t="s">
        <v>12</v>
      </c>
      <c r="F333" t="s">
        <v>11</v>
      </c>
      <c r="G333" t="s">
        <v>12</v>
      </c>
      <c r="H333" t="s">
        <v>11</v>
      </c>
      <c r="I333" t="s">
        <v>12</v>
      </c>
      <c r="J333" t="s">
        <v>11</v>
      </c>
      <c r="K333" t="s">
        <v>12</v>
      </c>
      <c r="L333" s="12" t="s">
        <v>89</v>
      </c>
      <c r="M333" s="12" t="s">
        <v>81</v>
      </c>
      <c r="N333" s="12" t="s">
        <v>200</v>
      </c>
      <c r="O333" s="12" t="s">
        <v>301</v>
      </c>
      <c r="P333" s="12" t="s">
        <v>269</v>
      </c>
      <c r="Q333" s="7" t="str">
        <f t="shared" si="16"/>
        <v>(1963,28,'1963.07.13',5,47,70,80,87,0),</v>
      </c>
      <c r="R333" s="7" t="str">
        <f t="shared" si="18"/>
        <v>(1963,28,'1963.07.13',5,47,70,80,87),</v>
      </c>
    </row>
    <row r="334" spans="1:18" x14ac:dyDescent="0.25">
      <c r="A334" s="7" t="s">
        <v>5867</v>
      </c>
      <c r="B334" s="8" t="s">
        <v>116</v>
      </c>
      <c r="C334" s="10">
        <f t="shared" si="17"/>
        <v>23212</v>
      </c>
      <c r="D334" t="s">
        <v>11</v>
      </c>
      <c r="E334" t="s">
        <v>12</v>
      </c>
      <c r="F334" t="s">
        <v>11</v>
      </c>
      <c r="G334" t="s">
        <v>12</v>
      </c>
      <c r="H334" t="s">
        <v>11</v>
      </c>
      <c r="I334" t="s">
        <v>12</v>
      </c>
      <c r="J334" t="s">
        <v>11</v>
      </c>
      <c r="K334" t="s">
        <v>12</v>
      </c>
      <c r="L334" s="12" t="s">
        <v>44</v>
      </c>
      <c r="M334" s="12" t="s">
        <v>64</v>
      </c>
      <c r="N334" s="12" t="s">
        <v>21</v>
      </c>
      <c r="O334" s="12" t="s">
        <v>22</v>
      </c>
      <c r="P334" s="12" t="s">
        <v>23</v>
      </c>
      <c r="Q334" s="7" t="str">
        <f t="shared" si="16"/>
        <v>(1963,29,'1963.07.20',21,35,36,48,60,0),</v>
      </c>
      <c r="R334" s="7" t="str">
        <f t="shared" si="18"/>
        <v>(1963,29,'1963.07.20',21,35,36,48,60),</v>
      </c>
    </row>
    <row r="335" spans="1:18" x14ac:dyDescent="0.25">
      <c r="A335" s="7" t="s">
        <v>5867</v>
      </c>
      <c r="B335" s="8" t="s">
        <v>107</v>
      </c>
      <c r="C335" s="10">
        <f t="shared" si="17"/>
        <v>23219</v>
      </c>
      <c r="D335" t="s">
        <v>11</v>
      </c>
      <c r="E335" t="s">
        <v>12</v>
      </c>
      <c r="F335" t="s">
        <v>11</v>
      </c>
      <c r="G335" t="s">
        <v>12</v>
      </c>
      <c r="H335" t="s">
        <v>11</v>
      </c>
      <c r="I335" t="s">
        <v>12</v>
      </c>
      <c r="J335" t="s">
        <v>11</v>
      </c>
      <c r="K335" t="s">
        <v>12</v>
      </c>
      <c r="L335" s="12" t="s">
        <v>31</v>
      </c>
      <c r="M335" s="12" t="s">
        <v>163</v>
      </c>
      <c r="N335" s="12" t="s">
        <v>36</v>
      </c>
      <c r="O335" s="12" t="s">
        <v>91</v>
      </c>
      <c r="P335" s="12" t="s">
        <v>248</v>
      </c>
      <c r="Q335" s="7" t="str">
        <f t="shared" si="16"/>
        <v>(1963,30,'1963.07.27',12,23,38,61,63,0),</v>
      </c>
      <c r="R335" s="7" t="str">
        <f t="shared" si="18"/>
        <v>(1963,30,'1963.07.27',12,23,38,61,63),</v>
      </c>
    </row>
    <row r="336" spans="1:18" x14ac:dyDescent="0.25">
      <c r="A336" s="7" t="s">
        <v>5867</v>
      </c>
      <c r="B336" s="8" t="s">
        <v>71</v>
      </c>
      <c r="C336" s="10">
        <f t="shared" si="17"/>
        <v>23226</v>
      </c>
      <c r="D336" t="s">
        <v>11</v>
      </c>
      <c r="E336" t="s">
        <v>12</v>
      </c>
      <c r="F336" t="s">
        <v>11</v>
      </c>
      <c r="G336" t="s">
        <v>12</v>
      </c>
      <c r="H336" t="s">
        <v>11</v>
      </c>
      <c r="I336" t="s">
        <v>12</v>
      </c>
      <c r="J336" t="s">
        <v>11</v>
      </c>
      <c r="K336" t="s">
        <v>12</v>
      </c>
      <c r="L336" s="12" t="s">
        <v>126</v>
      </c>
      <c r="M336" s="12" t="s">
        <v>20</v>
      </c>
      <c r="N336" s="12" t="s">
        <v>122</v>
      </c>
      <c r="O336" s="12" t="s">
        <v>134</v>
      </c>
      <c r="P336" s="12" t="s">
        <v>200</v>
      </c>
      <c r="Q336" s="7" t="str">
        <f t="shared" si="16"/>
        <v>(1963,31,'1963.08.03',28,33,51,56,70,0),</v>
      </c>
      <c r="R336" s="7" t="str">
        <f t="shared" si="18"/>
        <v>(1963,31,'1963.08.03',28,33,51,56,70),</v>
      </c>
    </row>
    <row r="337" spans="1:18" x14ac:dyDescent="0.25">
      <c r="A337" s="7" t="s">
        <v>5867</v>
      </c>
      <c r="B337" s="8" t="s">
        <v>80</v>
      </c>
      <c r="C337" s="10">
        <f t="shared" si="17"/>
        <v>23233</v>
      </c>
      <c r="D337" t="s">
        <v>11</v>
      </c>
      <c r="E337" t="s">
        <v>12</v>
      </c>
      <c r="F337" t="s">
        <v>11</v>
      </c>
      <c r="G337" t="s">
        <v>12</v>
      </c>
      <c r="H337" t="s">
        <v>11</v>
      </c>
      <c r="I337" t="s">
        <v>12</v>
      </c>
      <c r="J337" t="s">
        <v>11</v>
      </c>
      <c r="K337" t="s">
        <v>12</v>
      </c>
      <c r="L337" s="12" t="s">
        <v>108</v>
      </c>
      <c r="M337" s="12" t="s">
        <v>207</v>
      </c>
      <c r="N337" s="12" t="s">
        <v>20</v>
      </c>
      <c r="O337" s="12" t="s">
        <v>122</v>
      </c>
      <c r="P337" s="12" t="s">
        <v>208</v>
      </c>
      <c r="Q337" s="7" t="str">
        <f t="shared" si="16"/>
        <v>(1963,32,'1963.08.10',1,2,33,51,88,0),</v>
      </c>
      <c r="R337" s="7" t="str">
        <f t="shared" si="18"/>
        <v>(1963,32,'1963.08.10',1,2,33,51,88),</v>
      </c>
    </row>
    <row r="338" spans="1:18" x14ac:dyDescent="0.25">
      <c r="A338" s="7" t="s">
        <v>5867</v>
      </c>
      <c r="B338" s="8" t="s">
        <v>20</v>
      </c>
      <c r="C338" s="10">
        <f t="shared" si="17"/>
        <v>23240</v>
      </c>
      <c r="D338" t="s">
        <v>11</v>
      </c>
      <c r="E338" t="s">
        <v>12</v>
      </c>
      <c r="F338" t="s">
        <v>11</v>
      </c>
      <c r="G338" t="s">
        <v>12</v>
      </c>
      <c r="H338" t="s">
        <v>11</v>
      </c>
      <c r="I338" t="s">
        <v>12</v>
      </c>
      <c r="J338" t="s">
        <v>11</v>
      </c>
      <c r="K338" t="s">
        <v>12</v>
      </c>
      <c r="L338" s="12" t="s">
        <v>232</v>
      </c>
      <c r="M338" s="12" t="s">
        <v>31</v>
      </c>
      <c r="N338" s="12" t="s">
        <v>25</v>
      </c>
      <c r="O338" s="12" t="s">
        <v>46</v>
      </c>
      <c r="P338" s="12" t="s">
        <v>215</v>
      </c>
      <c r="Q338" s="7" t="str">
        <f t="shared" si="16"/>
        <v>(1963,33,'1963.08.17',8,12,34,37,81,0),</v>
      </c>
      <c r="R338" s="7" t="str">
        <f t="shared" si="18"/>
        <v>(1963,33,'1963.08.17',8,12,34,37,81),</v>
      </c>
    </row>
    <row r="339" spans="1:18" x14ac:dyDescent="0.25">
      <c r="A339" s="7" t="s">
        <v>5867</v>
      </c>
      <c r="B339" s="8" t="s">
        <v>25</v>
      </c>
      <c r="C339" s="10">
        <f t="shared" si="17"/>
        <v>23247</v>
      </c>
      <c r="D339" t="s">
        <v>11</v>
      </c>
      <c r="E339" t="s">
        <v>12</v>
      </c>
      <c r="F339" t="s">
        <v>11</v>
      </c>
      <c r="G339" t="s">
        <v>12</v>
      </c>
      <c r="H339" t="s">
        <v>11</v>
      </c>
      <c r="I339" t="s">
        <v>12</v>
      </c>
      <c r="J339" t="s">
        <v>11</v>
      </c>
      <c r="K339" t="s">
        <v>12</v>
      </c>
      <c r="L339" s="12" t="s">
        <v>108</v>
      </c>
      <c r="M339" s="12" t="s">
        <v>64</v>
      </c>
      <c r="N339" s="12" t="s">
        <v>82</v>
      </c>
      <c r="O339" s="12" t="s">
        <v>151</v>
      </c>
      <c r="P339" s="12" t="s">
        <v>246</v>
      </c>
      <c r="Q339" s="7" t="str">
        <f t="shared" si="16"/>
        <v>(1963,34,'1963.08.24',1,35,59,79,84,0),</v>
      </c>
      <c r="R339" s="7" t="str">
        <f t="shared" si="18"/>
        <v>(1963,34,'1963.08.24',1,35,59,79,84),</v>
      </c>
    </row>
    <row r="340" spans="1:18" x14ac:dyDescent="0.25">
      <c r="A340" s="7" t="s">
        <v>5867</v>
      </c>
      <c r="B340" s="8" t="s">
        <v>64</v>
      </c>
      <c r="C340" s="10">
        <f t="shared" si="17"/>
        <v>23254</v>
      </c>
      <c r="D340" t="s">
        <v>11</v>
      </c>
      <c r="E340" t="s">
        <v>12</v>
      </c>
      <c r="F340" t="s">
        <v>11</v>
      </c>
      <c r="G340" t="s">
        <v>12</v>
      </c>
      <c r="H340" t="s">
        <v>11</v>
      </c>
      <c r="I340" t="s">
        <v>12</v>
      </c>
      <c r="J340" t="s">
        <v>11</v>
      </c>
      <c r="K340" t="s">
        <v>12</v>
      </c>
      <c r="L340" s="12" t="s">
        <v>98</v>
      </c>
      <c r="M340" s="12" t="s">
        <v>133</v>
      </c>
      <c r="N340" s="12" t="s">
        <v>72</v>
      </c>
      <c r="O340" s="12" t="s">
        <v>63</v>
      </c>
      <c r="P340" s="12" t="s">
        <v>208</v>
      </c>
      <c r="Q340" s="7" t="str">
        <f t="shared" si="16"/>
        <v>(1963,35,'1963.08.31',42,45,67,78,88,0),</v>
      </c>
      <c r="R340" s="7" t="str">
        <f t="shared" si="18"/>
        <v>(1963,35,'1963.08.31',42,45,67,78,88),</v>
      </c>
    </row>
    <row r="341" spans="1:18" x14ac:dyDescent="0.25">
      <c r="A341" s="7" t="s">
        <v>5867</v>
      </c>
      <c r="B341" s="8" t="s">
        <v>21</v>
      </c>
      <c r="C341" s="10">
        <f t="shared" si="17"/>
        <v>23261</v>
      </c>
      <c r="D341" t="s">
        <v>11</v>
      </c>
      <c r="E341" t="s">
        <v>12</v>
      </c>
      <c r="F341" t="s">
        <v>11</v>
      </c>
      <c r="G341" t="s">
        <v>12</v>
      </c>
      <c r="H341" t="s">
        <v>11</v>
      </c>
      <c r="I341" t="s">
        <v>12</v>
      </c>
      <c r="J341" t="s">
        <v>11</v>
      </c>
      <c r="K341" t="s">
        <v>12</v>
      </c>
      <c r="L341" s="12" t="s">
        <v>31</v>
      </c>
      <c r="M341" s="12" t="s">
        <v>80</v>
      </c>
      <c r="N341" s="12" t="s">
        <v>22</v>
      </c>
      <c r="O341" s="12" t="s">
        <v>105</v>
      </c>
      <c r="P341" s="12" t="s">
        <v>248</v>
      </c>
      <c r="Q341" s="7" t="str">
        <f t="shared" si="16"/>
        <v>(1963,36,'1963.09.07',12,32,48,50,63,0),</v>
      </c>
      <c r="R341" s="7" t="str">
        <f t="shared" si="18"/>
        <v>(1963,36,'1963.09.07',12,32,48,50,63),</v>
      </c>
    </row>
    <row r="342" spans="1:18" x14ac:dyDescent="0.25">
      <c r="A342" s="7" t="s">
        <v>5867</v>
      </c>
      <c r="B342" s="8" t="s">
        <v>46</v>
      </c>
      <c r="C342" s="10">
        <f t="shared" si="17"/>
        <v>23268</v>
      </c>
      <c r="D342" t="s">
        <v>11</v>
      </c>
      <c r="E342" t="s">
        <v>12</v>
      </c>
      <c r="F342" t="s">
        <v>11</v>
      </c>
      <c r="G342" t="s">
        <v>12</v>
      </c>
      <c r="H342" t="s">
        <v>11</v>
      </c>
      <c r="I342" t="s">
        <v>12</v>
      </c>
      <c r="J342" t="s">
        <v>11</v>
      </c>
      <c r="K342" t="s">
        <v>12</v>
      </c>
      <c r="L342" s="12" t="s">
        <v>90</v>
      </c>
      <c r="M342" s="12" t="s">
        <v>32</v>
      </c>
      <c r="N342" s="12" t="s">
        <v>135</v>
      </c>
      <c r="O342" s="12" t="s">
        <v>107</v>
      </c>
      <c r="P342" s="12" t="s">
        <v>46</v>
      </c>
      <c r="Q342" s="7" t="str">
        <f t="shared" si="16"/>
        <v>(1963,37,'1963.09.14',17,22,27,30,37,0),</v>
      </c>
      <c r="R342" s="7" t="str">
        <f t="shared" si="18"/>
        <v>(1963,37,'1963.09.14',17,22,27,30,37),</v>
      </c>
    </row>
    <row r="343" spans="1:18" x14ac:dyDescent="0.25">
      <c r="A343" s="7" t="s">
        <v>5867</v>
      </c>
      <c r="B343" s="8" t="s">
        <v>36</v>
      </c>
      <c r="C343" s="10">
        <f t="shared" si="17"/>
        <v>23275</v>
      </c>
      <c r="D343" t="s">
        <v>11</v>
      </c>
      <c r="E343" t="s">
        <v>12</v>
      </c>
      <c r="F343" t="s">
        <v>11</v>
      </c>
      <c r="G343" t="s">
        <v>12</v>
      </c>
      <c r="H343" t="s">
        <v>11</v>
      </c>
      <c r="I343" t="s">
        <v>12</v>
      </c>
      <c r="J343" t="s">
        <v>11</v>
      </c>
      <c r="K343" t="s">
        <v>12</v>
      </c>
      <c r="L343" s="12" t="s">
        <v>24</v>
      </c>
      <c r="M343" s="12" t="s">
        <v>105</v>
      </c>
      <c r="N343" s="12" t="s">
        <v>201</v>
      </c>
      <c r="O343" s="12" t="s">
        <v>106</v>
      </c>
      <c r="P343" s="12" t="s">
        <v>215</v>
      </c>
      <c r="Q343" s="7" t="str">
        <f t="shared" si="16"/>
        <v>(1963,38,'1963.09.21',39,50,72,75,81,0),</v>
      </c>
      <c r="R343" s="7" t="str">
        <f t="shared" si="18"/>
        <v>(1963,38,'1963.09.21',39,50,72,75,81),</v>
      </c>
    </row>
    <row r="344" spans="1:18" x14ac:dyDescent="0.25">
      <c r="A344" s="7" t="s">
        <v>5867</v>
      </c>
      <c r="B344" s="8" t="s">
        <v>24</v>
      </c>
      <c r="C344" s="10">
        <f t="shared" si="17"/>
        <v>23282</v>
      </c>
      <c r="D344" t="s">
        <v>11</v>
      </c>
      <c r="E344" t="s">
        <v>12</v>
      </c>
      <c r="F344" t="s">
        <v>11</v>
      </c>
      <c r="G344" t="s">
        <v>12</v>
      </c>
      <c r="H344" t="s">
        <v>11</v>
      </c>
      <c r="I344" t="s">
        <v>12</v>
      </c>
      <c r="J344" t="s">
        <v>11</v>
      </c>
      <c r="K344" t="s">
        <v>12</v>
      </c>
      <c r="L344" s="12" t="s">
        <v>80</v>
      </c>
      <c r="M344" s="12" t="s">
        <v>46</v>
      </c>
      <c r="N344" s="12" t="s">
        <v>105</v>
      </c>
      <c r="O344" s="12" t="s">
        <v>248</v>
      </c>
      <c r="P344" s="12" t="s">
        <v>72</v>
      </c>
      <c r="Q344" s="7" t="str">
        <f t="shared" si="16"/>
        <v>(1963,39,'1963.09.28',32,37,50,63,67,0),</v>
      </c>
      <c r="R344" s="7" t="str">
        <f t="shared" si="18"/>
        <v>(1963,39,'1963.09.28',32,37,50,63,67),</v>
      </c>
    </row>
    <row r="345" spans="1:18" x14ac:dyDescent="0.25">
      <c r="A345" s="7" t="s">
        <v>5867</v>
      </c>
      <c r="B345" s="8" t="s">
        <v>10</v>
      </c>
      <c r="C345" s="10">
        <f t="shared" si="17"/>
        <v>23289</v>
      </c>
      <c r="D345" t="s">
        <v>11</v>
      </c>
      <c r="E345" t="s">
        <v>12</v>
      </c>
      <c r="F345" t="s">
        <v>11</v>
      </c>
      <c r="G345" t="s">
        <v>12</v>
      </c>
      <c r="H345" t="s">
        <v>11</v>
      </c>
      <c r="I345" t="s">
        <v>12</v>
      </c>
      <c r="J345" t="s">
        <v>11</v>
      </c>
      <c r="K345" t="s">
        <v>12</v>
      </c>
      <c r="L345" s="12" t="s">
        <v>270</v>
      </c>
      <c r="M345" s="12" t="s">
        <v>62</v>
      </c>
      <c r="N345" s="12" t="s">
        <v>19</v>
      </c>
      <c r="O345" s="12" t="s">
        <v>126</v>
      </c>
      <c r="P345" s="12" t="s">
        <v>308</v>
      </c>
      <c r="Q345" s="7" t="str">
        <f t="shared" si="16"/>
        <v>(1963,40,'1963.10.05',6,10,18,28,86,0),</v>
      </c>
      <c r="R345" s="7" t="str">
        <f t="shared" si="18"/>
        <v>(1963,40,'1963.10.05',6,10,18,28,86),</v>
      </c>
    </row>
    <row r="346" spans="1:18" x14ac:dyDescent="0.25">
      <c r="A346" s="7" t="s">
        <v>5867</v>
      </c>
      <c r="B346" s="8" t="s">
        <v>13</v>
      </c>
      <c r="C346" s="10">
        <f t="shared" si="17"/>
        <v>23296</v>
      </c>
      <c r="D346" t="s">
        <v>11</v>
      </c>
      <c r="E346" t="s">
        <v>12</v>
      </c>
      <c r="F346" t="s">
        <v>11</v>
      </c>
      <c r="G346" t="s">
        <v>12</v>
      </c>
      <c r="H346" t="s">
        <v>11</v>
      </c>
      <c r="I346" t="s">
        <v>12</v>
      </c>
      <c r="J346" t="s">
        <v>11</v>
      </c>
      <c r="K346" t="s">
        <v>12</v>
      </c>
      <c r="L346" s="12" t="s">
        <v>65</v>
      </c>
      <c r="M346" s="12" t="s">
        <v>90</v>
      </c>
      <c r="N346" s="12" t="s">
        <v>126</v>
      </c>
      <c r="O346" s="12" t="s">
        <v>105</v>
      </c>
      <c r="P346" s="12" t="s">
        <v>233</v>
      </c>
      <c r="Q346" s="7" t="str">
        <f t="shared" si="16"/>
        <v>(1963,41,'1963.10.12',13,17,28,50,66,0),</v>
      </c>
      <c r="R346" s="7" t="str">
        <f t="shared" si="18"/>
        <v>(1963,41,'1963.10.12',13,17,28,50,66),</v>
      </c>
    </row>
    <row r="347" spans="1:18" x14ac:dyDescent="0.25">
      <c r="A347" s="7" t="s">
        <v>5867</v>
      </c>
      <c r="B347" s="8" t="s">
        <v>98</v>
      </c>
      <c r="C347" s="10">
        <f t="shared" si="17"/>
        <v>23303</v>
      </c>
      <c r="D347" t="s">
        <v>11</v>
      </c>
      <c r="E347" t="s">
        <v>12</v>
      </c>
      <c r="F347" t="s">
        <v>11</v>
      </c>
      <c r="G347" t="s">
        <v>12</v>
      </c>
      <c r="H347" t="s">
        <v>11</v>
      </c>
      <c r="I347" t="s">
        <v>12</v>
      </c>
      <c r="J347" t="s">
        <v>11</v>
      </c>
      <c r="K347" t="s">
        <v>12</v>
      </c>
      <c r="L347" s="12" t="s">
        <v>198</v>
      </c>
      <c r="M347" s="12" t="s">
        <v>122</v>
      </c>
      <c r="N347" s="12" t="s">
        <v>82</v>
      </c>
      <c r="O347" s="12" t="s">
        <v>239</v>
      </c>
      <c r="P347" s="12" t="s">
        <v>106</v>
      </c>
      <c r="Q347" s="7" t="str">
        <f t="shared" si="16"/>
        <v>(1963,42,'1963.10.19',9,51,59,73,75,0),</v>
      </c>
      <c r="R347" s="7" t="str">
        <f t="shared" si="18"/>
        <v>(1963,42,'1963.10.19',9,51,59,73,75),</v>
      </c>
    </row>
    <row r="348" spans="1:18" x14ac:dyDescent="0.25">
      <c r="A348" s="7" t="s">
        <v>5867</v>
      </c>
      <c r="B348" s="8" t="s">
        <v>45</v>
      </c>
      <c r="C348" s="10">
        <f t="shared" si="17"/>
        <v>23310</v>
      </c>
      <c r="D348" t="s">
        <v>11</v>
      </c>
      <c r="E348" t="s">
        <v>12</v>
      </c>
      <c r="F348" t="s">
        <v>11</v>
      </c>
      <c r="G348" t="s">
        <v>12</v>
      </c>
      <c r="H348" t="s">
        <v>11</v>
      </c>
      <c r="I348" t="s">
        <v>12</v>
      </c>
      <c r="J348" t="s">
        <v>11</v>
      </c>
      <c r="K348" t="s">
        <v>12</v>
      </c>
      <c r="L348" s="12" t="s">
        <v>71</v>
      </c>
      <c r="M348" s="12" t="s">
        <v>10</v>
      </c>
      <c r="N348" s="12" t="s">
        <v>13</v>
      </c>
      <c r="O348" s="12" t="s">
        <v>175</v>
      </c>
      <c r="P348" s="12" t="s">
        <v>92</v>
      </c>
      <c r="Q348" s="7" t="str">
        <f t="shared" si="16"/>
        <v>(1963,43,'1963.10.26',31,40,41,55,68,0),</v>
      </c>
      <c r="R348" s="7" t="str">
        <f t="shared" si="18"/>
        <v>(1963,43,'1963.10.26',31,40,41,55,68),</v>
      </c>
    </row>
    <row r="349" spans="1:18" x14ac:dyDescent="0.25">
      <c r="A349" s="7" t="s">
        <v>5867</v>
      </c>
      <c r="B349" s="8" t="s">
        <v>142</v>
      </c>
      <c r="C349" s="10">
        <f t="shared" si="17"/>
        <v>23317</v>
      </c>
      <c r="D349" t="s">
        <v>11</v>
      </c>
      <c r="E349" t="s">
        <v>12</v>
      </c>
      <c r="F349" t="s">
        <v>11</v>
      </c>
      <c r="G349" t="s">
        <v>12</v>
      </c>
      <c r="H349" t="s">
        <v>11</v>
      </c>
      <c r="I349" t="s">
        <v>12</v>
      </c>
      <c r="J349" t="s">
        <v>11</v>
      </c>
      <c r="K349" t="s">
        <v>12</v>
      </c>
      <c r="L349" s="12" t="s">
        <v>19</v>
      </c>
      <c r="M349" s="12" t="s">
        <v>55</v>
      </c>
      <c r="N349" s="12" t="s">
        <v>45</v>
      </c>
      <c r="O349" s="12" t="s">
        <v>123</v>
      </c>
      <c r="P349" s="12" t="s">
        <v>468</v>
      </c>
      <c r="Q349" s="7" t="str">
        <f t="shared" si="16"/>
        <v>(1963,44,'1963.11.02',18,19,43,54,85,0),</v>
      </c>
      <c r="R349" s="7" t="str">
        <f t="shared" si="18"/>
        <v>(1963,44,'1963.11.02',18,19,43,54,85),</v>
      </c>
    </row>
    <row r="350" spans="1:18" x14ac:dyDescent="0.25">
      <c r="A350" s="7" t="s">
        <v>5867</v>
      </c>
      <c r="B350" s="8" t="s">
        <v>133</v>
      </c>
      <c r="C350" s="10">
        <f t="shared" si="17"/>
        <v>23324</v>
      </c>
      <c r="D350" t="s">
        <v>11</v>
      </c>
      <c r="E350" t="s">
        <v>12</v>
      </c>
      <c r="F350" t="s">
        <v>11</v>
      </c>
      <c r="G350" t="s">
        <v>12</v>
      </c>
      <c r="H350" t="s">
        <v>11</v>
      </c>
      <c r="I350" t="s">
        <v>12</v>
      </c>
      <c r="J350" t="s">
        <v>11</v>
      </c>
      <c r="K350" t="s">
        <v>12</v>
      </c>
      <c r="L350" s="12" t="s">
        <v>21</v>
      </c>
      <c r="M350" s="12" t="s">
        <v>175</v>
      </c>
      <c r="N350" s="12" t="s">
        <v>239</v>
      </c>
      <c r="O350" s="12" t="s">
        <v>245</v>
      </c>
      <c r="P350" s="12" t="s">
        <v>215</v>
      </c>
      <c r="Q350" s="7" t="str">
        <f t="shared" si="16"/>
        <v>(1963,45,'1963.11.09',36,55,73,74,81,0),</v>
      </c>
      <c r="R350" s="7" t="str">
        <f t="shared" si="18"/>
        <v>(1963,45,'1963.11.09',36,55,73,74,81),</v>
      </c>
    </row>
    <row r="351" spans="1:18" x14ac:dyDescent="0.25">
      <c r="A351" s="7" t="s">
        <v>5867</v>
      </c>
      <c r="B351" s="8" t="s">
        <v>192</v>
      </c>
      <c r="C351" s="10">
        <f t="shared" si="17"/>
        <v>23331</v>
      </c>
      <c r="D351" t="s">
        <v>11</v>
      </c>
      <c r="E351" t="s">
        <v>12</v>
      </c>
      <c r="F351" t="s">
        <v>11</v>
      </c>
      <c r="G351" t="s">
        <v>12</v>
      </c>
      <c r="H351" t="s">
        <v>11</v>
      </c>
      <c r="I351" t="s">
        <v>12</v>
      </c>
      <c r="J351" t="s">
        <v>11</v>
      </c>
      <c r="K351" t="s">
        <v>12</v>
      </c>
      <c r="L351" s="12" t="s">
        <v>42</v>
      </c>
      <c r="M351" s="12" t="s">
        <v>71</v>
      </c>
      <c r="N351" s="12" t="s">
        <v>99</v>
      </c>
      <c r="O351" s="12" t="s">
        <v>123</v>
      </c>
      <c r="P351" s="12" t="s">
        <v>248</v>
      </c>
      <c r="Q351" s="7" t="str">
        <f t="shared" si="16"/>
        <v>(1963,46,'1963.11.16',3,31,52,54,63,0),</v>
      </c>
      <c r="R351" s="7" t="str">
        <f t="shared" si="18"/>
        <v>(1963,46,'1963.11.16',3,31,52,54,63),</v>
      </c>
    </row>
    <row r="352" spans="1:18" x14ac:dyDescent="0.25">
      <c r="A352" s="7" t="s">
        <v>5867</v>
      </c>
      <c r="B352" s="8" t="s">
        <v>81</v>
      </c>
      <c r="C352" s="10">
        <f t="shared" si="17"/>
        <v>23338</v>
      </c>
      <c r="D352" t="s">
        <v>11</v>
      </c>
      <c r="E352" t="s">
        <v>12</v>
      </c>
      <c r="F352" t="s">
        <v>11</v>
      </c>
      <c r="G352" t="s">
        <v>12</v>
      </c>
      <c r="H352" t="s">
        <v>11</v>
      </c>
      <c r="I352" t="s">
        <v>12</v>
      </c>
      <c r="J352" t="s">
        <v>11</v>
      </c>
      <c r="K352" t="s">
        <v>12</v>
      </c>
      <c r="L352" s="12" t="s">
        <v>90</v>
      </c>
      <c r="M352" s="12" t="s">
        <v>107</v>
      </c>
      <c r="N352" s="12" t="s">
        <v>23</v>
      </c>
      <c r="O352" s="12" t="s">
        <v>200</v>
      </c>
      <c r="P352" s="12" t="s">
        <v>622</v>
      </c>
      <c r="Q352" s="7" t="str">
        <f t="shared" si="16"/>
        <v>(1963,47,'1963.11.23',17,30,60,70,82,0),</v>
      </c>
      <c r="R352" s="7" t="str">
        <f t="shared" si="18"/>
        <v>(1963,47,'1963.11.23',17,30,60,70,82),</v>
      </c>
    </row>
    <row r="353" spans="1:18" x14ac:dyDescent="0.25">
      <c r="A353" s="7" t="s">
        <v>5867</v>
      </c>
      <c r="B353" s="8" t="s">
        <v>22</v>
      </c>
      <c r="C353" s="10">
        <f t="shared" si="17"/>
        <v>23345</v>
      </c>
      <c r="D353" t="s">
        <v>11</v>
      </c>
      <c r="E353" t="s">
        <v>12</v>
      </c>
      <c r="F353" t="s">
        <v>11</v>
      </c>
      <c r="G353" t="s">
        <v>12</v>
      </c>
      <c r="H353" t="s">
        <v>11</v>
      </c>
      <c r="I353" t="s">
        <v>12</v>
      </c>
      <c r="J353" t="s">
        <v>11</v>
      </c>
      <c r="K353" t="s">
        <v>12</v>
      </c>
      <c r="L353" s="12" t="s">
        <v>163</v>
      </c>
      <c r="M353" s="12" t="s">
        <v>33</v>
      </c>
      <c r="N353" s="12" t="s">
        <v>46</v>
      </c>
      <c r="O353" s="12" t="s">
        <v>105</v>
      </c>
      <c r="P353" s="12" t="s">
        <v>99</v>
      </c>
      <c r="Q353" s="7" t="str">
        <f t="shared" si="16"/>
        <v>(1963,48,'1963.11.30',23,24,37,50,52,0),</v>
      </c>
      <c r="R353" s="7" t="str">
        <f t="shared" si="18"/>
        <v>(1963,48,'1963.11.30',23,24,37,50,52),</v>
      </c>
    </row>
    <row r="354" spans="1:18" x14ac:dyDescent="0.25">
      <c r="A354" s="7" t="s">
        <v>5867</v>
      </c>
      <c r="B354" s="8" t="s">
        <v>34</v>
      </c>
      <c r="C354" s="10">
        <f t="shared" si="17"/>
        <v>23352</v>
      </c>
      <c r="D354" t="s">
        <v>11</v>
      </c>
      <c r="E354" t="s">
        <v>12</v>
      </c>
      <c r="F354" t="s">
        <v>11</v>
      </c>
      <c r="G354" t="s">
        <v>12</v>
      </c>
      <c r="H354" t="s">
        <v>11</v>
      </c>
      <c r="I354" t="s">
        <v>12</v>
      </c>
      <c r="J354" t="s">
        <v>11</v>
      </c>
      <c r="K354" t="s">
        <v>12</v>
      </c>
      <c r="L354" s="12" t="s">
        <v>115</v>
      </c>
      <c r="M354" s="12" t="s">
        <v>152</v>
      </c>
      <c r="N354" s="12" t="s">
        <v>134</v>
      </c>
      <c r="O354" s="12" t="s">
        <v>239</v>
      </c>
      <c r="P354" s="12" t="s">
        <v>245</v>
      </c>
      <c r="Q354" s="7" t="str">
        <f t="shared" si="16"/>
        <v>(1963,49,'1963.12.07',20,25,56,73,74,0),</v>
      </c>
      <c r="R354" s="7" t="str">
        <f t="shared" si="18"/>
        <v>(1963,49,'1963.12.07',20,25,56,73,74),</v>
      </c>
    </row>
    <row r="355" spans="1:18" x14ac:dyDescent="0.25">
      <c r="A355" s="7" t="s">
        <v>5867</v>
      </c>
      <c r="B355" s="8" t="s">
        <v>105</v>
      </c>
      <c r="C355" s="10">
        <f t="shared" si="17"/>
        <v>23359</v>
      </c>
      <c r="D355" t="s">
        <v>11</v>
      </c>
      <c r="E355" t="s">
        <v>12</v>
      </c>
      <c r="F355" t="s">
        <v>11</v>
      </c>
      <c r="G355" t="s">
        <v>12</v>
      </c>
      <c r="H355" t="s">
        <v>11</v>
      </c>
      <c r="I355" t="s">
        <v>12</v>
      </c>
      <c r="J355" t="s">
        <v>11</v>
      </c>
      <c r="K355" t="s">
        <v>12</v>
      </c>
      <c r="L355" s="12" t="s">
        <v>31</v>
      </c>
      <c r="M355" s="12" t="s">
        <v>126</v>
      </c>
      <c r="N355" s="12" t="s">
        <v>215</v>
      </c>
      <c r="O355" s="12" t="s">
        <v>622</v>
      </c>
      <c r="P355" s="12" t="s">
        <v>468</v>
      </c>
      <c r="Q355" s="7" t="str">
        <f t="shared" si="16"/>
        <v>(1963,50,'1963.12.14',12,28,81,82,85,0),</v>
      </c>
      <c r="R355" s="7" t="str">
        <f t="shared" si="18"/>
        <v>(1963,50,'1963.12.14',12,28,81,82,85),</v>
      </c>
    </row>
    <row r="356" spans="1:18" x14ac:dyDescent="0.25">
      <c r="A356" s="7" t="s">
        <v>5867</v>
      </c>
      <c r="B356" s="8" t="s">
        <v>122</v>
      </c>
      <c r="C356" s="10">
        <f t="shared" si="17"/>
        <v>23366</v>
      </c>
      <c r="D356" t="s">
        <v>11</v>
      </c>
      <c r="E356" t="s">
        <v>12</v>
      </c>
      <c r="F356" t="s">
        <v>11</v>
      </c>
      <c r="G356" t="s">
        <v>12</v>
      </c>
      <c r="H356" t="s">
        <v>11</v>
      </c>
      <c r="I356" t="s">
        <v>12</v>
      </c>
      <c r="J356" t="s">
        <v>11</v>
      </c>
      <c r="K356" t="s">
        <v>12</v>
      </c>
      <c r="L356" s="12" t="s">
        <v>270</v>
      </c>
      <c r="M356" s="12" t="s">
        <v>19</v>
      </c>
      <c r="N356" s="12" t="s">
        <v>71</v>
      </c>
      <c r="O356" s="12" t="s">
        <v>23</v>
      </c>
      <c r="P356" s="12" t="s">
        <v>124</v>
      </c>
      <c r="Q356" s="7" t="str">
        <f t="shared" si="16"/>
        <v>(1963,51,'1963.12.21',6,18,31,60,62,0),</v>
      </c>
      <c r="R356" s="7" t="str">
        <f t="shared" si="18"/>
        <v>(1963,51,'1963.12.21',6,18,31,60,62),</v>
      </c>
    </row>
    <row r="357" spans="1:18" x14ac:dyDescent="0.25">
      <c r="A357" s="7" t="s">
        <v>5867</v>
      </c>
      <c r="B357" s="8" t="s">
        <v>99</v>
      </c>
      <c r="C357" s="10">
        <f t="shared" si="17"/>
        <v>23373</v>
      </c>
      <c r="D357" t="s">
        <v>11</v>
      </c>
      <c r="E357" t="s">
        <v>12</v>
      </c>
      <c r="F357" t="s">
        <v>11</v>
      </c>
      <c r="G357" t="s">
        <v>12</v>
      </c>
      <c r="H357" t="s">
        <v>11</v>
      </c>
      <c r="I357" t="s">
        <v>12</v>
      </c>
      <c r="J357" t="s">
        <v>11</v>
      </c>
      <c r="K357" t="s">
        <v>12</v>
      </c>
      <c r="L357" s="12" t="s">
        <v>126</v>
      </c>
      <c r="M357" s="12" t="s">
        <v>36</v>
      </c>
      <c r="N357" s="12" t="s">
        <v>133</v>
      </c>
      <c r="O357" s="12" t="s">
        <v>92</v>
      </c>
      <c r="P357" s="12" t="s">
        <v>125</v>
      </c>
      <c r="Q357" s="7" t="str">
        <f t="shared" si="16"/>
        <v>(1963,52,'1963.12.28',28,38,45,68,83,0),</v>
      </c>
      <c r="R357" s="7" t="str">
        <f t="shared" si="18"/>
        <v>(1963,52,'1963.12.28',28,38,45,68,83),</v>
      </c>
    </row>
    <row r="358" spans="1:18" x14ac:dyDescent="0.25">
      <c r="A358" s="7" t="s">
        <v>1972</v>
      </c>
      <c r="B358" s="8" t="s">
        <v>108</v>
      </c>
      <c r="C358" s="10">
        <f t="shared" si="17"/>
        <v>23380</v>
      </c>
      <c r="D358" t="s">
        <v>11</v>
      </c>
      <c r="E358" t="s">
        <v>12</v>
      </c>
      <c r="F358" t="s">
        <v>11</v>
      </c>
      <c r="G358" t="s">
        <v>12</v>
      </c>
      <c r="H358" t="s">
        <v>11</v>
      </c>
      <c r="I358" t="s">
        <v>12</v>
      </c>
      <c r="J358" t="s">
        <v>11</v>
      </c>
      <c r="K358" t="s">
        <v>12</v>
      </c>
      <c r="L358" s="12" t="s">
        <v>32</v>
      </c>
      <c r="M358" s="12" t="s">
        <v>163</v>
      </c>
      <c r="N358" s="12" t="s">
        <v>80</v>
      </c>
      <c r="O358" s="12" t="s">
        <v>98</v>
      </c>
      <c r="P358" s="12" t="s">
        <v>73</v>
      </c>
      <c r="Q358" s="7" t="str">
        <f t="shared" si="16"/>
        <v>(1964,1,'1964.01.04',22,23,32,42,76,0),</v>
      </c>
      <c r="R358" s="7" t="str">
        <f t="shared" si="18"/>
        <v>(1964,1,'1964.01.04',22,23,32,42,76),</v>
      </c>
    </row>
    <row r="359" spans="1:18" x14ac:dyDescent="0.25">
      <c r="A359" s="7" t="s">
        <v>1972</v>
      </c>
      <c r="B359" s="8" t="s">
        <v>207</v>
      </c>
      <c r="C359" s="10">
        <f t="shared" si="17"/>
        <v>23387</v>
      </c>
      <c r="D359" t="s">
        <v>11</v>
      </c>
      <c r="E359" t="s">
        <v>12</v>
      </c>
      <c r="F359" t="s">
        <v>11</v>
      </c>
      <c r="G359" t="s">
        <v>12</v>
      </c>
      <c r="H359" t="s">
        <v>11</v>
      </c>
      <c r="I359" t="s">
        <v>12</v>
      </c>
      <c r="J359" t="s">
        <v>11</v>
      </c>
      <c r="K359" t="s">
        <v>12</v>
      </c>
      <c r="L359" s="12" t="s">
        <v>108</v>
      </c>
      <c r="M359" s="12" t="s">
        <v>62</v>
      </c>
      <c r="N359" s="12" t="s">
        <v>31</v>
      </c>
      <c r="O359" s="12" t="s">
        <v>71</v>
      </c>
      <c r="P359" s="12" t="s">
        <v>200</v>
      </c>
      <c r="Q359" s="7" t="str">
        <f t="shared" si="16"/>
        <v>(1964,2,'1964.01.11',1,10,12,31,70,0),</v>
      </c>
      <c r="R359" s="7" t="str">
        <f t="shared" si="18"/>
        <v>(1964,2,'1964.01.11',1,10,12,31,70),</v>
      </c>
    </row>
    <row r="360" spans="1:18" x14ac:dyDescent="0.25">
      <c r="A360" s="7" t="s">
        <v>1972</v>
      </c>
      <c r="B360" s="8" t="s">
        <v>42</v>
      </c>
      <c r="C360" s="10">
        <f t="shared" si="17"/>
        <v>23394</v>
      </c>
      <c r="D360" t="s">
        <v>11</v>
      </c>
      <c r="E360" t="s">
        <v>12</v>
      </c>
      <c r="F360" t="s">
        <v>11</v>
      </c>
      <c r="G360" t="s">
        <v>12</v>
      </c>
      <c r="H360" t="s">
        <v>11</v>
      </c>
      <c r="I360" t="s">
        <v>12</v>
      </c>
      <c r="J360" t="s">
        <v>11</v>
      </c>
      <c r="K360" t="s">
        <v>12</v>
      </c>
      <c r="L360" s="12" t="s">
        <v>116</v>
      </c>
      <c r="M360" s="12" t="s">
        <v>45</v>
      </c>
      <c r="N360" s="12" t="s">
        <v>248</v>
      </c>
      <c r="O360" s="12" t="s">
        <v>92</v>
      </c>
      <c r="P360" s="12" t="s">
        <v>215</v>
      </c>
      <c r="Q360" s="7" t="str">
        <f t="shared" si="16"/>
        <v>(1964,3,'1964.01.18',29,43,63,68,81,0),</v>
      </c>
      <c r="R360" s="7" t="str">
        <f t="shared" si="18"/>
        <v>(1964,3,'1964.01.18',29,43,63,68,81),</v>
      </c>
    </row>
    <row r="361" spans="1:18" x14ac:dyDescent="0.25">
      <c r="A361" s="7" t="s">
        <v>1972</v>
      </c>
      <c r="B361" s="8" t="s">
        <v>168</v>
      </c>
      <c r="C361" s="10">
        <f t="shared" si="17"/>
        <v>23401</v>
      </c>
      <c r="D361" t="s">
        <v>11</v>
      </c>
      <c r="E361" t="s">
        <v>12</v>
      </c>
      <c r="F361" t="s">
        <v>11</v>
      </c>
      <c r="G361" t="s">
        <v>12</v>
      </c>
      <c r="H361" t="s">
        <v>11</v>
      </c>
      <c r="I361" t="s">
        <v>12</v>
      </c>
      <c r="J361" t="s">
        <v>11</v>
      </c>
      <c r="K361" t="s">
        <v>12</v>
      </c>
      <c r="L361" s="12" t="s">
        <v>71</v>
      </c>
      <c r="M361" s="12" t="s">
        <v>25</v>
      </c>
      <c r="N361" s="12" t="s">
        <v>134</v>
      </c>
      <c r="O361" s="12" t="s">
        <v>47</v>
      </c>
      <c r="P361" s="12" t="s">
        <v>246</v>
      </c>
      <c r="Q361" s="7" t="str">
        <f t="shared" si="16"/>
        <v>(1964,4,'1964.01.25',31,34,56,69,84,0),</v>
      </c>
      <c r="R361" s="7" t="str">
        <f t="shared" si="18"/>
        <v>(1964,4,'1964.01.25',31,34,56,69,84),</v>
      </c>
    </row>
    <row r="362" spans="1:18" x14ac:dyDescent="0.25">
      <c r="A362" s="7" t="s">
        <v>1972</v>
      </c>
      <c r="B362" s="8" t="s">
        <v>89</v>
      </c>
      <c r="C362" s="10">
        <f t="shared" si="17"/>
        <v>23408</v>
      </c>
      <c r="D362" t="s">
        <v>11</v>
      </c>
      <c r="E362" t="s">
        <v>12</v>
      </c>
      <c r="F362" t="s">
        <v>11</v>
      </c>
      <c r="G362" t="s">
        <v>12</v>
      </c>
      <c r="H362" t="s">
        <v>11</v>
      </c>
      <c r="I362" t="s">
        <v>12</v>
      </c>
      <c r="J362" t="s">
        <v>11</v>
      </c>
      <c r="K362" t="s">
        <v>12</v>
      </c>
      <c r="L362" s="12" t="s">
        <v>152</v>
      </c>
      <c r="M362" s="12" t="s">
        <v>64</v>
      </c>
      <c r="N362" s="12" t="s">
        <v>36</v>
      </c>
      <c r="O362" s="12" t="s">
        <v>34</v>
      </c>
      <c r="P362" s="12" t="s">
        <v>239</v>
      </c>
      <c r="Q362" s="7" t="str">
        <f t="shared" si="16"/>
        <v>(1964,5,'1964.02.01',25,35,38,49,73,0),</v>
      </c>
      <c r="R362" s="7" t="str">
        <f t="shared" si="18"/>
        <v>(1964,5,'1964.02.01',25,35,38,49,73),</v>
      </c>
    </row>
    <row r="363" spans="1:18" x14ac:dyDescent="0.25">
      <c r="A363" s="7" t="s">
        <v>1972</v>
      </c>
      <c r="B363" s="8" t="s">
        <v>270</v>
      </c>
      <c r="C363" s="10">
        <f t="shared" si="17"/>
        <v>23415</v>
      </c>
      <c r="D363" t="s">
        <v>11</v>
      </c>
      <c r="E363" t="s">
        <v>12</v>
      </c>
      <c r="F363" t="s">
        <v>11</v>
      </c>
      <c r="G363" t="s">
        <v>12</v>
      </c>
      <c r="H363" t="s">
        <v>11</v>
      </c>
      <c r="I363" t="s">
        <v>12</v>
      </c>
      <c r="J363" t="s">
        <v>11</v>
      </c>
      <c r="K363" t="s">
        <v>12</v>
      </c>
      <c r="L363" s="12" t="s">
        <v>108</v>
      </c>
      <c r="M363" s="12" t="s">
        <v>207</v>
      </c>
      <c r="N363" s="12" t="s">
        <v>198</v>
      </c>
      <c r="O363" s="12" t="s">
        <v>81</v>
      </c>
      <c r="P363" s="12" t="s">
        <v>23</v>
      </c>
      <c r="Q363" s="7" t="str">
        <f t="shared" si="16"/>
        <v>(1964,6,'1964.02.08',1,2,9,47,60,0),</v>
      </c>
      <c r="R363" s="7" t="str">
        <f t="shared" si="18"/>
        <v>(1964,6,'1964.02.08',1,2,9,47,60),</v>
      </c>
    </row>
    <row r="364" spans="1:18" x14ac:dyDescent="0.25">
      <c r="A364" s="7" t="s">
        <v>1972</v>
      </c>
      <c r="B364" s="8" t="s">
        <v>53</v>
      </c>
      <c r="C364" s="10">
        <f t="shared" si="17"/>
        <v>23422</v>
      </c>
      <c r="D364" t="s">
        <v>11</v>
      </c>
      <c r="E364" t="s">
        <v>12</v>
      </c>
      <c r="F364" t="s">
        <v>11</v>
      </c>
      <c r="G364" t="s">
        <v>12</v>
      </c>
      <c r="H364" t="s">
        <v>11</v>
      </c>
      <c r="I364" t="s">
        <v>12</v>
      </c>
      <c r="J364" t="s">
        <v>11</v>
      </c>
      <c r="K364" t="s">
        <v>12</v>
      </c>
      <c r="L364" s="12" t="s">
        <v>207</v>
      </c>
      <c r="M364" s="12" t="s">
        <v>62</v>
      </c>
      <c r="N364" s="12" t="s">
        <v>34</v>
      </c>
      <c r="O364" s="12" t="s">
        <v>233</v>
      </c>
      <c r="P364" s="12" t="s">
        <v>246</v>
      </c>
      <c r="Q364" s="7" t="str">
        <f t="shared" si="16"/>
        <v>(1964,7,'1964.02.15',2,10,49,66,84,0),</v>
      </c>
      <c r="R364" s="7" t="str">
        <f t="shared" si="18"/>
        <v>(1964,7,'1964.02.15',2,10,49,66,84),</v>
      </c>
    </row>
    <row r="365" spans="1:18" x14ac:dyDescent="0.25">
      <c r="A365" s="7" t="s">
        <v>1972</v>
      </c>
      <c r="B365" s="8" t="s">
        <v>232</v>
      </c>
      <c r="C365" s="10">
        <f t="shared" si="17"/>
        <v>23429</v>
      </c>
      <c r="D365" t="s">
        <v>11</v>
      </c>
      <c r="E365" t="s">
        <v>12</v>
      </c>
      <c r="F365" t="s">
        <v>11</v>
      </c>
      <c r="G365" t="s">
        <v>12</v>
      </c>
      <c r="H365" t="s">
        <v>11</v>
      </c>
      <c r="I365" t="s">
        <v>12</v>
      </c>
      <c r="J365" t="s">
        <v>11</v>
      </c>
      <c r="K365" t="s">
        <v>12</v>
      </c>
      <c r="L365" s="12" t="s">
        <v>270</v>
      </c>
      <c r="M365" s="12" t="s">
        <v>20</v>
      </c>
      <c r="N365" s="12" t="s">
        <v>45</v>
      </c>
      <c r="O365" s="12" t="s">
        <v>105</v>
      </c>
      <c r="P365" s="12" t="s">
        <v>122</v>
      </c>
      <c r="Q365" s="7" t="str">
        <f t="shared" si="16"/>
        <v>(1964,8,'1964.02.22',6,33,43,50,51,0),</v>
      </c>
      <c r="R365" s="7" t="str">
        <f t="shared" si="18"/>
        <v>(1964,8,'1964.02.22',6,33,43,50,51),</v>
      </c>
    </row>
    <row r="366" spans="1:18" x14ac:dyDescent="0.25">
      <c r="A366" s="7" t="s">
        <v>1972</v>
      </c>
      <c r="B366" s="8" t="s">
        <v>198</v>
      </c>
      <c r="C366" s="10">
        <f t="shared" si="17"/>
        <v>23436</v>
      </c>
      <c r="D366" t="s">
        <v>11</v>
      </c>
      <c r="E366" t="s">
        <v>12</v>
      </c>
      <c r="F366" t="s">
        <v>11</v>
      </c>
      <c r="G366" t="s">
        <v>12</v>
      </c>
      <c r="H366" t="s">
        <v>11</v>
      </c>
      <c r="I366" t="s">
        <v>12</v>
      </c>
      <c r="J366" t="s">
        <v>11</v>
      </c>
      <c r="K366" t="s">
        <v>12</v>
      </c>
      <c r="L366" s="12" t="s">
        <v>108</v>
      </c>
      <c r="M366" s="12" t="s">
        <v>32</v>
      </c>
      <c r="N366" s="12" t="s">
        <v>82</v>
      </c>
      <c r="O366" s="12" t="s">
        <v>72</v>
      </c>
      <c r="P366" s="12" t="s">
        <v>201</v>
      </c>
      <c r="Q366" s="7" t="str">
        <f t="shared" si="16"/>
        <v>(1964,9,'1964.02.29',1,22,59,67,72,0),</v>
      </c>
      <c r="R366" s="7" t="str">
        <f t="shared" si="18"/>
        <v>(1964,9,'1964.02.29',1,22,59,67,72),</v>
      </c>
    </row>
    <row r="367" spans="1:18" x14ac:dyDescent="0.25">
      <c r="A367" s="7" t="s">
        <v>1972</v>
      </c>
      <c r="B367" s="8" t="s">
        <v>62</v>
      </c>
      <c r="C367" s="10">
        <f t="shared" si="17"/>
        <v>23443</v>
      </c>
      <c r="D367" t="s">
        <v>11</v>
      </c>
      <c r="E367" t="s">
        <v>12</v>
      </c>
      <c r="F367" t="s">
        <v>11</v>
      </c>
      <c r="G367" t="s">
        <v>12</v>
      </c>
      <c r="H367" t="s">
        <v>11</v>
      </c>
      <c r="I367" t="s">
        <v>12</v>
      </c>
      <c r="J367" t="s">
        <v>11</v>
      </c>
      <c r="K367" t="s">
        <v>12</v>
      </c>
      <c r="L367" s="12" t="s">
        <v>270</v>
      </c>
      <c r="M367" s="12" t="s">
        <v>71</v>
      </c>
      <c r="N367" s="12" t="s">
        <v>233</v>
      </c>
      <c r="O367" s="12" t="s">
        <v>151</v>
      </c>
      <c r="P367" s="12" t="s">
        <v>269</v>
      </c>
      <c r="Q367" s="7" t="str">
        <f t="shared" si="16"/>
        <v>(1964,10,'1964.03.07',6,31,66,79,87,0),</v>
      </c>
      <c r="R367" s="7" t="str">
        <f t="shared" si="18"/>
        <v>(1964,10,'1964.03.07',6,31,66,79,87),</v>
      </c>
    </row>
    <row r="368" spans="1:18" x14ac:dyDescent="0.25">
      <c r="A368" s="7" t="s">
        <v>1972</v>
      </c>
      <c r="B368" s="8" t="s">
        <v>83</v>
      </c>
      <c r="C368" s="10">
        <f t="shared" si="17"/>
        <v>23450</v>
      </c>
      <c r="D368" t="s">
        <v>11</v>
      </c>
      <c r="E368" t="s">
        <v>12</v>
      </c>
      <c r="F368" t="s">
        <v>11</v>
      </c>
      <c r="G368" t="s">
        <v>12</v>
      </c>
      <c r="H368" t="s">
        <v>11</v>
      </c>
      <c r="I368" t="s">
        <v>12</v>
      </c>
      <c r="J368" t="s">
        <v>11</v>
      </c>
      <c r="K368" t="s">
        <v>12</v>
      </c>
      <c r="L368" s="12" t="s">
        <v>32</v>
      </c>
      <c r="M368" s="12" t="s">
        <v>25</v>
      </c>
      <c r="N368" s="12" t="s">
        <v>81</v>
      </c>
      <c r="O368" s="12" t="s">
        <v>143</v>
      </c>
      <c r="P368" s="12" t="s">
        <v>301</v>
      </c>
      <c r="Q368" s="7" t="str">
        <f t="shared" si="16"/>
        <v>(1964,11,'1964.03.14',22,34,47,77,80,0),</v>
      </c>
      <c r="R368" s="7" t="str">
        <f t="shared" si="18"/>
        <v>(1964,11,'1964.03.14',22,34,47,77,80),</v>
      </c>
    </row>
    <row r="369" spans="1:18" x14ac:dyDescent="0.25">
      <c r="A369" s="7" t="s">
        <v>1972</v>
      </c>
      <c r="B369" s="8" t="s">
        <v>31</v>
      </c>
      <c r="C369" s="10">
        <f t="shared" si="17"/>
        <v>23457</v>
      </c>
      <c r="D369" t="s">
        <v>11</v>
      </c>
      <c r="E369" t="s">
        <v>12</v>
      </c>
      <c r="F369" t="s">
        <v>11</v>
      </c>
      <c r="G369" t="s">
        <v>12</v>
      </c>
      <c r="H369" t="s">
        <v>11</v>
      </c>
      <c r="I369" t="s">
        <v>12</v>
      </c>
      <c r="J369" t="s">
        <v>11</v>
      </c>
      <c r="K369" t="s">
        <v>12</v>
      </c>
      <c r="L369" s="12" t="s">
        <v>62</v>
      </c>
      <c r="M369" s="12" t="s">
        <v>127</v>
      </c>
      <c r="N369" s="12" t="s">
        <v>10</v>
      </c>
      <c r="O369" s="12" t="s">
        <v>192</v>
      </c>
      <c r="P369" s="12" t="s">
        <v>308</v>
      </c>
      <c r="Q369" s="7" t="str">
        <f t="shared" si="16"/>
        <v>(1964,12,'1964.03.21',10,14,40,46,86,0),</v>
      </c>
      <c r="R369" s="7" t="str">
        <f t="shared" si="18"/>
        <v>(1964,12,'1964.03.21',10,14,40,46,86),</v>
      </c>
    </row>
    <row r="370" spans="1:18" x14ac:dyDescent="0.25">
      <c r="A370" s="7" t="s">
        <v>1972</v>
      </c>
      <c r="B370" s="8" t="s">
        <v>65</v>
      </c>
      <c r="C370" s="10">
        <f t="shared" si="17"/>
        <v>23464</v>
      </c>
      <c r="D370" t="s">
        <v>11</v>
      </c>
      <c r="E370" t="s">
        <v>12</v>
      </c>
      <c r="F370" t="s">
        <v>11</v>
      </c>
      <c r="G370" t="s">
        <v>12</v>
      </c>
      <c r="H370" t="s">
        <v>11</v>
      </c>
      <c r="I370" t="s">
        <v>12</v>
      </c>
      <c r="J370" t="s">
        <v>11</v>
      </c>
      <c r="K370" t="s">
        <v>12</v>
      </c>
      <c r="L370" s="12" t="s">
        <v>42</v>
      </c>
      <c r="M370" s="12" t="s">
        <v>74</v>
      </c>
      <c r="N370" s="12" t="s">
        <v>13</v>
      </c>
      <c r="O370" s="12" t="s">
        <v>72</v>
      </c>
      <c r="P370" s="12" t="s">
        <v>308</v>
      </c>
      <c r="Q370" s="7" t="str">
        <f t="shared" si="16"/>
        <v>(1964,13,'1964.03.28',3,26,41,67,86,0),</v>
      </c>
      <c r="R370" s="7" t="str">
        <f t="shared" si="18"/>
        <v>(1964,13,'1964.03.28',3,26,41,67,86),</v>
      </c>
    </row>
    <row r="371" spans="1:18" x14ac:dyDescent="0.25">
      <c r="A371" s="7" t="s">
        <v>1972</v>
      </c>
      <c r="B371" s="8" t="s">
        <v>127</v>
      </c>
      <c r="C371" s="10">
        <f t="shared" si="17"/>
        <v>23471</v>
      </c>
      <c r="D371" t="s">
        <v>11</v>
      </c>
      <c r="E371" t="s">
        <v>12</v>
      </c>
      <c r="F371" t="s">
        <v>11</v>
      </c>
      <c r="G371" t="s">
        <v>12</v>
      </c>
      <c r="H371" t="s">
        <v>11</v>
      </c>
      <c r="I371" t="s">
        <v>12</v>
      </c>
      <c r="J371" t="s">
        <v>11</v>
      </c>
      <c r="K371" t="s">
        <v>12</v>
      </c>
      <c r="L371" s="12" t="s">
        <v>108</v>
      </c>
      <c r="M371" s="12" t="s">
        <v>198</v>
      </c>
      <c r="N371" s="12" t="s">
        <v>115</v>
      </c>
      <c r="O371" s="12" t="s">
        <v>135</v>
      </c>
      <c r="P371" s="12" t="s">
        <v>13</v>
      </c>
      <c r="Q371" s="7" t="str">
        <f t="shared" si="16"/>
        <v>(1964,14,'1964.04.04',1,9,20,27,41,0),</v>
      </c>
      <c r="R371" s="7" t="str">
        <f t="shared" si="18"/>
        <v>(1964,14,'1964.04.04',1,9,20,27,41),</v>
      </c>
    </row>
    <row r="372" spans="1:18" x14ac:dyDescent="0.25">
      <c r="A372" s="7" t="s">
        <v>1972</v>
      </c>
      <c r="B372" s="8" t="s">
        <v>54</v>
      </c>
      <c r="C372" s="10">
        <f t="shared" si="17"/>
        <v>23478</v>
      </c>
      <c r="D372" t="s">
        <v>11</v>
      </c>
      <c r="E372" t="s">
        <v>12</v>
      </c>
      <c r="F372" t="s">
        <v>11</v>
      </c>
      <c r="G372" t="s">
        <v>12</v>
      </c>
      <c r="H372" t="s">
        <v>11</v>
      </c>
      <c r="I372" t="s">
        <v>12</v>
      </c>
      <c r="J372" t="s">
        <v>11</v>
      </c>
      <c r="K372" t="s">
        <v>12</v>
      </c>
      <c r="L372" s="12" t="s">
        <v>62</v>
      </c>
      <c r="M372" s="12" t="s">
        <v>163</v>
      </c>
      <c r="N372" s="12" t="s">
        <v>74</v>
      </c>
      <c r="O372" s="12" t="s">
        <v>133</v>
      </c>
      <c r="P372" s="12" t="s">
        <v>124</v>
      </c>
      <c r="Q372" s="7" t="str">
        <f t="shared" si="16"/>
        <v>(1964,15,'1964.04.11',10,23,26,45,62,0),</v>
      </c>
      <c r="R372" s="7" t="str">
        <f t="shared" si="18"/>
        <v>(1964,15,'1964.04.11',10,23,26,45,62),</v>
      </c>
    </row>
    <row r="373" spans="1:18" x14ac:dyDescent="0.25">
      <c r="A373" s="7" t="s">
        <v>1972</v>
      </c>
      <c r="B373" s="8" t="s">
        <v>43</v>
      </c>
      <c r="C373" s="10">
        <f t="shared" si="17"/>
        <v>23485</v>
      </c>
      <c r="D373" t="s">
        <v>11</v>
      </c>
      <c r="E373" t="s">
        <v>12</v>
      </c>
      <c r="F373" t="s">
        <v>11</v>
      </c>
      <c r="G373" t="s">
        <v>12</v>
      </c>
      <c r="H373" t="s">
        <v>11</v>
      </c>
      <c r="I373" t="s">
        <v>12</v>
      </c>
      <c r="J373" t="s">
        <v>11</v>
      </c>
      <c r="K373" t="s">
        <v>12</v>
      </c>
      <c r="L373" s="12" t="s">
        <v>65</v>
      </c>
      <c r="M373" s="12" t="s">
        <v>45</v>
      </c>
      <c r="N373" s="12" t="s">
        <v>34</v>
      </c>
      <c r="O373" s="12" t="s">
        <v>82</v>
      </c>
      <c r="P373" s="12" t="s">
        <v>91</v>
      </c>
      <c r="Q373" s="7" t="str">
        <f t="shared" si="16"/>
        <v>(1964,16,'1964.04.18',13,43,49,59,61,0),</v>
      </c>
      <c r="R373" s="7" t="str">
        <f t="shared" si="18"/>
        <v>(1964,16,'1964.04.18',13,43,49,59,61),</v>
      </c>
    </row>
    <row r="374" spans="1:18" x14ac:dyDescent="0.25">
      <c r="A374" s="7" t="s">
        <v>1972</v>
      </c>
      <c r="B374" s="8" t="s">
        <v>90</v>
      </c>
      <c r="C374" s="10">
        <f t="shared" si="17"/>
        <v>23492</v>
      </c>
      <c r="D374" t="s">
        <v>11</v>
      </c>
      <c r="E374" t="s">
        <v>12</v>
      </c>
      <c r="F374" t="s">
        <v>11</v>
      </c>
      <c r="G374" t="s">
        <v>12</v>
      </c>
      <c r="H374" t="s">
        <v>11</v>
      </c>
      <c r="I374" t="s">
        <v>12</v>
      </c>
      <c r="J374" t="s">
        <v>11</v>
      </c>
      <c r="K374" t="s">
        <v>12</v>
      </c>
      <c r="L374" s="12" t="s">
        <v>127</v>
      </c>
      <c r="M374" s="12" t="s">
        <v>33</v>
      </c>
      <c r="N374" s="12" t="s">
        <v>20</v>
      </c>
      <c r="O374" s="12" t="s">
        <v>99</v>
      </c>
      <c r="P374" s="12" t="s">
        <v>215</v>
      </c>
      <c r="Q374" s="7" t="str">
        <f t="shared" si="16"/>
        <v>(1964,17,'1964.04.25',14,24,33,52,81,0),</v>
      </c>
      <c r="R374" s="7" t="str">
        <f t="shared" si="18"/>
        <v>(1964,17,'1964.04.25',14,24,33,52,81),</v>
      </c>
    </row>
    <row r="375" spans="1:18" x14ac:dyDescent="0.25">
      <c r="A375" s="7" t="s">
        <v>1972</v>
      </c>
      <c r="B375" s="8" t="s">
        <v>19</v>
      </c>
      <c r="C375" s="10">
        <f t="shared" si="17"/>
        <v>23499</v>
      </c>
      <c r="D375" t="s">
        <v>11</v>
      </c>
      <c r="E375" t="s">
        <v>12</v>
      </c>
      <c r="F375" t="s">
        <v>11</v>
      </c>
      <c r="G375" t="s">
        <v>12</v>
      </c>
      <c r="H375" t="s">
        <v>11</v>
      </c>
      <c r="I375" t="s">
        <v>12</v>
      </c>
      <c r="J375" t="s">
        <v>11</v>
      </c>
      <c r="K375" t="s">
        <v>12</v>
      </c>
      <c r="L375" s="12" t="s">
        <v>116</v>
      </c>
      <c r="M375" s="12" t="s">
        <v>10</v>
      </c>
      <c r="N375" s="12" t="s">
        <v>99</v>
      </c>
      <c r="O375" s="12" t="s">
        <v>169</v>
      </c>
      <c r="P375" s="12" t="s">
        <v>82</v>
      </c>
      <c r="Q375" s="7" t="str">
        <f t="shared" si="16"/>
        <v>(1964,18,'1964.05.02',29,40,52,58,59,0),</v>
      </c>
      <c r="R375" s="7" t="str">
        <f t="shared" si="18"/>
        <v>(1964,18,'1964.05.02',29,40,52,58,59),</v>
      </c>
    </row>
    <row r="376" spans="1:18" x14ac:dyDescent="0.25">
      <c r="A376" s="7" t="s">
        <v>1972</v>
      </c>
      <c r="B376" s="8" t="s">
        <v>55</v>
      </c>
      <c r="C376" s="10">
        <f t="shared" si="17"/>
        <v>23506</v>
      </c>
      <c r="D376" t="s">
        <v>11</v>
      </c>
      <c r="E376" t="s">
        <v>12</v>
      </c>
      <c r="F376" t="s">
        <v>11</v>
      </c>
      <c r="G376" t="s">
        <v>12</v>
      </c>
      <c r="H376" t="s">
        <v>11</v>
      </c>
      <c r="I376" t="s">
        <v>12</v>
      </c>
      <c r="J376" t="s">
        <v>11</v>
      </c>
      <c r="K376" t="s">
        <v>12</v>
      </c>
      <c r="L376" s="12" t="s">
        <v>65</v>
      </c>
      <c r="M376" s="12" t="s">
        <v>44</v>
      </c>
      <c r="N376" s="12" t="s">
        <v>20</v>
      </c>
      <c r="O376" s="12" t="s">
        <v>34</v>
      </c>
      <c r="P376" s="12" t="s">
        <v>186</v>
      </c>
      <c r="Q376" s="7" t="str">
        <f t="shared" si="16"/>
        <v>(1964,19,'1964.05.09',13,21,33,49,90,0),</v>
      </c>
      <c r="R376" s="7" t="str">
        <f t="shared" si="18"/>
        <v>(1964,19,'1964.05.09',13,21,33,49,90),</v>
      </c>
    </row>
    <row r="377" spans="1:18" x14ac:dyDescent="0.25">
      <c r="A377" s="7" t="s">
        <v>1972</v>
      </c>
      <c r="B377" s="8" t="s">
        <v>115</v>
      </c>
      <c r="C377" s="10">
        <f t="shared" si="17"/>
        <v>23513</v>
      </c>
      <c r="D377" t="s">
        <v>11</v>
      </c>
      <c r="E377" t="s">
        <v>12</v>
      </c>
      <c r="F377" t="s">
        <v>11</v>
      </c>
      <c r="G377" t="s">
        <v>12</v>
      </c>
      <c r="H377" t="s">
        <v>11</v>
      </c>
      <c r="I377" t="s">
        <v>12</v>
      </c>
      <c r="J377" t="s">
        <v>11</v>
      </c>
      <c r="K377" t="s">
        <v>12</v>
      </c>
      <c r="L377" s="12" t="s">
        <v>98</v>
      </c>
      <c r="M377" s="12" t="s">
        <v>233</v>
      </c>
      <c r="N377" s="12" t="s">
        <v>72</v>
      </c>
      <c r="O377" s="12" t="s">
        <v>201</v>
      </c>
      <c r="P377" s="12" t="s">
        <v>468</v>
      </c>
      <c r="Q377" s="7" t="str">
        <f t="shared" si="16"/>
        <v>(1964,20,'1964.05.16',42,66,67,72,85,0),</v>
      </c>
      <c r="R377" s="7" t="str">
        <f t="shared" si="18"/>
        <v>(1964,20,'1964.05.16',42,66,67,72,85),</v>
      </c>
    </row>
    <row r="378" spans="1:18" x14ac:dyDescent="0.25">
      <c r="A378" s="7" t="s">
        <v>1972</v>
      </c>
      <c r="B378" s="8" t="s">
        <v>44</v>
      </c>
      <c r="C378" s="10">
        <f t="shared" si="17"/>
        <v>23520</v>
      </c>
      <c r="D378" t="s">
        <v>11</v>
      </c>
      <c r="E378" t="s">
        <v>12</v>
      </c>
      <c r="F378" t="s">
        <v>11</v>
      </c>
      <c r="G378" t="s">
        <v>12</v>
      </c>
      <c r="H378" t="s">
        <v>11</v>
      </c>
      <c r="I378" t="s">
        <v>12</v>
      </c>
      <c r="J378" t="s">
        <v>11</v>
      </c>
      <c r="K378" t="s">
        <v>12</v>
      </c>
      <c r="L378" s="12" t="s">
        <v>10</v>
      </c>
      <c r="M378" s="12" t="s">
        <v>98</v>
      </c>
      <c r="N378" s="12" t="s">
        <v>122</v>
      </c>
      <c r="O378" s="12" t="s">
        <v>169</v>
      </c>
      <c r="P378" s="12" t="s">
        <v>106</v>
      </c>
      <c r="Q378" s="7" t="str">
        <f t="shared" si="16"/>
        <v>(1964,21,'1964.05.23',40,42,51,58,75,0),</v>
      </c>
      <c r="R378" s="7" t="str">
        <f t="shared" si="18"/>
        <v>(1964,21,'1964.05.23',40,42,51,58,75),</v>
      </c>
    </row>
    <row r="379" spans="1:18" x14ac:dyDescent="0.25">
      <c r="A379" s="7" t="s">
        <v>1972</v>
      </c>
      <c r="B379" s="8" t="s">
        <v>32</v>
      </c>
      <c r="C379" s="10">
        <f t="shared" si="17"/>
        <v>23527</v>
      </c>
      <c r="D379" t="s">
        <v>11</v>
      </c>
      <c r="E379" t="s">
        <v>12</v>
      </c>
      <c r="F379" t="s">
        <v>11</v>
      </c>
      <c r="G379" t="s">
        <v>12</v>
      </c>
      <c r="H379" t="s">
        <v>11</v>
      </c>
      <c r="I379" t="s">
        <v>12</v>
      </c>
      <c r="J379" t="s">
        <v>11</v>
      </c>
      <c r="K379" t="s">
        <v>12</v>
      </c>
      <c r="L379" s="12" t="s">
        <v>74</v>
      </c>
      <c r="M379" s="12" t="s">
        <v>34</v>
      </c>
      <c r="N379" s="12" t="s">
        <v>82</v>
      </c>
      <c r="O379" s="12" t="s">
        <v>73</v>
      </c>
      <c r="P379" s="12" t="s">
        <v>622</v>
      </c>
      <c r="Q379" s="7" t="str">
        <f t="shared" si="16"/>
        <v>(1964,22,'1964.05.30',26,49,59,76,82,0),</v>
      </c>
      <c r="R379" s="7" t="str">
        <f t="shared" si="18"/>
        <v>(1964,22,'1964.05.30',26,49,59,76,82),</v>
      </c>
    </row>
    <row r="380" spans="1:18" x14ac:dyDescent="0.25">
      <c r="A380" s="7" t="s">
        <v>1972</v>
      </c>
      <c r="B380" s="8" t="s">
        <v>163</v>
      </c>
      <c r="C380" s="10">
        <f t="shared" si="17"/>
        <v>23534</v>
      </c>
      <c r="D380" t="s">
        <v>11</v>
      </c>
      <c r="E380" t="s">
        <v>12</v>
      </c>
      <c r="F380" t="s">
        <v>11</v>
      </c>
      <c r="G380" t="s">
        <v>12</v>
      </c>
      <c r="H380" t="s">
        <v>11</v>
      </c>
      <c r="I380" t="s">
        <v>12</v>
      </c>
      <c r="J380" t="s">
        <v>11</v>
      </c>
      <c r="K380" t="s">
        <v>12</v>
      </c>
      <c r="L380" s="12" t="s">
        <v>115</v>
      </c>
      <c r="M380" s="12" t="s">
        <v>46</v>
      </c>
      <c r="N380" s="12" t="s">
        <v>214</v>
      </c>
      <c r="O380" s="12" t="s">
        <v>92</v>
      </c>
      <c r="P380" s="12" t="s">
        <v>63</v>
      </c>
      <c r="Q380" s="7" t="str">
        <f t="shared" si="16"/>
        <v>(1964,23,'1964.06.06',20,37,64,68,78,0),</v>
      </c>
      <c r="R380" s="7" t="str">
        <f t="shared" si="18"/>
        <v>(1964,23,'1964.06.06',20,37,64,68,78),</v>
      </c>
    </row>
    <row r="381" spans="1:18" x14ac:dyDescent="0.25">
      <c r="A381" s="7" t="s">
        <v>1972</v>
      </c>
      <c r="B381" s="8" t="s">
        <v>33</v>
      </c>
      <c r="C381" s="10">
        <f t="shared" si="17"/>
        <v>23541</v>
      </c>
      <c r="D381" t="s">
        <v>11</v>
      </c>
      <c r="E381" t="s">
        <v>12</v>
      </c>
      <c r="F381" t="s">
        <v>11</v>
      </c>
      <c r="G381" t="s">
        <v>12</v>
      </c>
      <c r="H381" t="s">
        <v>11</v>
      </c>
      <c r="I381" t="s">
        <v>12</v>
      </c>
      <c r="J381" t="s">
        <v>11</v>
      </c>
      <c r="K381" t="s">
        <v>12</v>
      </c>
      <c r="L381" s="12" t="s">
        <v>207</v>
      </c>
      <c r="M381" s="12" t="s">
        <v>198</v>
      </c>
      <c r="N381" s="12" t="s">
        <v>55</v>
      </c>
      <c r="O381" s="12" t="s">
        <v>124</v>
      </c>
      <c r="P381" s="12" t="s">
        <v>214</v>
      </c>
      <c r="Q381" s="7" t="str">
        <f t="shared" si="16"/>
        <v>(1964,24,'1964.06.13',2,9,19,62,64,0),</v>
      </c>
      <c r="R381" s="7" t="str">
        <f t="shared" si="18"/>
        <v>(1964,24,'1964.06.13',2,9,19,62,64),</v>
      </c>
    </row>
    <row r="382" spans="1:18" x14ac:dyDescent="0.25">
      <c r="A382" s="7" t="s">
        <v>1972</v>
      </c>
      <c r="B382" s="8" t="s">
        <v>152</v>
      </c>
      <c r="C382" s="10">
        <f t="shared" si="17"/>
        <v>23548</v>
      </c>
      <c r="D382" t="s">
        <v>11</v>
      </c>
      <c r="E382" t="s">
        <v>12</v>
      </c>
      <c r="F382" t="s">
        <v>11</v>
      </c>
      <c r="G382" t="s">
        <v>12</v>
      </c>
      <c r="H382" t="s">
        <v>11</v>
      </c>
      <c r="I382" t="s">
        <v>12</v>
      </c>
      <c r="J382" t="s">
        <v>11</v>
      </c>
      <c r="K382" t="s">
        <v>12</v>
      </c>
      <c r="L382" s="12" t="s">
        <v>90</v>
      </c>
      <c r="M382" s="12" t="s">
        <v>10</v>
      </c>
      <c r="N382" s="12" t="s">
        <v>125</v>
      </c>
      <c r="O382" s="12" t="s">
        <v>246</v>
      </c>
      <c r="P382" s="12" t="s">
        <v>269</v>
      </c>
      <c r="Q382" s="7" t="str">
        <f t="shared" si="16"/>
        <v>(1964,25,'1964.06.20',17,40,83,84,87,0),</v>
      </c>
      <c r="R382" s="7" t="str">
        <f t="shared" si="18"/>
        <v>(1964,25,'1964.06.20',17,40,83,84,87),</v>
      </c>
    </row>
    <row r="383" spans="1:18" x14ac:dyDescent="0.25">
      <c r="A383" s="7" t="s">
        <v>1972</v>
      </c>
      <c r="B383" s="8" t="s">
        <v>74</v>
      </c>
      <c r="C383" s="10">
        <f t="shared" si="17"/>
        <v>23555</v>
      </c>
      <c r="D383" t="s">
        <v>11</v>
      </c>
      <c r="E383" t="s">
        <v>12</v>
      </c>
      <c r="F383" t="s">
        <v>11</v>
      </c>
      <c r="G383" t="s">
        <v>12</v>
      </c>
      <c r="H383" t="s">
        <v>11</v>
      </c>
      <c r="I383" t="s">
        <v>12</v>
      </c>
      <c r="J383" t="s">
        <v>11</v>
      </c>
      <c r="K383" t="s">
        <v>12</v>
      </c>
      <c r="L383" s="12" t="s">
        <v>198</v>
      </c>
      <c r="M383" s="12" t="s">
        <v>19</v>
      </c>
      <c r="N383" s="12" t="s">
        <v>80</v>
      </c>
      <c r="O383" s="12" t="s">
        <v>22</v>
      </c>
      <c r="P383" s="12" t="s">
        <v>106</v>
      </c>
      <c r="Q383" s="7" t="str">
        <f t="shared" si="16"/>
        <v>(1964,26,'1964.06.27',9,18,32,48,75,0),</v>
      </c>
      <c r="R383" s="7" t="str">
        <f t="shared" si="18"/>
        <v>(1964,26,'1964.06.27',9,18,32,48,75),</v>
      </c>
    </row>
    <row r="384" spans="1:18" x14ac:dyDescent="0.25">
      <c r="A384" s="7" t="s">
        <v>1972</v>
      </c>
      <c r="B384" s="8" t="s">
        <v>135</v>
      </c>
      <c r="C384" s="10">
        <f t="shared" si="17"/>
        <v>23562</v>
      </c>
      <c r="D384" t="s">
        <v>11</v>
      </c>
      <c r="E384" t="s">
        <v>12</v>
      </c>
      <c r="F384" t="s">
        <v>11</v>
      </c>
      <c r="G384" t="s">
        <v>12</v>
      </c>
      <c r="H384" t="s">
        <v>11</v>
      </c>
      <c r="I384" t="s">
        <v>12</v>
      </c>
      <c r="J384" t="s">
        <v>11</v>
      </c>
      <c r="K384" t="s">
        <v>12</v>
      </c>
      <c r="L384" s="12" t="s">
        <v>126</v>
      </c>
      <c r="M384" s="12" t="s">
        <v>106</v>
      </c>
      <c r="N384" s="12" t="s">
        <v>63</v>
      </c>
      <c r="O384" s="12" t="s">
        <v>622</v>
      </c>
      <c r="P384" s="12" t="s">
        <v>125</v>
      </c>
      <c r="Q384" s="7" t="str">
        <f t="shared" si="16"/>
        <v>(1964,27,'1964.07.04',28,75,78,82,83,0),</v>
      </c>
      <c r="R384" s="7" t="str">
        <f t="shared" si="18"/>
        <v>(1964,27,'1964.07.04',28,75,78,82,83),</v>
      </c>
    </row>
    <row r="385" spans="1:18" x14ac:dyDescent="0.25">
      <c r="A385" s="7" t="s">
        <v>1972</v>
      </c>
      <c r="B385" s="8" t="s">
        <v>126</v>
      </c>
      <c r="C385" s="10">
        <f t="shared" si="17"/>
        <v>23569</v>
      </c>
      <c r="D385" t="s">
        <v>11</v>
      </c>
      <c r="E385" t="s">
        <v>12</v>
      </c>
      <c r="F385" t="s">
        <v>11</v>
      </c>
      <c r="G385" t="s">
        <v>12</v>
      </c>
      <c r="H385" t="s">
        <v>11</v>
      </c>
      <c r="I385" t="s">
        <v>12</v>
      </c>
      <c r="J385" t="s">
        <v>11</v>
      </c>
      <c r="K385" t="s">
        <v>12</v>
      </c>
      <c r="L385" s="12" t="s">
        <v>25</v>
      </c>
      <c r="M385" s="12" t="s">
        <v>36</v>
      </c>
      <c r="N385" s="12" t="s">
        <v>45</v>
      </c>
      <c r="O385" s="12" t="s">
        <v>23</v>
      </c>
      <c r="P385" s="12" t="s">
        <v>379</v>
      </c>
      <c r="Q385" s="7" t="str">
        <f t="shared" si="16"/>
        <v>(1964,28,'1964.07.11',34,38,43,60,89,0),</v>
      </c>
      <c r="R385" s="7" t="str">
        <f t="shared" si="18"/>
        <v>(1964,28,'1964.07.11',34,38,43,60,89),</v>
      </c>
    </row>
    <row r="386" spans="1:18" x14ac:dyDescent="0.25">
      <c r="A386" s="7" t="s">
        <v>1972</v>
      </c>
      <c r="B386" s="8" t="s">
        <v>116</v>
      </c>
      <c r="C386" s="10">
        <f t="shared" si="17"/>
        <v>23576</v>
      </c>
      <c r="D386" t="s">
        <v>11</v>
      </c>
      <c r="E386" t="s">
        <v>12</v>
      </c>
      <c r="F386" t="s">
        <v>11</v>
      </c>
      <c r="G386" t="s">
        <v>12</v>
      </c>
      <c r="H386" t="s">
        <v>11</v>
      </c>
      <c r="I386" t="s">
        <v>12</v>
      </c>
      <c r="J386" t="s">
        <v>11</v>
      </c>
      <c r="K386" t="s">
        <v>12</v>
      </c>
      <c r="L386" s="12" t="s">
        <v>163</v>
      </c>
      <c r="M386" s="12" t="s">
        <v>107</v>
      </c>
      <c r="N386" s="12" t="s">
        <v>45</v>
      </c>
      <c r="O386" s="12" t="s">
        <v>99</v>
      </c>
      <c r="P386" s="12" t="s">
        <v>214</v>
      </c>
      <c r="Q386" s="7" t="str">
        <f t="shared" ref="Q386:Q449" si="19">"("&amp;A386&amp;","&amp;B386&amp;",'"&amp;TEXT(C386,"éééé.hh.nn")&amp;"',"&amp;L386&amp;","&amp;M386&amp;","&amp;N386&amp;","&amp;O386&amp;","&amp;P386&amp;",0)"&amp;IF(P387&lt;&gt;0,",","")</f>
        <v>(1964,29,'1964.07.18',23,30,43,52,64,0),</v>
      </c>
      <c r="R386" s="7" t="str">
        <f t="shared" si="18"/>
        <v>(1964,29,'1964.07.18',23,30,43,52,64),</v>
      </c>
    </row>
    <row r="387" spans="1:18" x14ac:dyDescent="0.25">
      <c r="A387" s="7" t="s">
        <v>1972</v>
      </c>
      <c r="B387" s="8" t="s">
        <v>107</v>
      </c>
      <c r="C387" s="10">
        <f t="shared" ref="C387:C450" si="20">+C386+7</f>
        <v>23583</v>
      </c>
      <c r="D387" t="s">
        <v>11</v>
      </c>
      <c r="E387" t="s">
        <v>12</v>
      </c>
      <c r="F387" t="s">
        <v>11</v>
      </c>
      <c r="G387" t="s">
        <v>12</v>
      </c>
      <c r="H387" t="s">
        <v>11</v>
      </c>
      <c r="I387" t="s">
        <v>12</v>
      </c>
      <c r="J387" t="s">
        <v>11</v>
      </c>
      <c r="K387" t="s">
        <v>12</v>
      </c>
      <c r="L387" s="12" t="s">
        <v>108</v>
      </c>
      <c r="M387" s="12" t="s">
        <v>32</v>
      </c>
      <c r="N387" s="12" t="s">
        <v>72</v>
      </c>
      <c r="O387" s="12" t="s">
        <v>73</v>
      </c>
      <c r="P387" s="12" t="s">
        <v>125</v>
      </c>
      <c r="Q387" s="7" t="str">
        <f t="shared" si="19"/>
        <v>(1964,30,'1964.07.25',1,22,67,76,83,0),</v>
      </c>
      <c r="R387" s="7" t="str">
        <f t="shared" ref="R387:R450" si="21">IF(TRIM(P387)="","","("&amp;A387&amp;","&amp;B387&amp;",'"&amp;TEXT(C387,"éééé.hh.nn")&amp;"',"&amp;L387&amp;","&amp;M387&amp;","&amp;N387&amp;","&amp;O387&amp;","&amp;P387&amp;")"&amp;IF(P388=0,";",","))</f>
        <v>(1964,30,'1964.07.25',1,22,67,76,83),</v>
      </c>
    </row>
    <row r="388" spans="1:18" x14ac:dyDescent="0.25">
      <c r="A388" s="7" t="s">
        <v>1972</v>
      </c>
      <c r="B388" s="8" t="s">
        <v>71</v>
      </c>
      <c r="C388" s="10">
        <f t="shared" si="20"/>
        <v>23590</v>
      </c>
      <c r="D388" t="s">
        <v>11</v>
      </c>
      <c r="E388" t="s">
        <v>12</v>
      </c>
      <c r="F388" t="s">
        <v>11</v>
      </c>
      <c r="G388" t="s">
        <v>12</v>
      </c>
      <c r="H388" t="s">
        <v>11</v>
      </c>
      <c r="I388" t="s">
        <v>12</v>
      </c>
      <c r="J388" t="s">
        <v>11</v>
      </c>
      <c r="K388" t="s">
        <v>12</v>
      </c>
      <c r="L388" s="12" t="s">
        <v>19</v>
      </c>
      <c r="M388" s="12" t="s">
        <v>115</v>
      </c>
      <c r="N388" s="12" t="s">
        <v>10</v>
      </c>
      <c r="O388" s="12" t="s">
        <v>151</v>
      </c>
      <c r="P388" s="12" t="s">
        <v>622</v>
      </c>
      <c r="Q388" s="7" t="str">
        <f t="shared" si="19"/>
        <v>(1964,31,'1964.08.01',18,20,40,79,82,0),</v>
      </c>
      <c r="R388" s="7" t="str">
        <f t="shared" si="21"/>
        <v>(1964,31,'1964.08.01',18,20,40,79,82),</v>
      </c>
    </row>
    <row r="389" spans="1:18" x14ac:dyDescent="0.25">
      <c r="A389" s="7" t="s">
        <v>1972</v>
      </c>
      <c r="B389" s="8" t="s">
        <v>80</v>
      </c>
      <c r="C389" s="10">
        <f t="shared" si="20"/>
        <v>23597</v>
      </c>
      <c r="D389" t="s">
        <v>11</v>
      </c>
      <c r="E389" t="s">
        <v>12</v>
      </c>
      <c r="F389" t="s">
        <v>11</v>
      </c>
      <c r="G389" t="s">
        <v>12</v>
      </c>
      <c r="H389" t="s">
        <v>11</v>
      </c>
      <c r="I389" t="s">
        <v>12</v>
      </c>
      <c r="J389" t="s">
        <v>11</v>
      </c>
      <c r="K389" t="s">
        <v>12</v>
      </c>
      <c r="L389" s="12" t="s">
        <v>43</v>
      </c>
      <c r="M389" s="12" t="s">
        <v>152</v>
      </c>
      <c r="N389" s="12" t="s">
        <v>13</v>
      </c>
      <c r="O389" s="12" t="s">
        <v>81</v>
      </c>
      <c r="P389" s="12" t="s">
        <v>175</v>
      </c>
      <c r="Q389" s="7" t="str">
        <f t="shared" si="19"/>
        <v>(1964,32,'1964.08.08',16,25,41,47,55,0),</v>
      </c>
      <c r="R389" s="7" t="str">
        <f t="shared" si="21"/>
        <v>(1964,32,'1964.08.08',16,25,41,47,55),</v>
      </c>
    </row>
    <row r="390" spans="1:18" x14ac:dyDescent="0.25">
      <c r="A390" s="7" t="s">
        <v>1972</v>
      </c>
      <c r="B390" s="8" t="s">
        <v>20</v>
      </c>
      <c r="C390" s="10">
        <f t="shared" si="20"/>
        <v>23604</v>
      </c>
      <c r="D390" t="s">
        <v>11</v>
      </c>
      <c r="E390" t="s">
        <v>12</v>
      </c>
      <c r="F390" t="s">
        <v>11</v>
      </c>
      <c r="G390" t="s">
        <v>12</v>
      </c>
      <c r="H390" t="s">
        <v>11</v>
      </c>
      <c r="I390" t="s">
        <v>12</v>
      </c>
      <c r="J390" t="s">
        <v>11</v>
      </c>
      <c r="K390" t="s">
        <v>12</v>
      </c>
      <c r="L390" s="12" t="s">
        <v>65</v>
      </c>
      <c r="M390" s="12" t="s">
        <v>44</v>
      </c>
      <c r="N390" s="12" t="s">
        <v>23</v>
      </c>
      <c r="O390" s="12" t="s">
        <v>56</v>
      </c>
      <c r="P390" s="12" t="s">
        <v>379</v>
      </c>
      <c r="Q390" s="7" t="str">
        <f t="shared" si="19"/>
        <v>(1964,33,'1964.08.15',13,21,60,71,89,0),</v>
      </c>
      <c r="R390" s="7" t="str">
        <f t="shared" si="21"/>
        <v>(1964,33,'1964.08.15',13,21,60,71,89),</v>
      </c>
    </row>
    <row r="391" spans="1:18" x14ac:dyDescent="0.25">
      <c r="A391" s="7" t="s">
        <v>1972</v>
      </c>
      <c r="B391" s="8" t="s">
        <v>25</v>
      </c>
      <c r="C391" s="10">
        <f t="shared" si="20"/>
        <v>23611</v>
      </c>
      <c r="D391" t="s">
        <v>11</v>
      </c>
      <c r="E391" t="s">
        <v>12</v>
      </c>
      <c r="F391" t="s">
        <v>11</v>
      </c>
      <c r="G391" t="s">
        <v>12</v>
      </c>
      <c r="H391" t="s">
        <v>11</v>
      </c>
      <c r="I391" t="s">
        <v>12</v>
      </c>
      <c r="J391" t="s">
        <v>11</v>
      </c>
      <c r="K391" t="s">
        <v>12</v>
      </c>
      <c r="L391" s="12" t="s">
        <v>19</v>
      </c>
      <c r="M391" s="12" t="s">
        <v>44</v>
      </c>
      <c r="N391" s="12" t="s">
        <v>175</v>
      </c>
      <c r="O391" s="12" t="s">
        <v>92</v>
      </c>
      <c r="P391" s="12" t="s">
        <v>143</v>
      </c>
      <c r="Q391" s="7" t="str">
        <f t="shared" si="19"/>
        <v>(1964,34,'1964.08.22',18,21,55,68,77,0),</v>
      </c>
      <c r="R391" s="7" t="str">
        <f t="shared" si="21"/>
        <v>(1964,34,'1964.08.22',18,21,55,68,77),</v>
      </c>
    </row>
    <row r="392" spans="1:18" x14ac:dyDescent="0.25">
      <c r="A392" s="7" t="s">
        <v>1972</v>
      </c>
      <c r="B392" s="8" t="s">
        <v>64</v>
      </c>
      <c r="C392" s="10">
        <f t="shared" si="20"/>
        <v>23618</v>
      </c>
      <c r="D392" t="s">
        <v>11</v>
      </c>
      <c r="E392" t="s">
        <v>12</v>
      </c>
      <c r="F392" t="s">
        <v>11</v>
      </c>
      <c r="G392" t="s">
        <v>12</v>
      </c>
      <c r="H392" t="s">
        <v>11</v>
      </c>
      <c r="I392" t="s">
        <v>12</v>
      </c>
      <c r="J392" t="s">
        <v>11</v>
      </c>
      <c r="K392" t="s">
        <v>12</v>
      </c>
      <c r="L392" s="12" t="s">
        <v>42</v>
      </c>
      <c r="M392" s="12" t="s">
        <v>105</v>
      </c>
      <c r="N392" s="12" t="s">
        <v>23</v>
      </c>
      <c r="O392" s="12" t="s">
        <v>143</v>
      </c>
      <c r="P392" s="12" t="s">
        <v>468</v>
      </c>
      <c r="Q392" s="7" t="str">
        <f t="shared" si="19"/>
        <v>(1964,35,'1964.08.29',3,50,60,77,85,0),</v>
      </c>
      <c r="R392" s="7" t="str">
        <f t="shared" si="21"/>
        <v>(1964,35,'1964.08.29',3,50,60,77,85),</v>
      </c>
    </row>
    <row r="393" spans="1:18" x14ac:dyDescent="0.25">
      <c r="A393" s="7" t="s">
        <v>1972</v>
      </c>
      <c r="B393" s="8" t="s">
        <v>21</v>
      </c>
      <c r="C393" s="10">
        <f t="shared" si="20"/>
        <v>23625</v>
      </c>
      <c r="D393" t="s">
        <v>11</v>
      </c>
      <c r="E393" t="s">
        <v>12</v>
      </c>
      <c r="F393" t="s">
        <v>11</v>
      </c>
      <c r="G393" t="s">
        <v>12</v>
      </c>
      <c r="H393" t="s">
        <v>11</v>
      </c>
      <c r="I393" t="s">
        <v>12</v>
      </c>
      <c r="J393" t="s">
        <v>11</v>
      </c>
      <c r="K393" t="s">
        <v>12</v>
      </c>
      <c r="L393" s="12" t="s">
        <v>31</v>
      </c>
      <c r="M393" s="12" t="s">
        <v>116</v>
      </c>
      <c r="N393" s="12" t="s">
        <v>98</v>
      </c>
      <c r="O393" s="12" t="s">
        <v>124</v>
      </c>
      <c r="P393" s="12" t="s">
        <v>47</v>
      </c>
      <c r="Q393" s="7" t="str">
        <f t="shared" si="19"/>
        <v>(1964,36,'1964.09.05',12,29,42,62,69,0),</v>
      </c>
      <c r="R393" s="7" t="str">
        <f t="shared" si="21"/>
        <v>(1964,36,'1964.09.05',12,29,42,62,69),</v>
      </c>
    </row>
    <row r="394" spans="1:18" x14ac:dyDescent="0.25">
      <c r="A394" s="7" t="s">
        <v>1972</v>
      </c>
      <c r="B394" s="8" t="s">
        <v>46</v>
      </c>
      <c r="C394" s="10">
        <f t="shared" si="20"/>
        <v>23632</v>
      </c>
      <c r="D394" t="s">
        <v>11</v>
      </c>
      <c r="E394" t="s">
        <v>12</v>
      </c>
      <c r="F394" t="s">
        <v>11</v>
      </c>
      <c r="G394" t="s">
        <v>12</v>
      </c>
      <c r="H394" t="s">
        <v>11</v>
      </c>
      <c r="I394" t="s">
        <v>12</v>
      </c>
      <c r="J394" t="s">
        <v>11</v>
      </c>
      <c r="K394" t="s">
        <v>12</v>
      </c>
      <c r="L394" s="12" t="s">
        <v>232</v>
      </c>
      <c r="M394" s="12" t="s">
        <v>142</v>
      </c>
      <c r="N394" s="12" t="s">
        <v>81</v>
      </c>
      <c r="O394" s="12" t="s">
        <v>22</v>
      </c>
      <c r="P394" s="12" t="s">
        <v>56</v>
      </c>
      <c r="Q394" s="7" t="str">
        <f t="shared" si="19"/>
        <v>(1964,37,'1964.09.12',8,44,47,48,71,0),</v>
      </c>
      <c r="R394" s="7" t="str">
        <f t="shared" si="21"/>
        <v>(1964,37,'1964.09.12',8,44,47,48,71),</v>
      </c>
    </row>
    <row r="395" spans="1:18" x14ac:dyDescent="0.25">
      <c r="A395" s="7" t="s">
        <v>1972</v>
      </c>
      <c r="B395" s="8" t="s">
        <v>36</v>
      </c>
      <c r="C395" s="10">
        <f t="shared" si="20"/>
        <v>23639</v>
      </c>
      <c r="D395" t="s">
        <v>11</v>
      </c>
      <c r="E395" t="s">
        <v>12</v>
      </c>
      <c r="F395" t="s">
        <v>11</v>
      </c>
      <c r="G395" t="s">
        <v>12</v>
      </c>
      <c r="H395" t="s">
        <v>11</v>
      </c>
      <c r="I395" t="s">
        <v>12</v>
      </c>
      <c r="J395" t="s">
        <v>11</v>
      </c>
      <c r="K395" t="s">
        <v>12</v>
      </c>
      <c r="L395" s="12" t="s">
        <v>98</v>
      </c>
      <c r="M395" s="12" t="s">
        <v>81</v>
      </c>
      <c r="N395" s="12" t="s">
        <v>105</v>
      </c>
      <c r="O395" s="12" t="s">
        <v>35</v>
      </c>
      <c r="P395" s="12" t="s">
        <v>200</v>
      </c>
      <c r="Q395" s="7" t="str">
        <f t="shared" si="19"/>
        <v>(1964,38,'1964.09.19',42,47,50,65,70,0),</v>
      </c>
      <c r="R395" s="7" t="str">
        <f t="shared" si="21"/>
        <v>(1964,38,'1964.09.19',42,47,50,65,70),</v>
      </c>
    </row>
    <row r="396" spans="1:18" x14ac:dyDescent="0.25">
      <c r="A396" s="7" t="s">
        <v>1972</v>
      </c>
      <c r="B396" s="8" t="s">
        <v>24</v>
      </c>
      <c r="C396" s="10">
        <f t="shared" si="20"/>
        <v>23646</v>
      </c>
      <c r="D396" t="s">
        <v>11</v>
      </c>
      <c r="E396" t="s">
        <v>12</v>
      </c>
      <c r="F396" t="s">
        <v>11</v>
      </c>
      <c r="G396" t="s">
        <v>12</v>
      </c>
      <c r="H396" t="s">
        <v>11</v>
      </c>
      <c r="I396" t="s">
        <v>12</v>
      </c>
      <c r="J396" t="s">
        <v>11</v>
      </c>
      <c r="K396" t="s">
        <v>12</v>
      </c>
      <c r="L396" s="12" t="s">
        <v>83</v>
      </c>
      <c r="M396" s="12" t="s">
        <v>43</v>
      </c>
      <c r="N396" s="12" t="s">
        <v>20</v>
      </c>
      <c r="O396" s="12" t="s">
        <v>199</v>
      </c>
      <c r="P396" s="12" t="s">
        <v>308</v>
      </c>
      <c r="Q396" s="7" t="str">
        <f t="shared" si="19"/>
        <v>(1964,39,'1964.09.26',11,16,33,53,86,0),</v>
      </c>
      <c r="R396" s="7" t="str">
        <f t="shared" si="21"/>
        <v>(1964,39,'1964.09.26',11,16,33,53,86),</v>
      </c>
    </row>
    <row r="397" spans="1:18" x14ac:dyDescent="0.25">
      <c r="A397" s="7" t="s">
        <v>1972</v>
      </c>
      <c r="B397" s="8" t="s">
        <v>10</v>
      </c>
      <c r="C397" s="10">
        <f t="shared" si="20"/>
        <v>23653</v>
      </c>
      <c r="D397" t="s">
        <v>11</v>
      </c>
      <c r="E397" t="s">
        <v>12</v>
      </c>
      <c r="F397" t="s">
        <v>11</v>
      </c>
      <c r="G397" t="s">
        <v>12</v>
      </c>
      <c r="H397" t="s">
        <v>11</v>
      </c>
      <c r="I397" t="s">
        <v>12</v>
      </c>
      <c r="J397" t="s">
        <v>11</v>
      </c>
      <c r="K397" t="s">
        <v>12</v>
      </c>
      <c r="L397" s="12" t="s">
        <v>127</v>
      </c>
      <c r="M397" s="12" t="s">
        <v>32</v>
      </c>
      <c r="N397" s="12" t="s">
        <v>81</v>
      </c>
      <c r="O397" s="12" t="s">
        <v>106</v>
      </c>
      <c r="P397" s="12" t="s">
        <v>143</v>
      </c>
      <c r="Q397" s="7" t="str">
        <f t="shared" si="19"/>
        <v>(1964,40,'1964.10.03',14,22,47,75,77,0),</v>
      </c>
      <c r="R397" s="7" t="str">
        <f t="shared" si="21"/>
        <v>(1964,40,'1964.10.03',14,22,47,75,77),</v>
      </c>
    </row>
    <row r="398" spans="1:18" x14ac:dyDescent="0.25">
      <c r="A398" s="7" t="s">
        <v>1972</v>
      </c>
      <c r="B398" s="8" t="s">
        <v>13</v>
      </c>
      <c r="C398" s="10">
        <f t="shared" si="20"/>
        <v>23660</v>
      </c>
      <c r="D398" t="s">
        <v>11</v>
      </c>
      <c r="E398" t="s">
        <v>12</v>
      </c>
      <c r="F398" t="s">
        <v>11</v>
      </c>
      <c r="G398" t="s">
        <v>12</v>
      </c>
      <c r="H398" t="s">
        <v>11</v>
      </c>
      <c r="I398" t="s">
        <v>12</v>
      </c>
      <c r="J398" t="s">
        <v>11</v>
      </c>
      <c r="K398" t="s">
        <v>12</v>
      </c>
      <c r="L398" s="12" t="s">
        <v>270</v>
      </c>
      <c r="M398" s="12" t="s">
        <v>24</v>
      </c>
      <c r="N398" s="12" t="s">
        <v>133</v>
      </c>
      <c r="O398" s="12" t="s">
        <v>134</v>
      </c>
      <c r="P398" s="12" t="s">
        <v>151</v>
      </c>
      <c r="Q398" s="7" t="str">
        <f t="shared" si="19"/>
        <v>(1964,41,'1964.10.10',6,39,45,56,79,0),</v>
      </c>
      <c r="R398" s="7" t="str">
        <f t="shared" si="21"/>
        <v>(1964,41,'1964.10.10',6,39,45,56,79),</v>
      </c>
    </row>
    <row r="399" spans="1:18" x14ac:dyDescent="0.25">
      <c r="A399" s="7" t="s">
        <v>1972</v>
      </c>
      <c r="B399" s="8" t="s">
        <v>98</v>
      </c>
      <c r="C399" s="10">
        <f t="shared" si="20"/>
        <v>23667</v>
      </c>
      <c r="D399" t="s">
        <v>11</v>
      </c>
      <c r="E399" t="s">
        <v>12</v>
      </c>
      <c r="F399" t="s">
        <v>11</v>
      </c>
      <c r="G399" t="s">
        <v>12</v>
      </c>
      <c r="H399" t="s">
        <v>11</v>
      </c>
      <c r="I399" t="s">
        <v>12</v>
      </c>
      <c r="J399" t="s">
        <v>11</v>
      </c>
      <c r="K399" t="s">
        <v>12</v>
      </c>
      <c r="L399" s="12" t="s">
        <v>80</v>
      </c>
      <c r="M399" s="12" t="s">
        <v>46</v>
      </c>
      <c r="N399" s="12" t="s">
        <v>199</v>
      </c>
      <c r="O399" s="12" t="s">
        <v>246</v>
      </c>
      <c r="P399" s="12" t="s">
        <v>186</v>
      </c>
      <c r="Q399" s="7" t="str">
        <f t="shared" si="19"/>
        <v>(1964,42,'1964.10.17',32,37,53,84,90,0),</v>
      </c>
      <c r="R399" s="7" t="str">
        <f t="shared" si="21"/>
        <v>(1964,42,'1964.10.17',32,37,53,84,90),</v>
      </c>
    </row>
    <row r="400" spans="1:18" x14ac:dyDescent="0.25">
      <c r="A400" s="7" t="s">
        <v>1972</v>
      </c>
      <c r="B400" s="8" t="s">
        <v>45</v>
      </c>
      <c r="C400" s="10">
        <f t="shared" si="20"/>
        <v>23674</v>
      </c>
      <c r="D400" t="s">
        <v>11</v>
      </c>
      <c r="E400" t="s">
        <v>12</v>
      </c>
      <c r="F400" t="s">
        <v>11</v>
      </c>
      <c r="G400" t="s">
        <v>12</v>
      </c>
      <c r="H400" t="s">
        <v>11</v>
      </c>
      <c r="I400" t="s">
        <v>12</v>
      </c>
      <c r="J400" t="s">
        <v>11</v>
      </c>
      <c r="K400" t="s">
        <v>12</v>
      </c>
      <c r="L400" s="12" t="s">
        <v>115</v>
      </c>
      <c r="M400" s="12" t="s">
        <v>98</v>
      </c>
      <c r="N400" s="12" t="s">
        <v>99</v>
      </c>
      <c r="O400" s="12" t="s">
        <v>199</v>
      </c>
      <c r="P400" s="12" t="s">
        <v>269</v>
      </c>
      <c r="Q400" s="7" t="str">
        <f t="shared" si="19"/>
        <v>(1964,43,'1964.10.24',20,42,52,53,87,0),</v>
      </c>
      <c r="R400" s="7" t="str">
        <f t="shared" si="21"/>
        <v>(1964,43,'1964.10.24',20,42,52,53,87),</v>
      </c>
    </row>
    <row r="401" spans="1:18" x14ac:dyDescent="0.25">
      <c r="A401" s="7" t="s">
        <v>1972</v>
      </c>
      <c r="B401" s="8" t="s">
        <v>142</v>
      </c>
      <c r="C401" s="10">
        <f t="shared" si="20"/>
        <v>23681</v>
      </c>
      <c r="D401" t="s">
        <v>11</v>
      </c>
      <c r="E401" t="s">
        <v>12</v>
      </c>
      <c r="F401" t="s">
        <v>11</v>
      </c>
      <c r="G401" t="s">
        <v>12</v>
      </c>
      <c r="H401" t="s">
        <v>11</v>
      </c>
      <c r="I401" t="s">
        <v>12</v>
      </c>
      <c r="J401" t="s">
        <v>11</v>
      </c>
      <c r="K401" t="s">
        <v>12</v>
      </c>
      <c r="L401" s="12" t="s">
        <v>43</v>
      </c>
      <c r="M401" s="12" t="s">
        <v>122</v>
      </c>
      <c r="N401" s="12" t="s">
        <v>134</v>
      </c>
      <c r="O401" s="12" t="s">
        <v>248</v>
      </c>
      <c r="P401" s="12" t="s">
        <v>233</v>
      </c>
      <c r="Q401" s="7" t="str">
        <f t="shared" si="19"/>
        <v>(1964,44,'1964.10.31',16,51,56,63,66,0),</v>
      </c>
      <c r="R401" s="7" t="str">
        <f t="shared" si="21"/>
        <v>(1964,44,'1964.10.31',16,51,56,63,66),</v>
      </c>
    </row>
    <row r="402" spans="1:18" x14ac:dyDescent="0.25">
      <c r="A402" s="7" t="s">
        <v>1972</v>
      </c>
      <c r="B402" s="8" t="s">
        <v>133</v>
      </c>
      <c r="C402" s="10">
        <f t="shared" si="20"/>
        <v>23688</v>
      </c>
      <c r="D402" t="s">
        <v>11</v>
      </c>
      <c r="E402" t="s">
        <v>12</v>
      </c>
      <c r="F402" t="s">
        <v>11</v>
      </c>
      <c r="G402" t="s">
        <v>12</v>
      </c>
      <c r="H402" t="s">
        <v>11</v>
      </c>
      <c r="I402" t="s">
        <v>12</v>
      </c>
      <c r="J402" t="s">
        <v>11</v>
      </c>
      <c r="K402" t="s">
        <v>12</v>
      </c>
      <c r="L402" s="12" t="s">
        <v>270</v>
      </c>
      <c r="M402" s="12" t="s">
        <v>107</v>
      </c>
      <c r="N402" s="12" t="s">
        <v>122</v>
      </c>
      <c r="O402" s="12" t="s">
        <v>151</v>
      </c>
      <c r="P402" s="12" t="s">
        <v>269</v>
      </c>
      <c r="Q402" s="7" t="str">
        <f t="shared" si="19"/>
        <v>(1964,45,'1964.11.07',6,30,51,79,87,0),</v>
      </c>
      <c r="R402" s="7" t="str">
        <f t="shared" si="21"/>
        <v>(1964,45,'1964.11.07',6,30,51,79,87),</v>
      </c>
    </row>
    <row r="403" spans="1:18" x14ac:dyDescent="0.25">
      <c r="A403" s="7" t="s">
        <v>1972</v>
      </c>
      <c r="B403" s="8" t="s">
        <v>192</v>
      </c>
      <c r="C403" s="10">
        <f t="shared" si="20"/>
        <v>23695</v>
      </c>
      <c r="D403" t="s">
        <v>11</v>
      </c>
      <c r="E403" t="s">
        <v>12</v>
      </c>
      <c r="F403" t="s">
        <v>11</v>
      </c>
      <c r="G403" t="s">
        <v>12</v>
      </c>
      <c r="H403" t="s">
        <v>11</v>
      </c>
      <c r="I403" t="s">
        <v>12</v>
      </c>
      <c r="J403" t="s">
        <v>11</v>
      </c>
      <c r="K403" t="s">
        <v>12</v>
      </c>
      <c r="L403" s="12" t="s">
        <v>232</v>
      </c>
      <c r="M403" s="12" t="s">
        <v>116</v>
      </c>
      <c r="N403" s="12" t="s">
        <v>199</v>
      </c>
      <c r="O403" s="12" t="s">
        <v>269</v>
      </c>
      <c r="P403" s="12" t="s">
        <v>379</v>
      </c>
      <c r="Q403" s="7" t="str">
        <f t="shared" si="19"/>
        <v>(1964,46,'1964.11.14',8,29,53,87,89,0),</v>
      </c>
      <c r="R403" s="7" t="str">
        <f t="shared" si="21"/>
        <v>(1964,46,'1964.11.14',8,29,53,87,89),</v>
      </c>
    </row>
    <row r="404" spans="1:18" x14ac:dyDescent="0.25">
      <c r="A404" s="7" t="s">
        <v>1972</v>
      </c>
      <c r="B404" s="8" t="s">
        <v>81</v>
      </c>
      <c r="C404" s="10">
        <f t="shared" si="20"/>
        <v>23702</v>
      </c>
      <c r="D404" t="s">
        <v>11</v>
      </c>
      <c r="E404" t="s">
        <v>12</v>
      </c>
      <c r="F404" t="s">
        <v>11</v>
      </c>
      <c r="G404" t="s">
        <v>12</v>
      </c>
      <c r="H404" t="s">
        <v>11</v>
      </c>
      <c r="I404" t="s">
        <v>12</v>
      </c>
      <c r="J404" t="s">
        <v>11</v>
      </c>
      <c r="K404" t="s">
        <v>12</v>
      </c>
      <c r="L404" s="12" t="s">
        <v>42</v>
      </c>
      <c r="M404" s="12" t="s">
        <v>232</v>
      </c>
      <c r="N404" s="12" t="s">
        <v>44</v>
      </c>
      <c r="O404" s="12" t="s">
        <v>92</v>
      </c>
      <c r="P404" s="12" t="s">
        <v>246</v>
      </c>
      <c r="Q404" s="7" t="str">
        <f t="shared" si="19"/>
        <v>(1964,47,'1964.11.21',3,8,21,68,84,0),</v>
      </c>
      <c r="R404" s="7" t="str">
        <f t="shared" si="21"/>
        <v>(1964,47,'1964.11.21',3,8,21,68,84),</v>
      </c>
    </row>
    <row r="405" spans="1:18" x14ac:dyDescent="0.25">
      <c r="A405" s="7" t="s">
        <v>1972</v>
      </c>
      <c r="B405" s="8" t="s">
        <v>22</v>
      </c>
      <c r="C405" s="10">
        <f t="shared" si="20"/>
        <v>23709</v>
      </c>
      <c r="D405" t="s">
        <v>11</v>
      </c>
      <c r="E405" t="s">
        <v>12</v>
      </c>
      <c r="F405" t="s">
        <v>11</v>
      </c>
      <c r="G405" t="s">
        <v>12</v>
      </c>
      <c r="H405" t="s">
        <v>11</v>
      </c>
      <c r="I405" t="s">
        <v>12</v>
      </c>
      <c r="J405" t="s">
        <v>11</v>
      </c>
      <c r="K405" t="s">
        <v>12</v>
      </c>
      <c r="L405" s="12" t="s">
        <v>207</v>
      </c>
      <c r="M405" s="12" t="s">
        <v>62</v>
      </c>
      <c r="N405" s="12" t="s">
        <v>13</v>
      </c>
      <c r="O405" s="12" t="s">
        <v>23</v>
      </c>
      <c r="P405" s="12" t="s">
        <v>124</v>
      </c>
      <c r="Q405" s="7" t="str">
        <f t="shared" si="19"/>
        <v>(1964,48,'1964.11.28',2,10,41,60,62,0),</v>
      </c>
      <c r="R405" s="7" t="str">
        <f t="shared" si="21"/>
        <v>(1964,48,'1964.11.28',2,10,41,60,62),</v>
      </c>
    </row>
    <row r="406" spans="1:18" x14ac:dyDescent="0.25">
      <c r="A406" s="7" t="s">
        <v>1972</v>
      </c>
      <c r="B406" s="8" t="s">
        <v>34</v>
      </c>
      <c r="C406" s="10">
        <f t="shared" si="20"/>
        <v>23716</v>
      </c>
      <c r="D406" t="s">
        <v>11</v>
      </c>
      <c r="E406" t="s">
        <v>12</v>
      </c>
      <c r="F406" t="s">
        <v>11</v>
      </c>
      <c r="G406" t="s">
        <v>12</v>
      </c>
      <c r="H406" t="s">
        <v>11</v>
      </c>
      <c r="I406" t="s">
        <v>12</v>
      </c>
      <c r="J406" t="s">
        <v>11</v>
      </c>
      <c r="K406" t="s">
        <v>12</v>
      </c>
      <c r="L406" s="12" t="s">
        <v>126</v>
      </c>
      <c r="M406" s="12" t="s">
        <v>20</v>
      </c>
      <c r="N406" s="12" t="s">
        <v>25</v>
      </c>
      <c r="O406" s="12" t="s">
        <v>10</v>
      </c>
      <c r="P406" s="12" t="s">
        <v>215</v>
      </c>
      <c r="Q406" s="7" t="str">
        <f t="shared" si="19"/>
        <v>(1964,49,'1964.12.05',28,33,34,40,81,0),</v>
      </c>
      <c r="R406" s="7" t="str">
        <f t="shared" si="21"/>
        <v>(1964,49,'1964.12.05',28,33,34,40,81),</v>
      </c>
    </row>
    <row r="407" spans="1:18" x14ac:dyDescent="0.25">
      <c r="A407" s="7" t="s">
        <v>1972</v>
      </c>
      <c r="B407" s="8" t="s">
        <v>105</v>
      </c>
      <c r="C407" s="10">
        <f t="shared" si="20"/>
        <v>23723</v>
      </c>
      <c r="D407" t="s">
        <v>11</v>
      </c>
      <c r="E407" t="s">
        <v>12</v>
      </c>
      <c r="F407" t="s">
        <v>11</v>
      </c>
      <c r="G407" t="s">
        <v>12</v>
      </c>
      <c r="H407" t="s">
        <v>11</v>
      </c>
      <c r="I407" t="s">
        <v>12</v>
      </c>
      <c r="J407" t="s">
        <v>11</v>
      </c>
      <c r="K407" t="s">
        <v>12</v>
      </c>
      <c r="L407" s="12" t="s">
        <v>65</v>
      </c>
      <c r="M407" s="12" t="s">
        <v>90</v>
      </c>
      <c r="N407" s="12" t="s">
        <v>20</v>
      </c>
      <c r="O407" s="12" t="s">
        <v>45</v>
      </c>
      <c r="P407" s="12" t="s">
        <v>142</v>
      </c>
      <c r="Q407" s="7" t="str">
        <f t="shared" si="19"/>
        <v>(1964,50,'1964.12.12',13,17,33,43,44,0),</v>
      </c>
      <c r="R407" s="7" t="str">
        <f t="shared" si="21"/>
        <v>(1964,50,'1964.12.12',13,17,33,43,44),</v>
      </c>
    </row>
    <row r="408" spans="1:18" x14ac:dyDescent="0.25">
      <c r="A408" s="7" t="s">
        <v>1972</v>
      </c>
      <c r="B408" s="8" t="s">
        <v>122</v>
      </c>
      <c r="C408" s="10">
        <f t="shared" si="20"/>
        <v>23730</v>
      </c>
      <c r="D408" t="s">
        <v>11</v>
      </c>
      <c r="E408" t="s">
        <v>12</v>
      </c>
      <c r="F408" t="s">
        <v>11</v>
      </c>
      <c r="G408" t="s">
        <v>12</v>
      </c>
      <c r="H408" t="s">
        <v>11</v>
      </c>
      <c r="I408" t="s">
        <v>12</v>
      </c>
      <c r="J408" t="s">
        <v>11</v>
      </c>
      <c r="K408" t="s">
        <v>12</v>
      </c>
      <c r="L408" s="12" t="s">
        <v>53</v>
      </c>
      <c r="M408" s="12" t="s">
        <v>33</v>
      </c>
      <c r="N408" s="12" t="s">
        <v>142</v>
      </c>
      <c r="O408" s="12" t="s">
        <v>122</v>
      </c>
      <c r="P408" s="12" t="s">
        <v>239</v>
      </c>
      <c r="Q408" s="7" t="str">
        <f t="shared" si="19"/>
        <v>(1964,51,'1964.12.19',7,24,44,51,73,0),</v>
      </c>
      <c r="R408" s="7" t="str">
        <f t="shared" si="21"/>
        <v>(1964,51,'1964.12.19',7,24,44,51,73),</v>
      </c>
    </row>
    <row r="409" spans="1:18" x14ac:dyDescent="0.25">
      <c r="A409" s="7" t="s">
        <v>1972</v>
      </c>
      <c r="B409" s="8" t="s">
        <v>99</v>
      </c>
      <c r="C409" s="10">
        <f t="shared" si="20"/>
        <v>23737</v>
      </c>
      <c r="D409" t="s">
        <v>11</v>
      </c>
      <c r="E409" t="s">
        <v>12</v>
      </c>
      <c r="F409" t="s">
        <v>11</v>
      </c>
      <c r="G409" t="s">
        <v>12</v>
      </c>
      <c r="H409" t="s">
        <v>11</v>
      </c>
      <c r="I409" t="s">
        <v>12</v>
      </c>
      <c r="J409" t="s">
        <v>11</v>
      </c>
      <c r="K409" t="s">
        <v>12</v>
      </c>
      <c r="L409" s="12" t="s">
        <v>83</v>
      </c>
      <c r="M409" s="12" t="s">
        <v>163</v>
      </c>
      <c r="N409" s="12" t="s">
        <v>24</v>
      </c>
      <c r="O409" s="12" t="s">
        <v>105</v>
      </c>
      <c r="P409" s="12" t="s">
        <v>214</v>
      </c>
      <c r="Q409" s="7" t="str">
        <f t="shared" si="19"/>
        <v>(1964,52,'1964.12.26',11,23,39,50,64,0),</v>
      </c>
      <c r="R409" s="7" t="str">
        <f t="shared" si="21"/>
        <v>(1964,52,'1964.12.26',11,23,39,50,64),</v>
      </c>
    </row>
    <row r="410" spans="1:18" x14ac:dyDescent="0.25">
      <c r="A410" s="7" t="s">
        <v>5866</v>
      </c>
      <c r="B410" s="8" t="s">
        <v>108</v>
      </c>
      <c r="C410" s="10">
        <f t="shared" si="20"/>
        <v>23744</v>
      </c>
      <c r="D410" t="s">
        <v>11</v>
      </c>
      <c r="E410" t="s">
        <v>12</v>
      </c>
      <c r="F410" t="s">
        <v>11</v>
      </c>
      <c r="G410" t="s">
        <v>12</v>
      </c>
      <c r="H410" t="s">
        <v>11</v>
      </c>
      <c r="I410" t="s">
        <v>12</v>
      </c>
      <c r="J410" t="s">
        <v>11</v>
      </c>
      <c r="K410" t="s">
        <v>12</v>
      </c>
      <c r="L410" s="12" t="s">
        <v>207</v>
      </c>
      <c r="M410" s="12" t="s">
        <v>33</v>
      </c>
      <c r="N410" s="12" t="s">
        <v>81</v>
      </c>
      <c r="O410" s="12" t="s">
        <v>106</v>
      </c>
      <c r="P410" s="12" t="s">
        <v>63</v>
      </c>
      <c r="Q410" s="7" t="str">
        <f t="shared" si="19"/>
        <v>(1965,1,'1965.01.02',2,24,47,75,78,0),</v>
      </c>
      <c r="R410" s="7" t="str">
        <f t="shared" si="21"/>
        <v>(1965,1,'1965.01.02',2,24,47,75,78),</v>
      </c>
    </row>
    <row r="411" spans="1:18" x14ac:dyDescent="0.25">
      <c r="A411" s="7" t="s">
        <v>5866</v>
      </c>
      <c r="B411" s="8" t="s">
        <v>207</v>
      </c>
      <c r="C411" s="10">
        <f t="shared" si="20"/>
        <v>23751</v>
      </c>
      <c r="D411" t="s">
        <v>11</v>
      </c>
      <c r="E411" t="s">
        <v>12</v>
      </c>
      <c r="F411" t="s">
        <v>11</v>
      </c>
      <c r="G411" t="s">
        <v>12</v>
      </c>
      <c r="H411" t="s">
        <v>11</v>
      </c>
      <c r="I411" t="s">
        <v>12</v>
      </c>
      <c r="J411" t="s">
        <v>11</v>
      </c>
      <c r="K411" t="s">
        <v>12</v>
      </c>
      <c r="L411" s="12" t="s">
        <v>74</v>
      </c>
      <c r="M411" s="12" t="s">
        <v>134</v>
      </c>
      <c r="N411" s="12" t="s">
        <v>35</v>
      </c>
      <c r="O411" s="12" t="s">
        <v>47</v>
      </c>
      <c r="P411" s="12" t="s">
        <v>246</v>
      </c>
      <c r="Q411" s="7" t="str">
        <f t="shared" si="19"/>
        <v>(1965,2,'1965.01.09',26,56,65,69,84,0),</v>
      </c>
      <c r="R411" s="7" t="str">
        <f t="shared" si="21"/>
        <v>(1965,2,'1965.01.09',26,56,65,69,84),</v>
      </c>
    </row>
    <row r="412" spans="1:18" x14ac:dyDescent="0.25">
      <c r="A412" s="7" t="s">
        <v>5866</v>
      </c>
      <c r="B412" s="8" t="s">
        <v>42</v>
      </c>
      <c r="C412" s="10">
        <f t="shared" si="20"/>
        <v>23758</v>
      </c>
      <c r="D412" t="s">
        <v>11</v>
      </c>
      <c r="E412" t="s">
        <v>12</v>
      </c>
      <c r="F412" t="s">
        <v>11</v>
      </c>
      <c r="G412" t="s">
        <v>12</v>
      </c>
      <c r="H412" t="s">
        <v>11</v>
      </c>
      <c r="I412" t="s">
        <v>12</v>
      </c>
      <c r="J412" t="s">
        <v>11</v>
      </c>
      <c r="K412" t="s">
        <v>12</v>
      </c>
      <c r="L412" s="12" t="s">
        <v>207</v>
      </c>
      <c r="M412" s="12" t="s">
        <v>127</v>
      </c>
      <c r="N412" s="12" t="s">
        <v>71</v>
      </c>
      <c r="O412" s="12" t="s">
        <v>81</v>
      </c>
      <c r="P412" s="12" t="s">
        <v>134</v>
      </c>
      <c r="Q412" s="7" t="str">
        <f t="shared" si="19"/>
        <v>(1965,3,'1965.01.16',2,14,31,47,56,0),</v>
      </c>
      <c r="R412" s="7" t="str">
        <f t="shared" si="21"/>
        <v>(1965,3,'1965.01.16',2,14,31,47,56),</v>
      </c>
    </row>
    <row r="413" spans="1:18" x14ac:dyDescent="0.25">
      <c r="A413" s="7" t="s">
        <v>5866</v>
      </c>
      <c r="B413" s="8" t="s">
        <v>168</v>
      </c>
      <c r="C413" s="10">
        <f t="shared" si="20"/>
        <v>23765</v>
      </c>
      <c r="D413" t="s">
        <v>11</v>
      </c>
      <c r="E413" t="s">
        <v>12</v>
      </c>
      <c r="F413" t="s">
        <v>11</v>
      </c>
      <c r="G413" t="s">
        <v>12</v>
      </c>
      <c r="H413" t="s">
        <v>11</v>
      </c>
      <c r="I413" t="s">
        <v>12</v>
      </c>
      <c r="J413" t="s">
        <v>11</v>
      </c>
      <c r="K413" t="s">
        <v>12</v>
      </c>
      <c r="L413" s="12" t="s">
        <v>163</v>
      </c>
      <c r="M413" s="12" t="s">
        <v>175</v>
      </c>
      <c r="N413" s="12" t="s">
        <v>233</v>
      </c>
      <c r="O413" s="12" t="s">
        <v>72</v>
      </c>
      <c r="P413" s="12" t="s">
        <v>245</v>
      </c>
      <c r="Q413" s="7" t="str">
        <f t="shared" si="19"/>
        <v>(1965,4,'1965.01.23',23,55,66,67,74,0),</v>
      </c>
      <c r="R413" s="7" t="str">
        <f t="shared" si="21"/>
        <v>(1965,4,'1965.01.23',23,55,66,67,74),</v>
      </c>
    </row>
    <row r="414" spans="1:18" x14ac:dyDescent="0.25">
      <c r="A414" s="7" t="s">
        <v>5866</v>
      </c>
      <c r="B414" s="8" t="s">
        <v>89</v>
      </c>
      <c r="C414" s="10">
        <f t="shared" si="20"/>
        <v>23772</v>
      </c>
      <c r="D414" t="s">
        <v>11</v>
      </c>
      <c r="E414" t="s">
        <v>12</v>
      </c>
      <c r="F414" t="s">
        <v>11</v>
      </c>
      <c r="G414" t="s">
        <v>12</v>
      </c>
      <c r="H414" t="s">
        <v>11</v>
      </c>
      <c r="I414" t="s">
        <v>12</v>
      </c>
      <c r="J414" t="s">
        <v>11</v>
      </c>
      <c r="K414" t="s">
        <v>12</v>
      </c>
      <c r="L414" s="12" t="s">
        <v>89</v>
      </c>
      <c r="M414" s="12" t="s">
        <v>31</v>
      </c>
      <c r="N414" s="12" t="s">
        <v>21</v>
      </c>
      <c r="O414" s="12" t="s">
        <v>106</v>
      </c>
      <c r="P414" s="12" t="s">
        <v>151</v>
      </c>
      <c r="Q414" s="7" t="str">
        <f t="shared" si="19"/>
        <v>(1965,5,'1965.01.30',5,12,36,75,79,0),</v>
      </c>
      <c r="R414" s="7" t="str">
        <f t="shared" si="21"/>
        <v>(1965,5,'1965.01.30',5,12,36,75,79),</v>
      </c>
    </row>
    <row r="415" spans="1:18" x14ac:dyDescent="0.25">
      <c r="A415" s="7" t="s">
        <v>5866</v>
      </c>
      <c r="B415" s="8" t="s">
        <v>270</v>
      </c>
      <c r="C415" s="10">
        <f t="shared" si="20"/>
        <v>23779</v>
      </c>
      <c r="D415" t="s">
        <v>11</v>
      </c>
      <c r="E415" t="s">
        <v>12</v>
      </c>
      <c r="F415" t="s">
        <v>11</v>
      </c>
      <c r="G415" t="s">
        <v>12</v>
      </c>
      <c r="H415" t="s">
        <v>11</v>
      </c>
      <c r="I415" t="s">
        <v>12</v>
      </c>
      <c r="J415" t="s">
        <v>11</v>
      </c>
      <c r="K415" t="s">
        <v>12</v>
      </c>
      <c r="L415" s="12" t="s">
        <v>53</v>
      </c>
      <c r="M415" s="12" t="s">
        <v>115</v>
      </c>
      <c r="N415" s="12" t="s">
        <v>25</v>
      </c>
      <c r="O415" s="12" t="s">
        <v>72</v>
      </c>
      <c r="P415" s="12" t="s">
        <v>73</v>
      </c>
      <c r="Q415" s="7" t="str">
        <f t="shared" si="19"/>
        <v>(1965,6,'1965.02.06',7,20,34,67,76,0),</v>
      </c>
      <c r="R415" s="7" t="str">
        <f t="shared" si="21"/>
        <v>(1965,6,'1965.02.06',7,20,34,67,76),</v>
      </c>
    </row>
    <row r="416" spans="1:18" x14ac:dyDescent="0.25">
      <c r="A416" s="7" t="s">
        <v>5866</v>
      </c>
      <c r="B416" s="8" t="s">
        <v>53</v>
      </c>
      <c r="C416" s="10">
        <f t="shared" si="20"/>
        <v>23786</v>
      </c>
      <c r="D416" t="s">
        <v>11</v>
      </c>
      <c r="E416" t="s">
        <v>12</v>
      </c>
      <c r="F416" t="s">
        <v>11</v>
      </c>
      <c r="G416" t="s">
        <v>12</v>
      </c>
      <c r="H416" t="s">
        <v>11</v>
      </c>
      <c r="I416" t="s">
        <v>12</v>
      </c>
      <c r="J416" t="s">
        <v>11</v>
      </c>
      <c r="K416" t="s">
        <v>12</v>
      </c>
      <c r="L416" s="12" t="s">
        <v>42</v>
      </c>
      <c r="M416" s="12" t="s">
        <v>43</v>
      </c>
      <c r="N416" s="12" t="s">
        <v>25</v>
      </c>
      <c r="O416" s="12" t="s">
        <v>192</v>
      </c>
      <c r="P416" s="12" t="s">
        <v>379</v>
      </c>
      <c r="Q416" s="7" t="str">
        <f t="shared" si="19"/>
        <v>(1965,7,'1965.02.13',3,16,34,46,89,0),</v>
      </c>
      <c r="R416" s="7" t="str">
        <f t="shared" si="21"/>
        <v>(1965,7,'1965.02.13',3,16,34,46,89),</v>
      </c>
    </row>
    <row r="417" spans="1:18" x14ac:dyDescent="0.25">
      <c r="A417" s="7" t="s">
        <v>5866</v>
      </c>
      <c r="B417" s="8" t="s">
        <v>232</v>
      </c>
      <c r="C417" s="10">
        <f t="shared" si="20"/>
        <v>23793</v>
      </c>
      <c r="D417" t="s">
        <v>11</v>
      </c>
      <c r="E417" t="s">
        <v>12</v>
      </c>
      <c r="F417" t="s">
        <v>11</v>
      </c>
      <c r="G417" t="s">
        <v>12</v>
      </c>
      <c r="H417" t="s">
        <v>11</v>
      </c>
      <c r="I417" t="s">
        <v>12</v>
      </c>
      <c r="J417" t="s">
        <v>11</v>
      </c>
      <c r="K417" t="s">
        <v>12</v>
      </c>
      <c r="L417" s="12" t="s">
        <v>36</v>
      </c>
      <c r="M417" s="12" t="s">
        <v>13</v>
      </c>
      <c r="N417" s="12" t="s">
        <v>122</v>
      </c>
      <c r="O417" s="12" t="s">
        <v>125</v>
      </c>
      <c r="P417" s="12" t="s">
        <v>468</v>
      </c>
      <c r="Q417" s="7" t="str">
        <f t="shared" si="19"/>
        <v>(1965,8,'1965.02.20',38,41,51,83,85,0),</v>
      </c>
      <c r="R417" s="7" t="str">
        <f t="shared" si="21"/>
        <v>(1965,8,'1965.02.20',38,41,51,83,85),</v>
      </c>
    </row>
    <row r="418" spans="1:18" x14ac:dyDescent="0.25">
      <c r="A418" s="7" t="s">
        <v>5866</v>
      </c>
      <c r="B418" s="8" t="s">
        <v>198</v>
      </c>
      <c r="C418" s="10">
        <f t="shared" si="20"/>
        <v>23800</v>
      </c>
      <c r="D418" t="s">
        <v>11</v>
      </c>
      <c r="E418" t="s">
        <v>12</v>
      </c>
      <c r="F418" t="s">
        <v>11</v>
      </c>
      <c r="G418" t="s">
        <v>12</v>
      </c>
      <c r="H418" t="s">
        <v>11</v>
      </c>
      <c r="I418" t="s">
        <v>12</v>
      </c>
      <c r="J418" t="s">
        <v>11</v>
      </c>
      <c r="K418" t="s">
        <v>12</v>
      </c>
      <c r="L418" s="12" t="s">
        <v>163</v>
      </c>
      <c r="M418" s="12" t="s">
        <v>24</v>
      </c>
      <c r="N418" s="12" t="s">
        <v>45</v>
      </c>
      <c r="O418" s="12" t="s">
        <v>133</v>
      </c>
      <c r="P418" s="12" t="s">
        <v>301</v>
      </c>
      <c r="Q418" s="7" t="str">
        <f t="shared" si="19"/>
        <v>(1965,9,'1965.02.27',23,39,43,45,80,0),</v>
      </c>
      <c r="R418" s="7" t="str">
        <f t="shared" si="21"/>
        <v>(1965,9,'1965.02.27',23,39,43,45,80),</v>
      </c>
    </row>
    <row r="419" spans="1:18" x14ac:dyDescent="0.25">
      <c r="A419" s="7" t="s">
        <v>5866</v>
      </c>
      <c r="B419" s="8" t="s">
        <v>62</v>
      </c>
      <c r="C419" s="10">
        <f t="shared" si="20"/>
        <v>23807</v>
      </c>
      <c r="D419" t="s">
        <v>11</v>
      </c>
      <c r="E419" t="s">
        <v>12</v>
      </c>
      <c r="F419" t="s">
        <v>11</v>
      </c>
      <c r="G419" t="s">
        <v>12</v>
      </c>
      <c r="H419" t="s">
        <v>11</v>
      </c>
      <c r="I419" t="s">
        <v>12</v>
      </c>
      <c r="J419" t="s">
        <v>11</v>
      </c>
      <c r="K419" t="s">
        <v>12</v>
      </c>
      <c r="L419" s="12" t="s">
        <v>168</v>
      </c>
      <c r="M419" s="12" t="s">
        <v>74</v>
      </c>
      <c r="N419" s="12" t="s">
        <v>124</v>
      </c>
      <c r="O419" s="12" t="s">
        <v>239</v>
      </c>
      <c r="P419" s="12" t="s">
        <v>308</v>
      </c>
      <c r="Q419" s="7" t="str">
        <f t="shared" si="19"/>
        <v>(1965,10,'1965.03.06',4,26,62,73,86,0),</v>
      </c>
      <c r="R419" s="7" t="str">
        <f t="shared" si="21"/>
        <v>(1965,10,'1965.03.06',4,26,62,73,86),</v>
      </c>
    </row>
    <row r="420" spans="1:18" x14ac:dyDescent="0.25">
      <c r="A420" s="7" t="s">
        <v>5866</v>
      </c>
      <c r="B420" s="8" t="s">
        <v>83</v>
      </c>
      <c r="C420" s="10">
        <f t="shared" si="20"/>
        <v>23814</v>
      </c>
      <c r="D420" t="s">
        <v>11</v>
      </c>
      <c r="E420" t="s">
        <v>12</v>
      </c>
      <c r="F420" t="s">
        <v>11</v>
      </c>
      <c r="G420" t="s">
        <v>12</v>
      </c>
      <c r="H420" t="s">
        <v>11</v>
      </c>
      <c r="I420" t="s">
        <v>12</v>
      </c>
      <c r="J420" t="s">
        <v>11</v>
      </c>
      <c r="K420" t="s">
        <v>12</v>
      </c>
      <c r="L420" s="12" t="s">
        <v>54</v>
      </c>
      <c r="M420" s="12" t="s">
        <v>45</v>
      </c>
      <c r="N420" s="12" t="s">
        <v>124</v>
      </c>
      <c r="O420" s="12" t="s">
        <v>233</v>
      </c>
      <c r="P420" s="12" t="s">
        <v>200</v>
      </c>
      <c r="Q420" s="7" t="str">
        <f t="shared" si="19"/>
        <v>(1965,11,'1965.03.13',15,43,62,66,70,0),</v>
      </c>
      <c r="R420" s="7" t="str">
        <f t="shared" si="21"/>
        <v>(1965,11,'1965.03.13',15,43,62,66,70),</v>
      </c>
    </row>
    <row r="421" spans="1:18" x14ac:dyDescent="0.25">
      <c r="A421" s="7" t="s">
        <v>5866</v>
      </c>
      <c r="B421" s="8" t="s">
        <v>31</v>
      </c>
      <c r="C421" s="10">
        <f t="shared" si="20"/>
        <v>23821</v>
      </c>
      <c r="D421" t="s">
        <v>11</v>
      </c>
      <c r="E421" t="s">
        <v>12</v>
      </c>
      <c r="F421" t="s">
        <v>11</v>
      </c>
      <c r="G421" t="s">
        <v>12</v>
      </c>
      <c r="H421" t="s">
        <v>11</v>
      </c>
      <c r="I421" t="s">
        <v>12</v>
      </c>
      <c r="J421" t="s">
        <v>11</v>
      </c>
      <c r="K421" t="s">
        <v>12</v>
      </c>
      <c r="L421" s="12" t="s">
        <v>168</v>
      </c>
      <c r="M421" s="12" t="s">
        <v>44</v>
      </c>
      <c r="N421" s="12" t="s">
        <v>122</v>
      </c>
      <c r="O421" s="12" t="s">
        <v>246</v>
      </c>
      <c r="P421" s="12" t="s">
        <v>186</v>
      </c>
      <c r="Q421" s="7" t="str">
        <f t="shared" si="19"/>
        <v>(1965,12,'1965.03.20',4,21,51,84,90,0),</v>
      </c>
      <c r="R421" s="7" t="str">
        <f t="shared" si="21"/>
        <v>(1965,12,'1965.03.20',4,21,51,84,90),</v>
      </c>
    </row>
    <row r="422" spans="1:18" x14ac:dyDescent="0.25">
      <c r="A422" s="7" t="s">
        <v>5866</v>
      </c>
      <c r="B422" s="8" t="s">
        <v>65</v>
      </c>
      <c r="C422" s="10">
        <f t="shared" si="20"/>
        <v>23828</v>
      </c>
      <c r="D422" t="s">
        <v>11</v>
      </c>
      <c r="E422" t="s">
        <v>12</v>
      </c>
      <c r="F422" t="s">
        <v>11</v>
      </c>
      <c r="G422" t="s">
        <v>12</v>
      </c>
      <c r="H422" t="s">
        <v>11</v>
      </c>
      <c r="I422" t="s">
        <v>12</v>
      </c>
      <c r="J422" t="s">
        <v>11</v>
      </c>
      <c r="K422" t="s">
        <v>12</v>
      </c>
      <c r="L422" s="12" t="s">
        <v>270</v>
      </c>
      <c r="M422" s="12" t="s">
        <v>107</v>
      </c>
      <c r="N422" s="12" t="s">
        <v>25</v>
      </c>
      <c r="O422" s="12" t="s">
        <v>21</v>
      </c>
      <c r="P422" s="12" t="s">
        <v>214</v>
      </c>
      <c r="Q422" s="7" t="str">
        <f t="shared" si="19"/>
        <v>(1965,13,'1965.03.27',6,30,34,36,64,0),</v>
      </c>
      <c r="R422" s="7" t="str">
        <f t="shared" si="21"/>
        <v>(1965,13,'1965.03.27',6,30,34,36,64),</v>
      </c>
    </row>
    <row r="423" spans="1:18" x14ac:dyDescent="0.25">
      <c r="A423" s="7" t="s">
        <v>5866</v>
      </c>
      <c r="B423" s="8" t="s">
        <v>127</v>
      </c>
      <c r="C423" s="10">
        <f t="shared" si="20"/>
        <v>23835</v>
      </c>
      <c r="D423" t="s">
        <v>11</v>
      </c>
      <c r="E423" t="s">
        <v>12</v>
      </c>
      <c r="F423" t="s">
        <v>11</v>
      </c>
      <c r="G423" t="s">
        <v>12</v>
      </c>
      <c r="H423" t="s">
        <v>11</v>
      </c>
      <c r="I423" t="s">
        <v>12</v>
      </c>
      <c r="J423" t="s">
        <v>11</v>
      </c>
      <c r="K423" t="s">
        <v>12</v>
      </c>
      <c r="L423" s="12" t="s">
        <v>108</v>
      </c>
      <c r="M423" s="12" t="s">
        <v>42</v>
      </c>
      <c r="N423" s="12" t="s">
        <v>23</v>
      </c>
      <c r="O423" s="12" t="s">
        <v>106</v>
      </c>
      <c r="P423" s="12" t="s">
        <v>215</v>
      </c>
      <c r="Q423" s="7" t="str">
        <f t="shared" si="19"/>
        <v>(1965,14,'1965.04.03',1,3,60,75,81,0),</v>
      </c>
      <c r="R423" s="7" t="str">
        <f t="shared" si="21"/>
        <v>(1965,14,'1965.04.03',1,3,60,75,81),</v>
      </c>
    </row>
    <row r="424" spans="1:18" x14ac:dyDescent="0.25">
      <c r="A424" s="7" t="s">
        <v>5866</v>
      </c>
      <c r="B424" s="8" t="s">
        <v>54</v>
      </c>
      <c r="C424" s="10">
        <f t="shared" si="20"/>
        <v>23842</v>
      </c>
      <c r="D424" t="s">
        <v>11</v>
      </c>
      <c r="E424" t="s">
        <v>12</v>
      </c>
      <c r="F424" t="s">
        <v>11</v>
      </c>
      <c r="G424" t="s">
        <v>12</v>
      </c>
      <c r="H424" t="s">
        <v>11</v>
      </c>
      <c r="I424" t="s">
        <v>12</v>
      </c>
      <c r="J424" t="s">
        <v>11</v>
      </c>
      <c r="K424" t="s">
        <v>12</v>
      </c>
      <c r="L424" s="12" t="s">
        <v>54</v>
      </c>
      <c r="M424" s="12" t="s">
        <v>33</v>
      </c>
      <c r="N424" s="12" t="s">
        <v>71</v>
      </c>
      <c r="O424" s="12" t="s">
        <v>21</v>
      </c>
      <c r="P424" s="12" t="s">
        <v>143</v>
      </c>
      <c r="Q424" s="7" t="str">
        <f t="shared" si="19"/>
        <v>(1965,15,'1965.04.10',15,24,31,36,77,0),</v>
      </c>
      <c r="R424" s="7" t="str">
        <f t="shared" si="21"/>
        <v>(1965,15,'1965.04.10',15,24,31,36,77),</v>
      </c>
    </row>
    <row r="425" spans="1:18" x14ac:dyDescent="0.25">
      <c r="A425" s="7" t="s">
        <v>5866</v>
      </c>
      <c r="B425" s="8" t="s">
        <v>43</v>
      </c>
      <c r="C425" s="10">
        <f t="shared" si="20"/>
        <v>23849</v>
      </c>
      <c r="D425" t="s">
        <v>11</v>
      </c>
      <c r="E425" t="s">
        <v>12</v>
      </c>
      <c r="F425" t="s">
        <v>11</v>
      </c>
      <c r="G425" t="s">
        <v>12</v>
      </c>
      <c r="H425" t="s">
        <v>11</v>
      </c>
      <c r="I425" t="s">
        <v>12</v>
      </c>
      <c r="J425" t="s">
        <v>11</v>
      </c>
      <c r="K425" t="s">
        <v>12</v>
      </c>
      <c r="L425" s="12" t="s">
        <v>65</v>
      </c>
      <c r="M425" s="12" t="s">
        <v>163</v>
      </c>
      <c r="N425" s="12" t="s">
        <v>72</v>
      </c>
      <c r="O425" s="12" t="s">
        <v>143</v>
      </c>
      <c r="P425" s="12" t="s">
        <v>125</v>
      </c>
      <c r="Q425" s="7" t="str">
        <f t="shared" si="19"/>
        <v>(1965,16,'1965.04.17',13,23,67,77,83,0),</v>
      </c>
      <c r="R425" s="7" t="str">
        <f t="shared" si="21"/>
        <v>(1965,16,'1965.04.17',13,23,67,77,83),</v>
      </c>
    </row>
    <row r="426" spans="1:18" x14ac:dyDescent="0.25">
      <c r="A426" s="7" t="s">
        <v>5866</v>
      </c>
      <c r="B426" s="8" t="s">
        <v>90</v>
      </c>
      <c r="C426" s="10">
        <f t="shared" si="20"/>
        <v>23856</v>
      </c>
      <c r="D426" t="s">
        <v>11</v>
      </c>
      <c r="E426" t="s">
        <v>12</v>
      </c>
      <c r="F426" t="s">
        <v>11</v>
      </c>
      <c r="G426" t="s">
        <v>12</v>
      </c>
      <c r="H426" t="s">
        <v>11</v>
      </c>
      <c r="I426" t="s">
        <v>12</v>
      </c>
      <c r="J426" t="s">
        <v>11</v>
      </c>
      <c r="K426" t="s">
        <v>12</v>
      </c>
      <c r="L426" s="12" t="s">
        <v>127</v>
      </c>
      <c r="M426" s="12" t="s">
        <v>24</v>
      </c>
      <c r="N426" s="12" t="s">
        <v>142</v>
      </c>
      <c r="O426" s="12" t="s">
        <v>22</v>
      </c>
      <c r="P426" s="12" t="s">
        <v>23</v>
      </c>
      <c r="Q426" s="7" t="str">
        <f t="shared" si="19"/>
        <v>(1965,17,'1965.04.24',14,39,44,48,60,0),</v>
      </c>
      <c r="R426" s="7" t="str">
        <f t="shared" si="21"/>
        <v>(1965,17,'1965.04.24',14,39,44,48,60),</v>
      </c>
    </row>
    <row r="427" spans="1:18" x14ac:dyDescent="0.25">
      <c r="A427" s="7" t="s">
        <v>5866</v>
      </c>
      <c r="B427" s="8" t="s">
        <v>19</v>
      </c>
      <c r="C427" s="10">
        <f t="shared" si="20"/>
        <v>23863</v>
      </c>
      <c r="D427" t="s">
        <v>11</v>
      </c>
      <c r="E427" t="s">
        <v>12</v>
      </c>
      <c r="F427" t="s">
        <v>11</v>
      </c>
      <c r="G427" t="s">
        <v>12</v>
      </c>
      <c r="H427" t="s">
        <v>11</v>
      </c>
      <c r="I427" t="s">
        <v>12</v>
      </c>
      <c r="J427" t="s">
        <v>11</v>
      </c>
      <c r="K427" t="s">
        <v>12</v>
      </c>
      <c r="L427" s="12" t="s">
        <v>54</v>
      </c>
      <c r="M427" s="12" t="s">
        <v>55</v>
      </c>
      <c r="N427" s="12" t="s">
        <v>116</v>
      </c>
      <c r="O427" s="12" t="s">
        <v>81</v>
      </c>
      <c r="P427" s="12" t="s">
        <v>214</v>
      </c>
      <c r="Q427" s="7" t="str">
        <f t="shared" si="19"/>
        <v>(1965,18,'1965.05.01',15,19,29,47,64,0),</v>
      </c>
      <c r="R427" s="7" t="str">
        <f t="shared" si="21"/>
        <v>(1965,18,'1965.05.01',15,19,29,47,64),</v>
      </c>
    </row>
    <row r="428" spans="1:18" x14ac:dyDescent="0.25">
      <c r="A428" s="7" t="s">
        <v>5866</v>
      </c>
      <c r="B428" s="8" t="s">
        <v>55</v>
      </c>
      <c r="C428" s="10">
        <f t="shared" si="20"/>
        <v>23870</v>
      </c>
      <c r="D428" t="s">
        <v>11</v>
      </c>
      <c r="E428" t="s">
        <v>12</v>
      </c>
      <c r="F428" t="s">
        <v>11</v>
      </c>
      <c r="G428" t="s">
        <v>12</v>
      </c>
      <c r="H428" t="s">
        <v>11</v>
      </c>
      <c r="I428" t="s">
        <v>12</v>
      </c>
      <c r="J428" t="s">
        <v>11</v>
      </c>
      <c r="K428" t="s">
        <v>12</v>
      </c>
      <c r="L428" s="12" t="s">
        <v>135</v>
      </c>
      <c r="M428" s="12" t="s">
        <v>64</v>
      </c>
      <c r="N428" s="12" t="s">
        <v>34</v>
      </c>
      <c r="O428" s="12" t="s">
        <v>105</v>
      </c>
      <c r="P428" s="12" t="s">
        <v>245</v>
      </c>
      <c r="Q428" s="7" t="str">
        <f t="shared" si="19"/>
        <v>(1965,19,'1965.05.08',27,35,49,50,74,0),</v>
      </c>
      <c r="R428" s="7" t="str">
        <f t="shared" si="21"/>
        <v>(1965,19,'1965.05.08',27,35,49,50,74),</v>
      </c>
    </row>
    <row r="429" spans="1:18" x14ac:dyDescent="0.25">
      <c r="A429" s="7" t="s">
        <v>5866</v>
      </c>
      <c r="B429" s="8" t="s">
        <v>115</v>
      </c>
      <c r="C429" s="10">
        <f t="shared" si="20"/>
        <v>23877</v>
      </c>
      <c r="D429" t="s">
        <v>11</v>
      </c>
      <c r="E429" t="s">
        <v>12</v>
      </c>
      <c r="F429" t="s">
        <v>11</v>
      </c>
      <c r="G429" t="s">
        <v>12</v>
      </c>
      <c r="H429" t="s">
        <v>11</v>
      </c>
      <c r="I429" t="s">
        <v>12</v>
      </c>
      <c r="J429" t="s">
        <v>11</v>
      </c>
      <c r="K429" t="s">
        <v>12</v>
      </c>
      <c r="L429" s="12" t="s">
        <v>31</v>
      </c>
      <c r="M429" s="12" t="s">
        <v>127</v>
      </c>
      <c r="N429" s="12" t="s">
        <v>36</v>
      </c>
      <c r="O429" s="12" t="s">
        <v>248</v>
      </c>
      <c r="P429" s="12" t="s">
        <v>201</v>
      </c>
      <c r="Q429" s="7" t="str">
        <f t="shared" si="19"/>
        <v>(1965,20,'1965.05.15',12,14,38,63,72,0),</v>
      </c>
      <c r="R429" s="7" t="str">
        <f t="shared" si="21"/>
        <v>(1965,20,'1965.05.15',12,14,38,63,72),</v>
      </c>
    </row>
    <row r="430" spans="1:18" x14ac:dyDescent="0.25">
      <c r="A430" s="7" t="s">
        <v>5866</v>
      </c>
      <c r="B430" s="8" t="s">
        <v>44</v>
      </c>
      <c r="C430" s="10">
        <f t="shared" si="20"/>
        <v>23884</v>
      </c>
      <c r="D430" t="s">
        <v>11</v>
      </c>
      <c r="E430" t="s">
        <v>12</v>
      </c>
      <c r="F430" t="s">
        <v>11</v>
      </c>
      <c r="G430" t="s">
        <v>12</v>
      </c>
      <c r="H430" t="s">
        <v>11</v>
      </c>
      <c r="I430" t="s">
        <v>12</v>
      </c>
      <c r="J430" t="s">
        <v>11</v>
      </c>
      <c r="K430" t="s">
        <v>12</v>
      </c>
      <c r="L430" s="12" t="s">
        <v>198</v>
      </c>
      <c r="M430" s="12" t="s">
        <v>25</v>
      </c>
      <c r="N430" s="12" t="s">
        <v>22</v>
      </c>
      <c r="O430" s="12" t="s">
        <v>175</v>
      </c>
      <c r="P430" s="12" t="s">
        <v>35</v>
      </c>
      <c r="Q430" s="7" t="str">
        <f t="shared" si="19"/>
        <v>(1965,21,'1965.05.22',9,34,48,55,65,0),</v>
      </c>
      <c r="R430" s="7" t="str">
        <f t="shared" si="21"/>
        <v>(1965,21,'1965.05.22',9,34,48,55,65),</v>
      </c>
    </row>
    <row r="431" spans="1:18" x14ac:dyDescent="0.25">
      <c r="A431" s="7" t="s">
        <v>5866</v>
      </c>
      <c r="B431" s="8" t="s">
        <v>32</v>
      </c>
      <c r="C431" s="10">
        <f t="shared" si="20"/>
        <v>23891</v>
      </c>
      <c r="D431" t="s">
        <v>11</v>
      </c>
      <c r="E431" t="s">
        <v>12</v>
      </c>
      <c r="F431" t="s">
        <v>11</v>
      </c>
      <c r="G431" t="s">
        <v>12</v>
      </c>
      <c r="H431" t="s">
        <v>11</v>
      </c>
      <c r="I431" t="s">
        <v>12</v>
      </c>
      <c r="J431" t="s">
        <v>11</v>
      </c>
      <c r="K431" t="s">
        <v>12</v>
      </c>
      <c r="L431" s="12" t="s">
        <v>198</v>
      </c>
      <c r="M431" s="12" t="s">
        <v>65</v>
      </c>
      <c r="N431" s="12" t="s">
        <v>175</v>
      </c>
      <c r="O431" s="12" t="s">
        <v>233</v>
      </c>
      <c r="P431" s="12" t="s">
        <v>47</v>
      </c>
      <c r="Q431" s="7" t="str">
        <f t="shared" si="19"/>
        <v>(1965,22,'1965.05.29',9,13,55,66,69,0),</v>
      </c>
      <c r="R431" s="7" t="str">
        <f t="shared" si="21"/>
        <v>(1965,22,'1965.05.29',9,13,55,66,69),</v>
      </c>
    </row>
    <row r="432" spans="1:18" x14ac:dyDescent="0.25">
      <c r="A432" s="7" t="s">
        <v>5866</v>
      </c>
      <c r="B432" s="8" t="s">
        <v>163</v>
      </c>
      <c r="C432" s="10">
        <f t="shared" si="20"/>
        <v>23898</v>
      </c>
      <c r="D432" t="s">
        <v>11</v>
      </c>
      <c r="E432" t="s">
        <v>12</v>
      </c>
      <c r="F432" t="s">
        <v>11</v>
      </c>
      <c r="G432" t="s">
        <v>12</v>
      </c>
      <c r="H432" t="s">
        <v>11</v>
      </c>
      <c r="I432" t="s">
        <v>12</v>
      </c>
      <c r="J432" t="s">
        <v>11</v>
      </c>
      <c r="K432" t="s">
        <v>12</v>
      </c>
      <c r="L432" s="12" t="s">
        <v>83</v>
      </c>
      <c r="M432" s="12" t="s">
        <v>133</v>
      </c>
      <c r="N432" s="12" t="s">
        <v>122</v>
      </c>
      <c r="O432" s="12" t="s">
        <v>248</v>
      </c>
      <c r="P432" s="12" t="s">
        <v>35</v>
      </c>
      <c r="Q432" s="7" t="str">
        <f t="shared" si="19"/>
        <v>(1965,23,'1965.06.05',11,45,51,63,65,0),</v>
      </c>
      <c r="R432" s="7" t="str">
        <f t="shared" si="21"/>
        <v>(1965,23,'1965.06.05',11,45,51,63,65),</v>
      </c>
    </row>
    <row r="433" spans="1:18" x14ac:dyDescent="0.25">
      <c r="A433" s="7" t="s">
        <v>5866</v>
      </c>
      <c r="B433" s="8" t="s">
        <v>33</v>
      </c>
      <c r="C433" s="10">
        <f t="shared" si="20"/>
        <v>23905</v>
      </c>
      <c r="D433" t="s">
        <v>11</v>
      </c>
      <c r="E433" t="s">
        <v>12</v>
      </c>
      <c r="F433" t="s">
        <v>11</v>
      </c>
      <c r="G433" t="s">
        <v>12</v>
      </c>
      <c r="H433" t="s">
        <v>11</v>
      </c>
      <c r="I433" t="s">
        <v>12</v>
      </c>
      <c r="J433" t="s">
        <v>11</v>
      </c>
      <c r="K433" t="s">
        <v>12</v>
      </c>
      <c r="L433" s="12" t="s">
        <v>31</v>
      </c>
      <c r="M433" s="12" t="s">
        <v>126</v>
      </c>
      <c r="N433" s="12" t="s">
        <v>133</v>
      </c>
      <c r="O433" s="12" t="s">
        <v>124</v>
      </c>
      <c r="P433" s="12" t="s">
        <v>92</v>
      </c>
      <c r="Q433" s="7" t="str">
        <f t="shared" si="19"/>
        <v>(1965,24,'1965.06.12',12,28,45,62,68,0),</v>
      </c>
      <c r="R433" s="7" t="str">
        <f t="shared" si="21"/>
        <v>(1965,24,'1965.06.12',12,28,45,62,68),</v>
      </c>
    </row>
    <row r="434" spans="1:18" x14ac:dyDescent="0.25">
      <c r="A434" s="7" t="s">
        <v>5866</v>
      </c>
      <c r="B434" s="8" t="s">
        <v>152</v>
      </c>
      <c r="C434" s="10">
        <f t="shared" si="20"/>
        <v>23912</v>
      </c>
      <c r="D434" t="s">
        <v>11</v>
      </c>
      <c r="E434" t="s">
        <v>12</v>
      </c>
      <c r="F434" t="s">
        <v>11</v>
      </c>
      <c r="G434" t="s">
        <v>12</v>
      </c>
      <c r="H434" t="s">
        <v>11</v>
      </c>
      <c r="I434" t="s">
        <v>12</v>
      </c>
      <c r="J434" t="s">
        <v>11</v>
      </c>
      <c r="K434" t="s">
        <v>12</v>
      </c>
      <c r="L434" s="12" t="s">
        <v>55</v>
      </c>
      <c r="M434" s="12" t="s">
        <v>91</v>
      </c>
      <c r="N434" s="12" t="s">
        <v>124</v>
      </c>
      <c r="O434" s="12" t="s">
        <v>245</v>
      </c>
      <c r="P434" s="12" t="s">
        <v>622</v>
      </c>
      <c r="Q434" s="7" t="str">
        <f t="shared" si="19"/>
        <v>(1965,25,'1965.06.19',19,61,62,74,82,0),</v>
      </c>
      <c r="R434" s="7" t="str">
        <f t="shared" si="21"/>
        <v>(1965,25,'1965.06.19',19,61,62,74,82),</v>
      </c>
    </row>
    <row r="435" spans="1:18" x14ac:dyDescent="0.25">
      <c r="A435" s="7" t="s">
        <v>5866</v>
      </c>
      <c r="B435" s="8" t="s">
        <v>74</v>
      </c>
      <c r="C435" s="10">
        <f t="shared" si="20"/>
        <v>23919</v>
      </c>
      <c r="D435" t="s">
        <v>11</v>
      </c>
      <c r="E435" t="s">
        <v>12</v>
      </c>
      <c r="F435" t="s">
        <v>11</v>
      </c>
      <c r="G435" t="s">
        <v>12</v>
      </c>
      <c r="H435" t="s">
        <v>11</v>
      </c>
      <c r="I435" t="s">
        <v>12</v>
      </c>
      <c r="J435" t="s">
        <v>11</v>
      </c>
      <c r="K435" t="s">
        <v>12</v>
      </c>
      <c r="L435" s="12" t="s">
        <v>42</v>
      </c>
      <c r="M435" s="12" t="s">
        <v>116</v>
      </c>
      <c r="N435" s="12" t="s">
        <v>25</v>
      </c>
      <c r="O435" s="12" t="s">
        <v>91</v>
      </c>
      <c r="P435" s="12" t="s">
        <v>124</v>
      </c>
      <c r="Q435" s="7" t="str">
        <f t="shared" si="19"/>
        <v>(1965,26,'1965.06.26',3,29,34,61,62,0),</v>
      </c>
      <c r="R435" s="7" t="str">
        <f t="shared" si="21"/>
        <v>(1965,26,'1965.06.26',3,29,34,61,62),</v>
      </c>
    </row>
    <row r="436" spans="1:18" x14ac:dyDescent="0.25">
      <c r="A436" s="7" t="s">
        <v>5866</v>
      </c>
      <c r="B436" s="8" t="s">
        <v>135</v>
      </c>
      <c r="C436" s="10">
        <f t="shared" si="20"/>
        <v>23926</v>
      </c>
      <c r="D436" t="s">
        <v>11</v>
      </c>
      <c r="E436" t="s">
        <v>12</v>
      </c>
      <c r="F436" t="s">
        <v>11</v>
      </c>
      <c r="G436" t="s">
        <v>12</v>
      </c>
      <c r="H436" t="s">
        <v>11</v>
      </c>
      <c r="I436" t="s">
        <v>12</v>
      </c>
      <c r="J436" t="s">
        <v>11</v>
      </c>
      <c r="K436" t="s">
        <v>12</v>
      </c>
      <c r="L436" s="12" t="s">
        <v>90</v>
      </c>
      <c r="M436" s="12" t="s">
        <v>44</v>
      </c>
      <c r="N436" s="12" t="s">
        <v>116</v>
      </c>
      <c r="O436" s="12" t="s">
        <v>82</v>
      </c>
      <c r="P436" s="12" t="s">
        <v>233</v>
      </c>
      <c r="Q436" s="7" t="str">
        <f t="shared" si="19"/>
        <v>(1965,27,'1965.07.03',17,21,29,59,66,0),</v>
      </c>
      <c r="R436" s="7" t="str">
        <f t="shared" si="21"/>
        <v>(1965,27,'1965.07.03',17,21,29,59,66),</v>
      </c>
    </row>
    <row r="437" spans="1:18" x14ac:dyDescent="0.25">
      <c r="A437" s="7" t="s">
        <v>5866</v>
      </c>
      <c r="B437" s="8" t="s">
        <v>126</v>
      </c>
      <c r="C437" s="10">
        <f t="shared" si="20"/>
        <v>23933</v>
      </c>
      <c r="D437" t="s">
        <v>11</v>
      </c>
      <c r="E437" t="s">
        <v>12</v>
      </c>
      <c r="F437" t="s">
        <v>11</v>
      </c>
      <c r="G437" t="s">
        <v>12</v>
      </c>
      <c r="H437" t="s">
        <v>11</v>
      </c>
      <c r="I437" t="s">
        <v>12</v>
      </c>
      <c r="J437" t="s">
        <v>11</v>
      </c>
      <c r="K437" t="s">
        <v>12</v>
      </c>
      <c r="L437" s="12" t="s">
        <v>232</v>
      </c>
      <c r="M437" s="12" t="s">
        <v>44</v>
      </c>
      <c r="N437" s="12" t="s">
        <v>91</v>
      </c>
      <c r="O437" s="12" t="s">
        <v>35</v>
      </c>
      <c r="P437" s="12" t="s">
        <v>73</v>
      </c>
      <c r="Q437" s="7" t="str">
        <f t="shared" si="19"/>
        <v>(1965,28,'1965.07.10',8,21,61,65,76,0),</v>
      </c>
      <c r="R437" s="7" t="str">
        <f t="shared" si="21"/>
        <v>(1965,28,'1965.07.10',8,21,61,65,76),</v>
      </c>
    </row>
    <row r="438" spans="1:18" x14ac:dyDescent="0.25">
      <c r="A438" s="7" t="s">
        <v>5866</v>
      </c>
      <c r="B438" s="8" t="s">
        <v>116</v>
      </c>
      <c r="C438" s="10">
        <f t="shared" si="20"/>
        <v>23940</v>
      </c>
      <c r="D438" t="s">
        <v>11</v>
      </c>
      <c r="E438" t="s">
        <v>12</v>
      </c>
      <c r="F438" t="s">
        <v>11</v>
      </c>
      <c r="G438" t="s">
        <v>12</v>
      </c>
      <c r="H438" t="s">
        <v>11</v>
      </c>
      <c r="I438" t="s">
        <v>12</v>
      </c>
      <c r="J438" t="s">
        <v>11</v>
      </c>
      <c r="K438" t="s">
        <v>12</v>
      </c>
      <c r="L438" s="12" t="s">
        <v>25</v>
      </c>
      <c r="M438" s="12" t="s">
        <v>21</v>
      </c>
      <c r="N438" s="12" t="s">
        <v>36</v>
      </c>
      <c r="O438" s="12" t="s">
        <v>192</v>
      </c>
      <c r="P438" s="12" t="s">
        <v>134</v>
      </c>
      <c r="Q438" s="7" t="str">
        <f t="shared" si="19"/>
        <v>(1965,29,'1965.07.17',34,36,38,46,56,0),</v>
      </c>
      <c r="R438" s="7" t="str">
        <f t="shared" si="21"/>
        <v>(1965,29,'1965.07.17',34,36,38,46,56),</v>
      </c>
    </row>
    <row r="439" spans="1:18" x14ac:dyDescent="0.25">
      <c r="A439" s="7" t="s">
        <v>5866</v>
      </c>
      <c r="B439" s="8" t="s">
        <v>107</v>
      </c>
      <c r="C439" s="10">
        <f t="shared" si="20"/>
        <v>23947</v>
      </c>
      <c r="D439" t="s">
        <v>11</v>
      </c>
      <c r="E439" t="s">
        <v>12</v>
      </c>
      <c r="F439" t="s">
        <v>11</v>
      </c>
      <c r="G439" t="s">
        <v>12</v>
      </c>
      <c r="H439" t="s">
        <v>11</v>
      </c>
      <c r="I439" t="s">
        <v>12</v>
      </c>
      <c r="J439" t="s">
        <v>11</v>
      </c>
      <c r="K439" t="s">
        <v>12</v>
      </c>
      <c r="L439" s="12" t="s">
        <v>127</v>
      </c>
      <c r="M439" s="12" t="s">
        <v>126</v>
      </c>
      <c r="N439" s="12" t="s">
        <v>23</v>
      </c>
      <c r="O439" s="12" t="s">
        <v>47</v>
      </c>
      <c r="P439" s="12" t="s">
        <v>301</v>
      </c>
      <c r="Q439" s="7" t="str">
        <f t="shared" si="19"/>
        <v>(1965,30,'1965.07.24',14,28,60,69,80,0),</v>
      </c>
      <c r="R439" s="7" t="str">
        <f t="shared" si="21"/>
        <v>(1965,30,'1965.07.24',14,28,60,69,80),</v>
      </c>
    </row>
    <row r="440" spans="1:18" x14ac:dyDescent="0.25">
      <c r="A440" s="7" t="s">
        <v>5866</v>
      </c>
      <c r="B440" s="8" t="s">
        <v>71</v>
      </c>
      <c r="C440" s="10">
        <f t="shared" si="20"/>
        <v>23954</v>
      </c>
      <c r="D440" t="s">
        <v>11</v>
      </c>
      <c r="E440" t="s">
        <v>12</v>
      </c>
      <c r="F440" t="s">
        <v>11</v>
      </c>
      <c r="G440" t="s">
        <v>12</v>
      </c>
      <c r="H440" t="s">
        <v>11</v>
      </c>
      <c r="I440" t="s">
        <v>12</v>
      </c>
      <c r="J440" t="s">
        <v>11</v>
      </c>
      <c r="K440" t="s">
        <v>12</v>
      </c>
      <c r="L440" s="12" t="s">
        <v>31</v>
      </c>
      <c r="M440" s="12" t="s">
        <v>71</v>
      </c>
      <c r="N440" s="12" t="s">
        <v>24</v>
      </c>
      <c r="O440" s="12" t="s">
        <v>133</v>
      </c>
      <c r="P440" s="12" t="s">
        <v>246</v>
      </c>
      <c r="Q440" s="7" t="str">
        <f t="shared" si="19"/>
        <v>(1965,31,'1965.07.31',12,31,39,45,84,0),</v>
      </c>
      <c r="R440" s="7" t="str">
        <f t="shared" si="21"/>
        <v>(1965,31,'1965.07.31',12,31,39,45,84),</v>
      </c>
    </row>
    <row r="441" spans="1:18" x14ac:dyDescent="0.25">
      <c r="A441" s="7" t="s">
        <v>5866</v>
      </c>
      <c r="B441" s="8" t="s">
        <v>80</v>
      </c>
      <c r="C441" s="10">
        <f t="shared" si="20"/>
        <v>23961</v>
      </c>
      <c r="D441" t="s">
        <v>11</v>
      </c>
      <c r="E441" t="s">
        <v>12</v>
      </c>
      <c r="F441" t="s">
        <v>11</v>
      </c>
      <c r="G441" t="s">
        <v>12</v>
      </c>
      <c r="H441" t="s">
        <v>11</v>
      </c>
      <c r="I441" t="s">
        <v>12</v>
      </c>
      <c r="J441" t="s">
        <v>11</v>
      </c>
      <c r="K441" t="s">
        <v>12</v>
      </c>
      <c r="L441" s="12" t="s">
        <v>62</v>
      </c>
      <c r="M441" s="12" t="s">
        <v>20</v>
      </c>
      <c r="N441" s="12" t="s">
        <v>81</v>
      </c>
      <c r="O441" s="12" t="s">
        <v>200</v>
      </c>
      <c r="P441" s="12" t="s">
        <v>215</v>
      </c>
      <c r="Q441" s="7" t="str">
        <f t="shared" si="19"/>
        <v>(1965,32,'1965.08.07',10,33,47,70,81,0),</v>
      </c>
      <c r="R441" s="7" t="str">
        <f t="shared" si="21"/>
        <v>(1965,32,'1965.08.07',10,33,47,70,81),</v>
      </c>
    </row>
    <row r="442" spans="1:18" x14ac:dyDescent="0.25">
      <c r="A442" s="7" t="s">
        <v>5866</v>
      </c>
      <c r="B442" s="8" t="s">
        <v>20</v>
      </c>
      <c r="C442" s="10">
        <f t="shared" si="20"/>
        <v>23968</v>
      </c>
      <c r="D442" t="s">
        <v>11</v>
      </c>
      <c r="E442" t="s">
        <v>12</v>
      </c>
      <c r="F442" t="s">
        <v>11</v>
      </c>
      <c r="G442" t="s">
        <v>12</v>
      </c>
      <c r="H442" t="s">
        <v>11</v>
      </c>
      <c r="I442" t="s">
        <v>12</v>
      </c>
      <c r="J442" t="s">
        <v>11</v>
      </c>
      <c r="K442" t="s">
        <v>12</v>
      </c>
      <c r="L442" s="12" t="s">
        <v>19</v>
      </c>
      <c r="M442" s="12" t="s">
        <v>46</v>
      </c>
      <c r="N442" s="12" t="s">
        <v>13</v>
      </c>
      <c r="O442" s="12" t="s">
        <v>169</v>
      </c>
      <c r="P442" s="12" t="s">
        <v>245</v>
      </c>
      <c r="Q442" s="7" t="str">
        <f t="shared" si="19"/>
        <v>(1965,33,'1965.08.14',18,37,41,58,74,0),</v>
      </c>
      <c r="R442" s="7" t="str">
        <f t="shared" si="21"/>
        <v>(1965,33,'1965.08.14',18,37,41,58,74),</v>
      </c>
    </row>
    <row r="443" spans="1:18" x14ac:dyDescent="0.25">
      <c r="A443" s="7" t="s">
        <v>5866</v>
      </c>
      <c r="B443" s="8" t="s">
        <v>25</v>
      </c>
      <c r="C443" s="10">
        <f t="shared" si="20"/>
        <v>23975</v>
      </c>
      <c r="D443" t="s">
        <v>11</v>
      </c>
      <c r="E443" t="s">
        <v>12</v>
      </c>
      <c r="F443" t="s">
        <v>11</v>
      </c>
      <c r="G443" t="s">
        <v>12</v>
      </c>
      <c r="H443" t="s">
        <v>11</v>
      </c>
      <c r="I443" t="s">
        <v>12</v>
      </c>
      <c r="J443" t="s">
        <v>11</v>
      </c>
      <c r="K443" t="s">
        <v>12</v>
      </c>
      <c r="L443" s="12" t="s">
        <v>53</v>
      </c>
      <c r="M443" s="12" t="s">
        <v>31</v>
      </c>
      <c r="N443" s="12" t="s">
        <v>135</v>
      </c>
      <c r="O443" s="12" t="s">
        <v>13</v>
      </c>
      <c r="P443" s="12" t="s">
        <v>208</v>
      </c>
      <c r="Q443" s="7" t="str">
        <f t="shared" si="19"/>
        <v>(1965,34,'1965.08.21',7,12,27,41,88,0),</v>
      </c>
      <c r="R443" s="7" t="str">
        <f t="shared" si="21"/>
        <v>(1965,34,'1965.08.21',7,12,27,41,88),</v>
      </c>
    </row>
    <row r="444" spans="1:18" x14ac:dyDescent="0.25">
      <c r="A444" s="7" t="s">
        <v>5866</v>
      </c>
      <c r="B444" s="8" t="s">
        <v>64</v>
      </c>
      <c r="C444" s="10">
        <f t="shared" si="20"/>
        <v>23982</v>
      </c>
      <c r="D444" t="s">
        <v>11</v>
      </c>
      <c r="E444" t="s">
        <v>12</v>
      </c>
      <c r="F444" t="s">
        <v>11</v>
      </c>
      <c r="G444" t="s">
        <v>12</v>
      </c>
      <c r="H444" t="s">
        <v>11</v>
      </c>
      <c r="I444" t="s">
        <v>12</v>
      </c>
      <c r="J444" t="s">
        <v>11</v>
      </c>
      <c r="K444" t="s">
        <v>12</v>
      </c>
      <c r="L444" s="12" t="s">
        <v>270</v>
      </c>
      <c r="M444" s="12" t="s">
        <v>98</v>
      </c>
      <c r="N444" s="12" t="s">
        <v>142</v>
      </c>
      <c r="O444" s="12" t="s">
        <v>150</v>
      </c>
      <c r="P444" s="12" t="s">
        <v>301</v>
      </c>
      <c r="Q444" s="7" t="str">
        <f t="shared" si="19"/>
        <v>(1965,35,'1965.08.28',6,42,44,57,80,0),</v>
      </c>
      <c r="R444" s="7" t="str">
        <f t="shared" si="21"/>
        <v>(1965,35,'1965.08.28',6,42,44,57,80),</v>
      </c>
    </row>
    <row r="445" spans="1:18" x14ac:dyDescent="0.25">
      <c r="A445" s="7" t="s">
        <v>5866</v>
      </c>
      <c r="B445" s="8" t="s">
        <v>21</v>
      </c>
      <c r="C445" s="10">
        <f t="shared" si="20"/>
        <v>23989</v>
      </c>
      <c r="D445" t="s">
        <v>11</v>
      </c>
      <c r="E445" t="s">
        <v>12</v>
      </c>
      <c r="F445" t="s">
        <v>11</v>
      </c>
      <c r="G445" t="s">
        <v>12</v>
      </c>
      <c r="H445" t="s">
        <v>11</v>
      </c>
      <c r="I445" t="s">
        <v>12</v>
      </c>
      <c r="J445" t="s">
        <v>11</v>
      </c>
      <c r="K445" t="s">
        <v>12</v>
      </c>
      <c r="L445" s="12" t="s">
        <v>127</v>
      </c>
      <c r="M445" s="12" t="s">
        <v>98</v>
      </c>
      <c r="N445" s="12" t="s">
        <v>192</v>
      </c>
      <c r="O445" s="12" t="s">
        <v>143</v>
      </c>
      <c r="P445" s="12" t="s">
        <v>622</v>
      </c>
      <c r="Q445" s="7" t="str">
        <f t="shared" si="19"/>
        <v>(1965,36,'1965.09.04',14,42,46,77,82,0),</v>
      </c>
      <c r="R445" s="7" t="str">
        <f t="shared" si="21"/>
        <v>(1965,36,'1965.09.04',14,42,46,77,82),</v>
      </c>
    </row>
    <row r="446" spans="1:18" x14ac:dyDescent="0.25">
      <c r="A446" s="7" t="s">
        <v>5866</v>
      </c>
      <c r="B446" s="8" t="s">
        <v>46</v>
      </c>
      <c r="C446" s="10">
        <f t="shared" si="20"/>
        <v>23996</v>
      </c>
      <c r="D446" t="s">
        <v>11</v>
      </c>
      <c r="E446" t="s">
        <v>12</v>
      </c>
      <c r="F446" t="s">
        <v>11</v>
      </c>
      <c r="G446" t="s">
        <v>12</v>
      </c>
      <c r="H446" t="s">
        <v>11</v>
      </c>
      <c r="I446" t="s">
        <v>12</v>
      </c>
      <c r="J446" t="s">
        <v>11</v>
      </c>
      <c r="K446" t="s">
        <v>12</v>
      </c>
      <c r="L446" s="12" t="s">
        <v>192</v>
      </c>
      <c r="M446" s="12" t="s">
        <v>81</v>
      </c>
      <c r="N446" s="12" t="s">
        <v>175</v>
      </c>
      <c r="O446" s="12" t="s">
        <v>239</v>
      </c>
      <c r="P446" s="12" t="s">
        <v>301</v>
      </c>
      <c r="Q446" s="7" t="str">
        <f t="shared" si="19"/>
        <v>(1965,37,'1965.09.11',46,47,55,73,80,0),</v>
      </c>
      <c r="R446" s="7" t="str">
        <f t="shared" si="21"/>
        <v>(1965,37,'1965.09.11',46,47,55,73,80),</v>
      </c>
    </row>
    <row r="447" spans="1:18" x14ac:dyDescent="0.25">
      <c r="A447" s="7" t="s">
        <v>5866</v>
      </c>
      <c r="B447" s="8" t="s">
        <v>36</v>
      </c>
      <c r="C447" s="10">
        <f t="shared" si="20"/>
        <v>24003</v>
      </c>
      <c r="D447" t="s">
        <v>11</v>
      </c>
      <c r="E447" t="s">
        <v>12</v>
      </c>
      <c r="F447" t="s">
        <v>11</v>
      </c>
      <c r="G447" t="s">
        <v>12</v>
      </c>
      <c r="H447" t="s">
        <v>11</v>
      </c>
      <c r="I447" t="s">
        <v>12</v>
      </c>
      <c r="J447" t="s">
        <v>11</v>
      </c>
      <c r="K447" t="s">
        <v>12</v>
      </c>
      <c r="L447" s="12" t="s">
        <v>90</v>
      </c>
      <c r="M447" s="12" t="s">
        <v>116</v>
      </c>
      <c r="N447" s="12" t="s">
        <v>80</v>
      </c>
      <c r="O447" s="12" t="s">
        <v>20</v>
      </c>
      <c r="P447" s="12" t="s">
        <v>239</v>
      </c>
      <c r="Q447" s="7" t="str">
        <f t="shared" si="19"/>
        <v>(1965,38,'1965.09.18',17,29,32,33,73,0),</v>
      </c>
      <c r="R447" s="7" t="str">
        <f t="shared" si="21"/>
        <v>(1965,38,'1965.09.18',17,29,32,33,73),</v>
      </c>
    </row>
    <row r="448" spans="1:18" x14ac:dyDescent="0.25">
      <c r="A448" s="7" t="s">
        <v>5866</v>
      </c>
      <c r="B448" s="8" t="s">
        <v>24</v>
      </c>
      <c r="C448" s="10">
        <f t="shared" si="20"/>
        <v>24010</v>
      </c>
      <c r="D448" t="s">
        <v>11</v>
      </c>
      <c r="E448" t="s">
        <v>12</v>
      </c>
      <c r="F448" t="s">
        <v>11</v>
      </c>
      <c r="G448" t="s">
        <v>12</v>
      </c>
      <c r="H448" t="s">
        <v>11</v>
      </c>
      <c r="I448" t="s">
        <v>12</v>
      </c>
      <c r="J448" t="s">
        <v>11</v>
      </c>
      <c r="K448" t="s">
        <v>12</v>
      </c>
      <c r="L448" s="12" t="s">
        <v>270</v>
      </c>
      <c r="M448" s="12" t="s">
        <v>53</v>
      </c>
      <c r="N448" s="12" t="s">
        <v>43</v>
      </c>
      <c r="O448" s="12" t="s">
        <v>135</v>
      </c>
      <c r="P448" s="12" t="s">
        <v>122</v>
      </c>
      <c r="Q448" s="7" t="str">
        <f t="shared" si="19"/>
        <v>(1965,39,'1965.09.25',6,7,16,27,51,0),</v>
      </c>
      <c r="R448" s="7" t="str">
        <f t="shared" si="21"/>
        <v>(1965,39,'1965.09.25',6,7,16,27,51),</v>
      </c>
    </row>
    <row r="449" spans="1:18" x14ac:dyDescent="0.25">
      <c r="A449" s="7" t="s">
        <v>5866</v>
      </c>
      <c r="B449" s="8" t="s">
        <v>10</v>
      </c>
      <c r="C449" s="10">
        <f t="shared" si="20"/>
        <v>24017</v>
      </c>
      <c r="D449" t="s">
        <v>11</v>
      </c>
      <c r="E449" t="s">
        <v>12</v>
      </c>
      <c r="F449" t="s">
        <v>11</v>
      </c>
      <c r="G449" t="s">
        <v>12</v>
      </c>
      <c r="H449" t="s">
        <v>11</v>
      </c>
      <c r="I449" t="s">
        <v>12</v>
      </c>
      <c r="J449" t="s">
        <v>11</v>
      </c>
      <c r="K449" t="s">
        <v>12</v>
      </c>
      <c r="L449" s="12" t="s">
        <v>31</v>
      </c>
      <c r="M449" s="12" t="s">
        <v>19</v>
      </c>
      <c r="N449" s="12" t="s">
        <v>72</v>
      </c>
      <c r="O449" s="12" t="s">
        <v>63</v>
      </c>
      <c r="P449" s="12" t="s">
        <v>622</v>
      </c>
      <c r="Q449" s="7" t="str">
        <f t="shared" si="19"/>
        <v>(1965,40,'1965.10.02',12,18,67,78,82,0),</v>
      </c>
      <c r="R449" s="7" t="str">
        <f t="shared" si="21"/>
        <v>(1965,40,'1965.10.02',12,18,67,78,82),</v>
      </c>
    </row>
    <row r="450" spans="1:18" x14ac:dyDescent="0.25">
      <c r="A450" s="7" t="s">
        <v>5866</v>
      </c>
      <c r="B450" s="8" t="s">
        <v>13</v>
      </c>
      <c r="C450" s="10">
        <f t="shared" si="20"/>
        <v>24024</v>
      </c>
      <c r="D450" t="s">
        <v>11</v>
      </c>
      <c r="E450" t="s">
        <v>12</v>
      </c>
      <c r="F450" t="s">
        <v>11</v>
      </c>
      <c r="G450" t="s">
        <v>12</v>
      </c>
      <c r="H450" t="s">
        <v>11</v>
      </c>
      <c r="I450" t="s">
        <v>12</v>
      </c>
      <c r="J450" t="s">
        <v>11</v>
      </c>
      <c r="K450" t="s">
        <v>12</v>
      </c>
      <c r="L450" s="12" t="s">
        <v>33</v>
      </c>
      <c r="M450" s="12" t="s">
        <v>126</v>
      </c>
      <c r="N450" s="12" t="s">
        <v>92</v>
      </c>
      <c r="O450" s="12" t="s">
        <v>200</v>
      </c>
      <c r="P450" s="12" t="s">
        <v>245</v>
      </c>
      <c r="Q450" s="7" t="str">
        <f t="shared" ref="Q450:Q513" si="22">"("&amp;A450&amp;","&amp;B450&amp;",'"&amp;TEXT(C450,"éééé.hh.nn")&amp;"',"&amp;L450&amp;","&amp;M450&amp;","&amp;N450&amp;","&amp;O450&amp;","&amp;P450&amp;",0)"&amp;IF(P451&lt;&gt;0,",","")</f>
        <v>(1965,41,'1965.10.09',24,28,68,70,74,0),</v>
      </c>
      <c r="R450" s="7" t="str">
        <f t="shared" si="21"/>
        <v>(1965,41,'1965.10.09',24,28,68,70,74),</v>
      </c>
    </row>
    <row r="451" spans="1:18" x14ac:dyDescent="0.25">
      <c r="A451" s="7" t="s">
        <v>5866</v>
      </c>
      <c r="B451" s="8" t="s">
        <v>98</v>
      </c>
      <c r="C451" s="10">
        <f t="shared" ref="C451:C514" si="23">+C450+7</f>
        <v>24031</v>
      </c>
      <c r="D451" t="s">
        <v>11</v>
      </c>
      <c r="E451" t="s">
        <v>12</v>
      </c>
      <c r="F451" t="s">
        <v>11</v>
      </c>
      <c r="G451" t="s">
        <v>12</v>
      </c>
      <c r="H451" t="s">
        <v>11</v>
      </c>
      <c r="I451" t="s">
        <v>12</v>
      </c>
      <c r="J451" t="s">
        <v>11</v>
      </c>
      <c r="K451" t="s">
        <v>12</v>
      </c>
      <c r="L451" s="12" t="s">
        <v>53</v>
      </c>
      <c r="M451" s="12" t="s">
        <v>127</v>
      </c>
      <c r="N451" s="12" t="s">
        <v>19</v>
      </c>
      <c r="O451" s="12" t="s">
        <v>10</v>
      </c>
      <c r="P451" s="12" t="s">
        <v>248</v>
      </c>
      <c r="Q451" s="7" t="str">
        <f t="shared" si="22"/>
        <v>(1965,42,'1965.10.16',7,14,18,40,63,0),</v>
      </c>
      <c r="R451" s="7" t="str">
        <f t="shared" ref="R451:R514" si="24">IF(TRIM(P451)="","","("&amp;A451&amp;","&amp;B451&amp;",'"&amp;TEXT(C451,"éééé.hh.nn")&amp;"',"&amp;L451&amp;","&amp;M451&amp;","&amp;N451&amp;","&amp;O451&amp;","&amp;P451&amp;")"&amp;IF(P452=0,";",","))</f>
        <v>(1965,42,'1965.10.16',7,14,18,40,63),</v>
      </c>
    </row>
    <row r="452" spans="1:18" x14ac:dyDescent="0.25">
      <c r="A452" s="7" t="s">
        <v>5866</v>
      </c>
      <c r="B452" s="8" t="s">
        <v>45</v>
      </c>
      <c r="C452" s="10">
        <f t="shared" si="23"/>
        <v>24038</v>
      </c>
      <c r="D452" t="s">
        <v>11</v>
      </c>
      <c r="E452" t="s">
        <v>12</v>
      </c>
      <c r="F452" t="s">
        <v>11</v>
      </c>
      <c r="G452" t="s">
        <v>12</v>
      </c>
      <c r="H452" t="s">
        <v>11</v>
      </c>
      <c r="I452" t="s">
        <v>12</v>
      </c>
      <c r="J452" t="s">
        <v>11</v>
      </c>
      <c r="K452" t="s">
        <v>12</v>
      </c>
      <c r="L452" s="12" t="s">
        <v>31</v>
      </c>
      <c r="M452" s="12" t="s">
        <v>43</v>
      </c>
      <c r="N452" s="12" t="s">
        <v>116</v>
      </c>
      <c r="O452" s="12" t="s">
        <v>72</v>
      </c>
      <c r="P452" s="12" t="s">
        <v>201</v>
      </c>
      <c r="Q452" s="7" t="str">
        <f t="shared" si="22"/>
        <v>(1965,43,'1965.10.23',12,16,29,67,72,0),</v>
      </c>
      <c r="R452" s="7" t="str">
        <f t="shared" si="24"/>
        <v>(1965,43,'1965.10.23',12,16,29,67,72),</v>
      </c>
    </row>
    <row r="453" spans="1:18" x14ac:dyDescent="0.25">
      <c r="A453" s="7" t="s">
        <v>5866</v>
      </c>
      <c r="B453" s="8" t="s">
        <v>142</v>
      </c>
      <c r="C453" s="10">
        <f t="shared" si="23"/>
        <v>24045</v>
      </c>
      <c r="D453" t="s">
        <v>11</v>
      </c>
      <c r="E453" t="s">
        <v>12</v>
      </c>
      <c r="F453" t="s">
        <v>11</v>
      </c>
      <c r="G453" t="s">
        <v>12</v>
      </c>
      <c r="H453" t="s">
        <v>11</v>
      </c>
      <c r="I453" t="s">
        <v>12</v>
      </c>
      <c r="J453" t="s">
        <v>11</v>
      </c>
      <c r="K453" t="s">
        <v>12</v>
      </c>
      <c r="L453" s="12" t="s">
        <v>198</v>
      </c>
      <c r="M453" s="12" t="s">
        <v>20</v>
      </c>
      <c r="N453" s="12" t="s">
        <v>105</v>
      </c>
      <c r="O453" s="12" t="s">
        <v>151</v>
      </c>
      <c r="P453" s="12" t="s">
        <v>308</v>
      </c>
      <c r="Q453" s="7" t="str">
        <f t="shared" si="22"/>
        <v>(1965,44,'1965.10.30',9,33,50,79,86,0),</v>
      </c>
      <c r="R453" s="7" t="str">
        <f t="shared" si="24"/>
        <v>(1965,44,'1965.10.30',9,33,50,79,86),</v>
      </c>
    </row>
    <row r="454" spans="1:18" x14ac:dyDescent="0.25">
      <c r="A454" s="7" t="s">
        <v>5866</v>
      </c>
      <c r="B454" s="8" t="s">
        <v>133</v>
      </c>
      <c r="C454" s="10">
        <f t="shared" si="23"/>
        <v>24052</v>
      </c>
      <c r="D454" t="s">
        <v>11</v>
      </c>
      <c r="E454" t="s">
        <v>12</v>
      </c>
      <c r="F454" t="s">
        <v>11</v>
      </c>
      <c r="G454" t="s">
        <v>12</v>
      </c>
      <c r="H454" t="s">
        <v>11</v>
      </c>
      <c r="I454" t="s">
        <v>12</v>
      </c>
      <c r="J454" t="s">
        <v>11</v>
      </c>
      <c r="K454" t="s">
        <v>12</v>
      </c>
      <c r="L454" s="12" t="s">
        <v>13</v>
      </c>
      <c r="M454" s="12" t="s">
        <v>82</v>
      </c>
      <c r="N454" s="12" t="s">
        <v>72</v>
      </c>
      <c r="O454" s="12" t="s">
        <v>201</v>
      </c>
      <c r="P454" s="12" t="s">
        <v>246</v>
      </c>
      <c r="Q454" s="7" t="str">
        <f t="shared" si="22"/>
        <v>(1965,45,'1965.11.06',41,59,67,72,84,0),</v>
      </c>
      <c r="R454" s="7" t="str">
        <f t="shared" si="24"/>
        <v>(1965,45,'1965.11.06',41,59,67,72,84),</v>
      </c>
    </row>
    <row r="455" spans="1:18" x14ac:dyDescent="0.25">
      <c r="A455" s="7" t="s">
        <v>5866</v>
      </c>
      <c r="B455" s="8" t="s">
        <v>192</v>
      </c>
      <c r="C455" s="10">
        <f t="shared" si="23"/>
        <v>24059</v>
      </c>
      <c r="D455" t="s">
        <v>11</v>
      </c>
      <c r="E455" t="s">
        <v>12</v>
      </c>
      <c r="F455" t="s">
        <v>11</v>
      </c>
      <c r="G455" t="s">
        <v>12</v>
      </c>
      <c r="H455" t="s">
        <v>11</v>
      </c>
      <c r="I455" t="s">
        <v>12</v>
      </c>
      <c r="J455" t="s">
        <v>11</v>
      </c>
      <c r="K455" t="s">
        <v>12</v>
      </c>
      <c r="L455" s="12" t="s">
        <v>53</v>
      </c>
      <c r="M455" s="12" t="s">
        <v>55</v>
      </c>
      <c r="N455" s="12" t="s">
        <v>126</v>
      </c>
      <c r="O455" s="12" t="s">
        <v>134</v>
      </c>
      <c r="P455" s="12" t="s">
        <v>186</v>
      </c>
      <c r="Q455" s="7" t="str">
        <f t="shared" si="22"/>
        <v>(1965,46,'1965.11.13',7,19,28,56,90,0),</v>
      </c>
      <c r="R455" s="7" t="str">
        <f t="shared" si="24"/>
        <v>(1965,46,'1965.11.13',7,19,28,56,90),</v>
      </c>
    </row>
    <row r="456" spans="1:18" x14ac:dyDescent="0.25">
      <c r="A456" s="7" t="s">
        <v>5866</v>
      </c>
      <c r="B456" s="8" t="s">
        <v>81</v>
      </c>
      <c r="C456" s="10">
        <f t="shared" si="23"/>
        <v>24066</v>
      </c>
      <c r="D456" t="s">
        <v>11</v>
      </c>
      <c r="E456" t="s">
        <v>12</v>
      </c>
      <c r="F456" t="s">
        <v>11</v>
      </c>
      <c r="G456" t="s">
        <v>12</v>
      </c>
      <c r="H456" t="s">
        <v>11</v>
      </c>
      <c r="I456" t="s">
        <v>12</v>
      </c>
      <c r="J456" t="s">
        <v>11</v>
      </c>
      <c r="K456" t="s">
        <v>12</v>
      </c>
      <c r="L456" s="12" t="s">
        <v>89</v>
      </c>
      <c r="M456" s="12" t="s">
        <v>80</v>
      </c>
      <c r="N456" s="12" t="s">
        <v>21</v>
      </c>
      <c r="O456" s="12" t="s">
        <v>36</v>
      </c>
      <c r="P456" s="12" t="s">
        <v>34</v>
      </c>
      <c r="Q456" s="7" t="str">
        <f t="shared" si="22"/>
        <v>(1965,47,'1965.11.20',5,32,36,38,49,0),</v>
      </c>
      <c r="R456" s="7" t="str">
        <f t="shared" si="24"/>
        <v>(1965,47,'1965.11.20',5,32,36,38,49),</v>
      </c>
    </row>
    <row r="457" spans="1:18" x14ac:dyDescent="0.25">
      <c r="A457" s="7" t="s">
        <v>5866</v>
      </c>
      <c r="B457" s="8" t="s">
        <v>22</v>
      </c>
      <c r="C457" s="10">
        <f t="shared" si="23"/>
        <v>24073</v>
      </c>
      <c r="D457" t="s">
        <v>11</v>
      </c>
      <c r="E457" t="s">
        <v>12</v>
      </c>
      <c r="F457" t="s">
        <v>11</v>
      </c>
      <c r="G457" t="s">
        <v>12</v>
      </c>
      <c r="H457" t="s">
        <v>11</v>
      </c>
      <c r="I457" t="s">
        <v>12</v>
      </c>
      <c r="J457" t="s">
        <v>11</v>
      </c>
      <c r="K457" t="s">
        <v>12</v>
      </c>
      <c r="L457" s="12" t="s">
        <v>65</v>
      </c>
      <c r="M457" s="12" t="s">
        <v>47</v>
      </c>
      <c r="N457" s="12" t="s">
        <v>73</v>
      </c>
      <c r="O457" s="12" t="s">
        <v>308</v>
      </c>
      <c r="P457" s="12" t="s">
        <v>208</v>
      </c>
      <c r="Q457" s="7" t="str">
        <f t="shared" si="22"/>
        <v>(1965,48,'1965.11.27',13,69,76,86,88,0),</v>
      </c>
      <c r="R457" s="7" t="str">
        <f t="shared" si="24"/>
        <v>(1965,48,'1965.11.27',13,69,76,86,88),</v>
      </c>
    </row>
    <row r="458" spans="1:18" x14ac:dyDescent="0.25">
      <c r="A458" s="7" t="s">
        <v>5866</v>
      </c>
      <c r="B458" s="8" t="s">
        <v>34</v>
      </c>
      <c r="C458" s="10">
        <f t="shared" si="23"/>
        <v>24080</v>
      </c>
      <c r="D458" t="s">
        <v>11</v>
      </c>
      <c r="E458" t="s">
        <v>12</v>
      </c>
      <c r="F458" t="s">
        <v>11</v>
      </c>
      <c r="G458" t="s">
        <v>12</v>
      </c>
      <c r="H458" t="s">
        <v>11</v>
      </c>
      <c r="I458" t="s">
        <v>12</v>
      </c>
      <c r="J458" t="s">
        <v>11</v>
      </c>
      <c r="K458" t="s">
        <v>12</v>
      </c>
      <c r="L458" s="12" t="s">
        <v>31</v>
      </c>
      <c r="M458" s="12" t="s">
        <v>152</v>
      </c>
      <c r="N458" s="12" t="s">
        <v>24</v>
      </c>
      <c r="O458" s="12" t="s">
        <v>308</v>
      </c>
      <c r="P458" s="12" t="s">
        <v>208</v>
      </c>
      <c r="Q458" s="7" t="str">
        <f t="shared" si="22"/>
        <v>(1965,49,'1965.12.04',12,25,39,86,88,0),</v>
      </c>
      <c r="R458" s="7" t="str">
        <f t="shared" si="24"/>
        <v>(1965,49,'1965.12.04',12,25,39,86,88),</v>
      </c>
    </row>
    <row r="459" spans="1:18" x14ac:dyDescent="0.25">
      <c r="A459" s="7" t="s">
        <v>5866</v>
      </c>
      <c r="B459" s="8" t="s">
        <v>105</v>
      </c>
      <c r="C459" s="10">
        <f t="shared" si="23"/>
        <v>24087</v>
      </c>
      <c r="D459" t="s">
        <v>11</v>
      </c>
      <c r="E459" t="s">
        <v>12</v>
      </c>
      <c r="F459" t="s">
        <v>11</v>
      </c>
      <c r="G459" t="s">
        <v>12</v>
      </c>
      <c r="H459" t="s">
        <v>11</v>
      </c>
      <c r="I459" t="s">
        <v>12</v>
      </c>
      <c r="J459" t="s">
        <v>11</v>
      </c>
      <c r="K459" t="s">
        <v>12</v>
      </c>
      <c r="L459" s="12" t="s">
        <v>44</v>
      </c>
      <c r="M459" s="12" t="s">
        <v>21</v>
      </c>
      <c r="N459" s="12" t="s">
        <v>36</v>
      </c>
      <c r="O459" s="12" t="s">
        <v>81</v>
      </c>
      <c r="P459" s="12" t="s">
        <v>105</v>
      </c>
      <c r="Q459" s="7" t="str">
        <f t="shared" si="22"/>
        <v>(1965,50,'1965.12.11',21,36,38,47,50,0),</v>
      </c>
      <c r="R459" s="7" t="str">
        <f t="shared" si="24"/>
        <v>(1965,50,'1965.12.11',21,36,38,47,50),</v>
      </c>
    </row>
    <row r="460" spans="1:18" x14ac:dyDescent="0.25">
      <c r="A460" s="7" t="s">
        <v>5866</v>
      </c>
      <c r="B460" s="8" t="s">
        <v>122</v>
      </c>
      <c r="C460" s="10">
        <f t="shared" si="23"/>
        <v>24094</v>
      </c>
      <c r="D460" t="s">
        <v>11</v>
      </c>
      <c r="E460" t="s">
        <v>12</v>
      </c>
      <c r="F460" t="s">
        <v>11</v>
      </c>
      <c r="G460" t="s">
        <v>12</v>
      </c>
      <c r="H460" t="s">
        <v>11</v>
      </c>
      <c r="I460" t="s">
        <v>12</v>
      </c>
      <c r="J460" t="s">
        <v>11</v>
      </c>
      <c r="K460" t="s">
        <v>12</v>
      </c>
      <c r="L460" s="12" t="s">
        <v>105</v>
      </c>
      <c r="M460" s="12" t="s">
        <v>199</v>
      </c>
      <c r="N460" s="12" t="s">
        <v>123</v>
      </c>
      <c r="O460" s="12" t="s">
        <v>91</v>
      </c>
      <c r="P460" s="12" t="s">
        <v>151</v>
      </c>
      <c r="Q460" s="7" t="str">
        <f t="shared" si="22"/>
        <v>(1965,51,'1965.12.18',50,53,54,61,79,0),</v>
      </c>
      <c r="R460" s="7" t="str">
        <f t="shared" si="24"/>
        <v>(1965,51,'1965.12.18',50,53,54,61,79),</v>
      </c>
    </row>
    <row r="461" spans="1:18" x14ac:dyDescent="0.25">
      <c r="A461" s="7" t="s">
        <v>5866</v>
      </c>
      <c r="B461" s="8" t="s">
        <v>99</v>
      </c>
      <c r="C461" s="10">
        <f t="shared" si="23"/>
        <v>24101</v>
      </c>
      <c r="D461" t="s">
        <v>11</v>
      </c>
      <c r="E461" t="s">
        <v>12</v>
      </c>
      <c r="F461" t="s">
        <v>11</v>
      </c>
      <c r="G461" t="s">
        <v>12</v>
      </c>
      <c r="H461" t="s">
        <v>11</v>
      </c>
      <c r="I461" t="s">
        <v>12</v>
      </c>
      <c r="J461" t="s">
        <v>11</v>
      </c>
      <c r="K461" t="s">
        <v>12</v>
      </c>
      <c r="L461" s="12" t="s">
        <v>42</v>
      </c>
      <c r="M461" s="12" t="s">
        <v>43</v>
      </c>
      <c r="N461" s="12" t="s">
        <v>201</v>
      </c>
      <c r="O461" s="12" t="s">
        <v>73</v>
      </c>
      <c r="P461" s="12" t="s">
        <v>143</v>
      </c>
      <c r="Q461" s="7" t="str">
        <f t="shared" si="22"/>
        <v>(1965,52,'1965.12.25',3,16,72,76,77,0),</v>
      </c>
      <c r="R461" s="7" t="str">
        <f t="shared" si="24"/>
        <v>(1965,52,'1965.12.25',3,16,72,76,77),</v>
      </c>
    </row>
    <row r="462" spans="1:18" x14ac:dyDescent="0.25">
      <c r="A462" s="7" t="s">
        <v>5866</v>
      </c>
      <c r="B462" s="8" t="s">
        <v>199</v>
      </c>
      <c r="C462" s="10">
        <f t="shared" si="23"/>
        <v>24108</v>
      </c>
      <c r="D462" t="s">
        <v>11</v>
      </c>
      <c r="E462" t="s">
        <v>12</v>
      </c>
      <c r="F462" t="s">
        <v>11</v>
      </c>
      <c r="G462" t="s">
        <v>12</v>
      </c>
      <c r="H462" t="s">
        <v>11</v>
      </c>
      <c r="I462" t="s">
        <v>12</v>
      </c>
      <c r="J462" t="s">
        <v>11</v>
      </c>
      <c r="K462" t="s">
        <v>12</v>
      </c>
      <c r="L462" s="12" t="s">
        <v>168</v>
      </c>
      <c r="M462" s="12" t="s">
        <v>43</v>
      </c>
      <c r="N462" s="12" t="s">
        <v>46</v>
      </c>
      <c r="O462" s="12" t="s">
        <v>13</v>
      </c>
      <c r="P462" s="12" t="s">
        <v>47</v>
      </c>
      <c r="Q462" s="7" t="str">
        <f t="shared" si="22"/>
        <v>(1965,53,'1966.01.01',4,16,37,41,69,0),</v>
      </c>
      <c r="R462" s="7" t="str">
        <f t="shared" si="24"/>
        <v>(1965,53,'1966.01.01',4,16,37,41,69),</v>
      </c>
    </row>
    <row r="463" spans="1:18" x14ac:dyDescent="0.25">
      <c r="A463" s="7" t="s">
        <v>5865</v>
      </c>
      <c r="B463" s="8" t="s">
        <v>108</v>
      </c>
      <c r="C463" s="10">
        <f t="shared" si="23"/>
        <v>24115</v>
      </c>
      <c r="D463" t="s">
        <v>11</v>
      </c>
      <c r="E463" t="s">
        <v>12</v>
      </c>
      <c r="F463" t="s">
        <v>11</v>
      </c>
      <c r="G463" t="s">
        <v>12</v>
      </c>
      <c r="H463" t="s">
        <v>11</v>
      </c>
      <c r="I463" t="s">
        <v>12</v>
      </c>
      <c r="J463" t="s">
        <v>11</v>
      </c>
      <c r="K463" t="s">
        <v>12</v>
      </c>
      <c r="L463" s="12" t="s">
        <v>175</v>
      </c>
      <c r="M463" s="12" t="s">
        <v>91</v>
      </c>
      <c r="N463" s="12" t="s">
        <v>106</v>
      </c>
      <c r="O463" s="12" t="s">
        <v>215</v>
      </c>
      <c r="P463" s="12" t="s">
        <v>186</v>
      </c>
      <c r="Q463" s="7" t="str">
        <f t="shared" si="22"/>
        <v>(1966,1,'1966.01.08',55,61,75,81,90,0),</v>
      </c>
      <c r="R463" s="7" t="str">
        <f t="shared" si="24"/>
        <v>(1966,1,'1966.01.08',55,61,75,81,90),</v>
      </c>
    </row>
    <row r="464" spans="1:18" x14ac:dyDescent="0.25">
      <c r="A464" s="7" t="s">
        <v>5865</v>
      </c>
      <c r="B464" s="8" t="s">
        <v>207</v>
      </c>
      <c r="C464" s="10">
        <f t="shared" si="23"/>
        <v>24122</v>
      </c>
      <c r="D464" t="s">
        <v>11</v>
      </c>
      <c r="E464" t="s">
        <v>12</v>
      </c>
      <c r="F464" t="s">
        <v>11</v>
      </c>
      <c r="G464" t="s">
        <v>12</v>
      </c>
      <c r="H464" t="s">
        <v>11</v>
      </c>
      <c r="I464" t="s">
        <v>12</v>
      </c>
      <c r="J464" t="s">
        <v>11</v>
      </c>
      <c r="K464" t="s">
        <v>12</v>
      </c>
      <c r="L464" s="12" t="s">
        <v>42</v>
      </c>
      <c r="M464" s="12" t="s">
        <v>36</v>
      </c>
      <c r="N464" s="12" t="s">
        <v>82</v>
      </c>
      <c r="O464" s="12" t="s">
        <v>35</v>
      </c>
      <c r="P464" s="12" t="s">
        <v>125</v>
      </c>
      <c r="Q464" s="7" t="str">
        <f t="shared" si="22"/>
        <v>(1966,2,'1966.01.15',3,38,59,65,83,0),</v>
      </c>
      <c r="R464" s="7" t="str">
        <f t="shared" si="24"/>
        <v>(1966,2,'1966.01.15',3,38,59,65,83),</v>
      </c>
    </row>
    <row r="465" spans="1:18" x14ac:dyDescent="0.25">
      <c r="A465" s="7" t="s">
        <v>5865</v>
      </c>
      <c r="B465" s="8" t="s">
        <v>42</v>
      </c>
      <c r="C465" s="10">
        <f t="shared" si="23"/>
        <v>24129</v>
      </c>
      <c r="D465" t="s">
        <v>11</v>
      </c>
      <c r="E465" t="s">
        <v>12</v>
      </c>
      <c r="F465" t="s">
        <v>11</v>
      </c>
      <c r="G465" t="s">
        <v>12</v>
      </c>
      <c r="H465" t="s">
        <v>11</v>
      </c>
      <c r="I465" t="s">
        <v>12</v>
      </c>
      <c r="J465" t="s">
        <v>11</v>
      </c>
      <c r="K465" t="s">
        <v>12</v>
      </c>
      <c r="L465" s="12" t="s">
        <v>89</v>
      </c>
      <c r="M465" s="12" t="s">
        <v>13</v>
      </c>
      <c r="N465" s="12" t="s">
        <v>124</v>
      </c>
      <c r="O465" s="12" t="s">
        <v>622</v>
      </c>
      <c r="P465" s="12" t="s">
        <v>125</v>
      </c>
      <c r="Q465" s="7" t="str">
        <f t="shared" si="22"/>
        <v>(1966,3,'1966.01.22',5,41,62,82,83,0),</v>
      </c>
      <c r="R465" s="7" t="str">
        <f t="shared" si="24"/>
        <v>(1966,3,'1966.01.22',5,41,62,82,83),</v>
      </c>
    </row>
    <row r="466" spans="1:18" x14ac:dyDescent="0.25">
      <c r="A466" s="7" t="s">
        <v>5865</v>
      </c>
      <c r="B466" s="8" t="s">
        <v>168</v>
      </c>
      <c r="C466" s="10">
        <f t="shared" si="23"/>
        <v>24136</v>
      </c>
      <c r="D466" t="s">
        <v>11</v>
      </c>
      <c r="E466" t="s">
        <v>12</v>
      </c>
      <c r="F466" t="s">
        <v>11</v>
      </c>
      <c r="G466" t="s">
        <v>12</v>
      </c>
      <c r="H466" t="s">
        <v>11</v>
      </c>
      <c r="I466" t="s">
        <v>12</v>
      </c>
      <c r="J466" t="s">
        <v>11</v>
      </c>
      <c r="K466" t="s">
        <v>12</v>
      </c>
      <c r="L466" s="12" t="s">
        <v>31</v>
      </c>
      <c r="M466" s="12" t="s">
        <v>90</v>
      </c>
      <c r="N466" s="12" t="s">
        <v>24</v>
      </c>
      <c r="O466" s="12" t="s">
        <v>122</v>
      </c>
      <c r="P466" s="12" t="s">
        <v>379</v>
      </c>
      <c r="Q466" s="7" t="str">
        <f t="shared" si="22"/>
        <v>(1966,4,'1966.01.29',12,17,39,51,89,0),</v>
      </c>
      <c r="R466" s="7" t="str">
        <f t="shared" si="24"/>
        <v>(1966,4,'1966.01.29',12,17,39,51,89),</v>
      </c>
    </row>
    <row r="467" spans="1:18" x14ac:dyDescent="0.25">
      <c r="A467" s="7" t="s">
        <v>5865</v>
      </c>
      <c r="B467" s="8" t="s">
        <v>89</v>
      </c>
      <c r="C467" s="10">
        <f t="shared" si="23"/>
        <v>24143</v>
      </c>
      <c r="D467" t="s">
        <v>11</v>
      </c>
      <c r="E467" t="s">
        <v>12</v>
      </c>
      <c r="F467" t="s">
        <v>11</v>
      </c>
      <c r="G467" t="s">
        <v>12</v>
      </c>
      <c r="H467" t="s">
        <v>11</v>
      </c>
      <c r="I467" t="s">
        <v>12</v>
      </c>
      <c r="J467" t="s">
        <v>11</v>
      </c>
      <c r="K467" t="s">
        <v>12</v>
      </c>
      <c r="L467" s="12" t="s">
        <v>163</v>
      </c>
      <c r="M467" s="12" t="s">
        <v>126</v>
      </c>
      <c r="N467" s="12" t="s">
        <v>107</v>
      </c>
      <c r="O467" s="12" t="s">
        <v>13</v>
      </c>
      <c r="P467" s="12" t="s">
        <v>133</v>
      </c>
      <c r="Q467" s="7" t="str">
        <f t="shared" si="22"/>
        <v>(1966,5,'1966.02.05',23,28,30,41,45,0),</v>
      </c>
      <c r="R467" s="7" t="str">
        <f t="shared" si="24"/>
        <v>(1966,5,'1966.02.05',23,28,30,41,45),</v>
      </c>
    </row>
    <row r="468" spans="1:18" x14ac:dyDescent="0.25">
      <c r="A468" s="7" t="s">
        <v>5865</v>
      </c>
      <c r="B468" s="8" t="s">
        <v>270</v>
      </c>
      <c r="C468" s="10">
        <f t="shared" si="23"/>
        <v>24150</v>
      </c>
      <c r="D468" t="s">
        <v>11</v>
      </c>
      <c r="E468" t="s">
        <v>12</v>
      </c>
      <c r="F468" t="s">
        <v>11</v>
      </c>
      <c r="G468" t="s">
        <v>12</v>
      </c>
      <c r="H468" t="s">
        <v>11</v>
      </c>
      <c r="I468" t="s">
        <v>12</v>
      </c>
      <c r="J468" t="s">
        <v>11</v>
      </c>
      <c r="K468" t="s">
        <v>12</v>
      </c>
      <c r="L468" s="12" t="s">
        <v>64</v>
      </c>
      <c r="M468" s="12" t="s">
        <v>22</v>
      </c>
      <c r="N468" s="12" t="s">
        <v>23</v>
      </c>
      <c r="O468" s="12" t="s">
        <v>200</v>
      </c>
      <c r="P468" s="12" t="s">
        <v>379</v>
      </c>
      <c r="Q468" s="7" t="str">
        <f t="shared" si="22"/>
        <v>(1966,6,'1966.02.12',35,48,60,70,89,0),</v>
      </c>
      <c r="R468" s="7" t="str">
        <f t="shared" si="24"/>
        <v>(1966,6,'1966.02.12',35,48,60,70,89),</v>
      </c>
    </row>
    <row r="469" spans="1:18" x14ac:dyDescent="0.25">
      <c r="A469" s="7" t="s">
        <v>5865</v>
      </c>
      <c r="B469" s="8" t="s">
        <v>53</v>
      </c>
      <c r="C469" s="10">
        <f t="shared" si="23"/>
        <v>24157</v>
      </c>
      <c r="D469" t="s">
        <v>11</v>
      </c>
      <c r="E469" t="s">
        <v>12</v>
      </c>
      <c r="F469" t="s">
        <v>11</v>
      </c>
      <c r="G469" t="s">
        <v>12</v>
      </c>
      <c r="H469" t="s">
        <v>11</v>
      </c>
      <c r="I469" t="s">
        <v>12</v>
      </c>
      <c r="J469" t="s">
        <v>11</v>
      </c>
      <c r="K469" t="s">
        <v>12</v>
      </c>
      <c r="L469" s="12" t="s">
        <v>163</v>
      </c>
      <c r="M469" s="12" t="s">
        <v>116</v>
      </c>
      <c r="N469" s="12" t="s">
        <v>92</v>
      </c>
      <c r="O469" s="12" t="s">
        <v>56</v>
      </c>
      <c r="P469" s="12" t="s">
        <v>308</v>
      </c>
      <c r="Q469" s="7" t="str">
        <f t="shared" si="22"/>
        <v>(1966,7,'1966.02.19',23,29,68,71,86,0),</v>
      </c>
      <c r="R469" s="7" t="str">
        <f t="shared" si="24"/>
        <v>(1966,7,'1966.02.19',23,29,68,71,86),</v>
      </c>
    </row>
    <row r="470" spans="1:18" x14ac:dyDescent="0.25">
      <c r="A470" s="7" t="s">
        <v>5865</v>
      </c>
      <c r="B470" s="8" t="s">
        <v>232</v>
      </c>
      <c r="C470" s="10">
        <f t="shared" si="23"/>
        <v>24164</v>
      </c>
      <c r="D470" t="s">
        <v>11</v>
      </c>
      <c r="E470" t="s">
        <v>12</v>
      </c>
      <c r="F470" t="s">
        <v>11</v>
      </c>
      <c r="G470" t="s">
        <v>12</v>
      </c>
      <c r="H470" t="s">
        <v>11</v>
      </c>
      <c r="I470" t="s">
        <v>12</v>
      </c>
      <c r="J470" t="s">
        <v>11</v>
      </c>
      <c r="K470" t="s">
        <v>12</v>
      </c>
      <c r="L470" s="12" t="s">
        <v>163</v>
      </c>
      <c r="M470" s="12" t="s">
        <v>47</v>
      </c>
      <c r="N470" s="12" t="s">
        <v>301</v>
      </c>
      <c r="O470" s="12" t="s">
        <v>125</v>
      </c>
      <c r="P470" s="12" t="s">
        <v>269</v>
      </c>
      <c r="Q470" s="7" t="str">
        <f t="shared" si="22"/>
        <v>(1966,8,'1966.02.26',23,69,80,83,87,0),</v>
      </c>
      <c r="R470" s="7" t="str">
        <f t="shared" si="24"/>
        <v>(1966,8,'1966.02.26',23,69,80,83,87),</v>
      </c>
    </row>
    <row r="471" spans="1:18" x14ac:dyDescent="0.25">
      <c r="A471" s="7" t="s">
        <v>5865</v>
      </c>
      <c r="B471" s="8" t="s">
        <v>198</v>
      </c>
      <c r="C471" s="10">
        <f t="shared" si="23"/>
        <v>24171</v>
      </c>
      <c r="D471" t="s">
        <v>11</v>
      </c>
      <c r="E471" t="s">
        <v>12</v>
      </c>
      <c r="F471" t="s">
        <v>11</v>
      </c>
      <c r="G471" t="s">
        <v>12</v>
      </c>
      <c r="H471" t="s">
        <v>11</v>
      </c>
      <c r="I471" t="s">
        <v>12</v>
      </c>
      <c r="J471" t="s">
        <v>11</v>
      </c>
      <c r="K471" t="s">
        <v>12</v>
      </c>
      <c r="L471" s="12" t="s">
        <v>53</v>
      </c>
      <c r="M471" s="12" t="s">
        <v>232</v>
      </c>
      <c r="N471" s="12" t="s">
        <v>54</v>
      </c>
      <c r="O471" s="12" t="s">
        <v>105</v>
      </c>
      <c r="P471" s="12" t="s">
        <v>301</v>
      </c>
      <c r="Q471" s="7" t="str">
        <f t="shared" si="22"/>
        <v>(1966,9,'1966.03.05',7,8,15,50,80,0),</v>
      </c>
      <c r="R471" s="7" t="str">
        <f t="shared" si="24"/>
        <v>(1966,9,'1966.03.05',7,8,15,50,80),</v>
      </c>
    </row>
    <row r="472" spans="1:18" x14ac:dyDescent="0.25">
      <c r="A472" s="7" t="s">
        <v>5865</v>
      </c>
      <c r="B472" s="8" t="s">
        <v>62</v>
      </c>
      <c r="C472" s="10">
        <f t="shared" si="23"/>
        <v>24178</v>
      </c>
      <c r="D472" t="s">
        <v>11</v>
      </c>
      <c r="E472" t="s">
        <v>12</v>
      </c>
      <c r="F472" t="s">
        <v>11</v>
      </c>
      <c r="G472" t="s">
        <v>12</v>
      </c>
      <c r="H472" t="s">
        <v>11</v>
      </c>
      <c r="I472" t="s">
        <v>12</v>
      </c>
      <c r="J472" t="s">
        <v>11</v>
      </c>
      <c r="K472" t="s">
        <v>12</v>
      </c>
      <c r="L472" s="12" t="s">
        <v>122</v>
      </c>
      <c r="M472" s="12" t="s">
        <v>82</v>
      </c>
      <c r="N472" s="12" t="s">
        <v>214</v>
      </c>
      <c r="O472" s="12" t="s">
        <v>106</v>
      </c>
      <c r="P472" s="12" t="s">
        <v>308</v>
      </c>
      <c r="Q472" s="7" t="str">
        <f t="shared" si="22"/>
        <v>(1966,10,'1966.03.12',51,59,64,75,86,0),</v>
      </c>
      <c r="R472" s="7" t="str">
        <f t="shared" si="24"/>
        <v>(1966,10,'1966.03.12',51,59,64,75,86),</v>
      </c>
    </row>
    <row r="473" spans="1:18" x14ac:dyDescent="0.25">
      <c r="A473" s="7" t="s">
        <v>5865</v>
      </c>
      <c r="B473" s="8" t="s">
        <v>83</v>
      </c>
      <c r="C473" s="10">
        <f t="shared" si="23"/>
        <v>24185</v>
      </c>
      <c r="D473" t="s">
        <v>11</v>
      </c>
      <c r="E473" t="s">
        <v>12</v>
      </c>
      <c r="F473" t="s">
        <v>11</v>
      </c>
      <c r="G473" t="s">
        <v>12</v>
      </c>
      <c r="H473" t="s">
        <v>11</v>
      </c>
      <c r="I473" t="s">
        <v>12</v>
      </c>
      <c r="J473" t="s">
        <v>11</v>
      </c>
      <c r="K473" t="s">
        <v>12</v>
      </c>
      <c r="L473" s="12" t="s">
        <v>168</v>
      </c>
      <c r="M473" s="12" t="s">
        <v>90</v>
      </c>
      <c r="N473" s="12" t="s">
        <v>24</v>
      </c>
      <c r="O473" s="12" t="s">
        <v>34</v>
      </c>
      <c r="P473" s="12" t="s">
        <v>379</v>
      </c>
      <c r="Q473" s="7" t="str">
        <f t="shared" si="22"/>
        <v>(1966,11,'1966.03.19',4,17,39,49,89,0),</v>
      </c>
      <c r="R473" s="7" t="str">
        <f t="shared" si="24"/>
        <v>(1966,11,'1966.03.19',4,17,39,49,89),</v>
      </c>
    </row>
    <row r="474" spans="1:18" x14ac:dyDescent="0.25">
      <c r="A474" s="7" t="s">
        <v>5865</v>
      </c>
      <c r="B474" s="8" t="s">
        <v>31</v>
      </c>
      <c r="C474" s="10">
        <f t="shared" si="23"/>
        <v>24192</v>
      </c>
      <c r="D474" t="s">
        <v>11</v>
      </c>
      <c r="E474" t="s">
        <v>12</v>
      </c>
      <c r="F474" t="s">
        <v>11</v>
      </c>
      <c r="G474" t="s">
        <v>12</v>
      </c>
      <c r="H474" t="s">
        <v>11</v>
      </c>
      <c r="I474" t="s">
        <v>12</v>
      </c>
      <c r="J474" t="s">
        <v>11</v>
      </c>
      <c r="K474" t="s">
        <v>12</v>
      </c>
      <c r="L474" s="12" t="s">
        <v>65</v>
      </c>
      <c r="M474" s="12" t="s">
        <v>116</v>
      </c>
      <c r="N474" s="12" t="s">
        <v>233</v>
      </c>
      <c r="O474" s="12" t="s">
        <v>56</v>
      </c>
      <c r="P474" s="12" t="s">
        <v>143</v>
      </c>
      <c r="Q474" s="7" t="str">
        <f t="shared" si="22"/>
        <v>(1966,12,'1966.03.26',13,29,66,71,77,0),</v>
      </c>
      <c r="R474" s="7" t="str">
        <f t="shared" si="24"/>
        <v>(1966,12,'1966.03.26',13,29,66,71,77),</v>
      </c>
    </row>
    <row r="475" spans="1:18" x14ac:dyDescent="0.25">
      <c r="A475" s="7" t="s">
        <v>5865</v>
      </c>
      <c r="B475" s="8" t="s">
        <v>65</v>
      </c>
      <c r="C475" s="10">
        <f t="shared" si="23"/>
        <v>24199</v>
      </c>
      <c r="D475" t="s">
        <v>11</v>
      </c>
      <c r="E475" t="s">
        <v>12</v>
      </c>
      <c r="F475" t="s">
        <v>11</v>
      </c>
      <c r="G475" t="s">
        <v>12</v>
      </c>
      <c r="H475" t="s">
        <v>11</v>
      </c>
      <c r="I475" t="s">
        <v>12</v>
      </c>
      <c r="J475" t="s">
        <v>11</v>
      </c>
      <c r="K475" t="s">
        <v>12</v>
      </c>
      <c r="L475" s="12" t="s">
        <v>127</v>
      </c>
      <c r="M475" s="12" t="s">
        <v>98</v>
      </c>
      <c r="N475" s="12" t="s">
        <v>199</v>
      </c>
      <c r="O475" s="12" t="s">
        <v>72</v>
      </c>
      <c r="P475" s="12" t="s">
        <v>151</v>
      </c>
      <c r="Q475" s="7" t="str">
        <f t="shared" si="22"/>
        <v>(1966,13,'1966.04.02',14,42,53,67,79,0),</v>
      </c>
      <c r="R475" s="7" t="str">
        <f t="shared" si="24"/>
        <v>(1966,13,'1966.04.02',14,42,53,67,79),</v>
      </c>
    </row>
    <row r="476" spans="1:18" x14ac:dyDescent="0.25">
      <c r="A476" s="7" t="s">
        <v>5865</v>
      </c>
      <c r="B476" s="8" t="s">
        <v>127</v>
      </c>
      <c r="C476" s="10">
        <f t="shared" si="23"/>
        <v>24206</v>
      </c>
      <c r="D476" t="s">
        <v>11</v>
      </c>
      <c r="E476" t="s">
        <v>12</v>
      </c>
      <c r="F476" t="s">
        <v>11</v>
      </c>
      <c r="G476" t="s">
        <v>12</v>
      </c>
      <c r="H476" t="s">
        <v>11</v>
      </c>
      <c r="I476" t="s">
        <v>12</v>
      </c>
      <c r="J476" t="s">
        <v>11</v>
      </c>
      <c r="K476" t="s">
        <v>12</v>
      </c>
      <c r="L476" s="12" t="s">
        <v>98</v>
      </c>
      <c r="M476" s="12" t="s">
        <v>47</v>
      </c>
      <c r="N476" s="12" t="s">
        <v>245</v>
      </c>
      <c r="O476" s="12" t="s">
        <v>468</v>
      </c>
      <c r="P476" s="12" t="s">
        <v>379</v>
      </c>
      <c r="Q476" s="7" t="str">
        <f t="shared" si="22"/>
        <v>(1966,14,'1966.04.09',42,69,74,85,89,0),</v>
      </c>
      <c r="R476" s="7" t="str">
        <f t="shared" si="24"/>
        <v>(1966,14,'1966.04.09',42,69,74,85,89),</v>
      </c>
    </row>
    <row r="477" spans="1:18" x14ac:dyDescent="0.25">
      <c r="A477" s="7" t="s">
        <v>5865</v>
      </c>
      <c r="B477" s="8" t="s">
        <v>54</v>
      </c>
      <c r="C477" s="10">
        <f t="shared" si="23"/>
        <v>24213</v>
      </c>
      <c r="D477" t="s">
        <v>11</v>
      </c>
      <c r="E477" t="s">
        <v>12</v>
      </c>
      <c r="F477" t="s">
        <v>11</v>
      </c>
      <c r="G477" t="s">
        <v>12</v>
      </c>
      <c r="H477" t="s">
        <v>11</v>
      </c>
      <c r="I477" t="s">
        <v>12</v>
      </c>
      <c r="J477" t="s">
        <v>11</v>
      </c>
      <c r="K477" t="s">
        <v>12</v>
      </c>
      <c r="L477" s="12" t="s">
        <v>46</v>
      </c>
      <c r="M477" s="12" t="s">
        <v>45</v>
      </c>
      <c r="N477" s="12" t="s">
        <v>23</v>
      </c>
      <c r="O477" s="12" t="s">
        <v>233</v>
      </c>
      <c r="P477" s="12" t="s">
        <v>125</v>
      </c>
      <c r="Q477" s="7" t="str">
        <f t="shared" si="22"/>
        <v>(1966,15,'1966.04.16',37,43,60,66,83,0),</v>
      </c>
      <c r="R477" s="7" t="str">
        <f t="shared" si="24"/>
        <v>(1966,15,'1966.04.16',37,43,60,66,83),</v>
      </c>
    </row>
    <row r="478" spans="1:18" x14ac:dyDescent="0.25">
      <c r="A478" s="7" t="s">
        <v>5865</v>
      </c>
      <c r="B478" s="8" t="s">
        <v>43</v>
      </c>
      <c r="C478" s="10">
        <f t="shared" si="23"/>
        <v>24220</v>
      </c>
      <c r="D478" t="s">
        <v>11</v>
      </c>
      <c r="E478" t="s">
        <v>12</v>
      </c>
      <c r="F478" t="s">
        <v>11</v>
      </c>
      <c r="G478" t="s">
        <v>12</v>
      </c>
      <c r="H478" t="s">
        <v>11</v>
      </c>
      <c r="I478" t="s">
        <v>12</v>
      </c>
      <c r="J478" t="s">
        <v>11</v>
      </c>
      <c r="K478" t="s">
        <v>12</v>
      </c>
      <c r="L478" s="12" t="s">
        <v>168</v>
      </c>
      <c r="M478" s="12" t="s">
        <v>90</v>
      </c>
      <c r="N478" s="12" t="s">
        <v>98</v>
      </c>
      <c r="O478" s="12" t="s">
        <v>248</v>
      </c>
      <c r="P478" s="12" t="s">
        <v>468</v>
      </c>
      <c r="Q478" s="7" t="str">
        <f t="shared" si="22"/>
        <v>(1966,16,'1966.04.23',4,17,42,63,85,0),</v>
      </c>
      <c r="R478" s="7" t="str">
        <f t="shared" si="24"/>
        <v>(1966,16,'1966.04.23',4,17,42,63,85),</v>
      </c>
    </row>
    <row r="479" spans="1:18" x14ac:dyDescent="0.25">
      <c r="A479" s="7" t="s">
        <v>5865</v>
      </c>
      <c r="B479" s="8" t="s">
        <v>90</v>
      </c>
      <c r="C479" s="10">
        <f t="shared" si="23"/>
        <v>24227</v>
      </c>
      <c r="D479" t="s">
        <v>11</v>
      </c>
      <c r="E479" t="s">
        <v>12</v>
      </c>
      <c r="F479" t="s">
        <v>11</v>
      </c>
      <c r="G479" t="s">
        <v>12</v>
      </c>
      <c r="H479" t="s">
        <v>11</v>
      </c>
      <c r="I479" t="s">
        <v>12</v>
      </c>
      <c r="J479" t="s">
        <v>11</v>
      </c>
      <c r="K479" t="s">
        <v>12</v>
      </c>
      <c r="L479" s="12" t="s">
        <v>20</v>
      </c>
      <c r="M479" s="12" t="s">
        <v>123</v>
      </c>
      <c r="N479" s="12" t="s">
        <v>56</v>
      </c>
      <c r="O479" s="12" t="s">
        <v>73</v>
      </c>
      <c r="P479" s="12" t="s">
        <v>246</v>
      </c>
      <c r="Q479" s="7" t="str">
        <f t="shared" si="22"/>
        <v>(1966,17,'1966.04.30',33,54,71,76,84,0),</v>
      </c>
      <c r="R479" s="7" t="str">
        <f t="shared" si="24"/>
        <v>(1966,17,'1966.04.30',33,54,71,76,84),</v>
      </c>
    </row>
    <row r="480" spans="1:18" x14ac:dyDescent="0.25">
      <c r="A480" s="7" t="s">
        <v>5865</v>
      </c>
      <c r="B480" s="8" t="s">
        <v>19</v>
      </c>
      <c r="C480" s="10">
        <f t="shared" si="23"/>
        <v>24234</v>
      </c>
      <c r="D480" t="s">
        <v>11</v>
      </c>
      <c r="E480" t="s">
        <v>12</v>
      </c>
      <c r="F480" t="s">
        <v>11</v>
      </c>
      <c r="G480" t="s">
        <v>12</v>
      </c>
      <c r="H480" t="s">
        <v>11</v>
      </c>
      <c r="I480" t="s">
        <v>12</v>
      </c>
      <c r="J480" t="s">
        <v>11</v>
      </c>
      <c r="K480" t="s">
        <v>12</v>
      </c>
      <c r="L480" s="12" t="s">
        <v>55</v>
      </c>
      <c r="M480" s="12" t="s">
        <v>142</v>
      </c>
      <c r="N480" s="12" t="s">
        <v>105</v>
      </c>
      <c r="O480" s="12" t="s">
        <v>124</v>
      </c>
      <c r="P480" s="12" t="s">
        <v>200</v>
      </c>
      <c r="Q480" s="7" t="str">
        <f t="shared" si="22"/>
        <v>(1966,18,'1966.05.07',19,44,50,62,70,0),</v>
      </c>
      <c r="R480" s="7" t="str">
        <f t="shared" si="24"/>
        <v>(1966,18,'1966.05.07',19,44,50,62,70),</v>
      </c>
    </row>
    <row r="481" spans="1:18" x14ac:dyDescent="0.25">
      <c r="A481" s="7" t="s">
        <v>5865</v>
      </c>
      <c r="B481" s="8" t="s">
        <v>55</v>
      </c>
      <c r="C481" s="10">
        <f t="shared" si="23"/>
        <v>24241</v>
      </c>
      <c r="D481" t="s">
        <v>11</v>
      </c>
      <c r="E481" t="s">
        <v>12</v>
      </c>
      <c r="F481" t="s">
        <v>11</v>
      </c>
      <c r="G481" t="s">
        <v>12</v>
      </c>
      <c r="H481" t="s">
        <v>11</v>
      </c>
      <c r="I481" t="s">
        <v>12</v>
      </c>
      <c r="J481" t="s">
        <v>11</v>
      </c>
      <c r="K481" t="s">
        <v>12</v>
      </c>
      <c r="L481" s="12" t="s">
        <v>168</v>
      </c>
      <c r="M481" s="12" t="s">
        <v>53</v>
      </c>
      <c r="N481" s="12" t="s">
        <v>33</v>
      </c>
      <c r="O481" s="12" t="s">
        <v>116</v>
      </c>
      <c r="P481" s="12" t="s">
        <v>107</v>
      </c>
      <c r="Q481" s="7" t="str">
        <f t="shared" si="22"/>
        <v>(1966,19,'1966.05.14',4,7,24,29,30,0),</v>
      </c>
      <c r="R481" s="7" t="str">
        <f t="shared" si="24"/>
        <v>(1966,19,'1966.05.14',4,7,24,29,30),</v>
      </c>
    </row>
    <row r="482" spans="1:18" x14ac:dyDescent="0.25">
      <c r="A482" s="7" t="s">
        <v>5865</v>
      </c>
      <c r="B482" s="8" t="s">
        <v>115</v>
      </c>
      <c r="C482" s="10">
        <f t="shared" si="23"/>
        <v>24248</v>
      </c>
      <c r="D482" t="s">
        <v>11</v>
      </c>
      <c r="E482" t="s">
        <v>12</v>
      </c>
      <c r="F482" t="s">
        <v>11</v>
      </c>
      <c r="G482" t="s">
        <v>12</v>
      </c>
      <c r="H482" t="s">
        <v>11</v>
      </c>
      <c r="I482" t="s">
        <v>12</v>
      </c>
      <c r="J482" t="s">
        <v>11</v>
      </c>
      <c r="K482" t="s">
        <v>12</v>
      </c>
      <c r="L482" s="12" t="s">
        <v>31</v>
      </c>
      <c r="M482" s="12" t="s">
        <v>163</v>
      </c>
      <c r="N482" s="12" t="s">
        <v>81</v>
      </c>
      <c r="O482" s="12" t="s">
        <v>82</v>
      </c>
      <c r="P482" s="12" t="s">
        <v>233</v>
      </c>
      <c r="Q482" s="7" t="str">
        <f t="shared" si="22"/>
        <v>(1966,20,'1966.05.21',12,23,47,59,66,0),</v>
      </c>
      <c r="R482" s="7" t="str">
        <f t="shared" si="24"/>
        <v>(1966,20,'1966.05.21',12,23,47,59,66),</v>
      </c>
    </row>
    <row r="483" spans="1:18" x14ac:dyDescent="0.25">
      <c r="A483" s="7" t="s">
        <v>5865</v>
      </c>
      <c r="B483" s="8" t="s">
        <v>44</v>
      </c>
      <c r="C483" s="10">
        <f t="shared" si="23"/>
        <v>24255</v>
      </c>
      <c r="D483" t="s">
        <v>11</v>
      </c>
      <c r="E483" t="s">
        <v>12</v>
      </c>
      <c r="F483" t="s">
        <v>11</v>
      </c>
      <c r="G483" t="s">
        <v>12</v>
      </c>
      <c r="H483" t="s">
        <v>11</v>
      </c>
      <c r="I483" t="s">
        <v>12</v>
      </c>
      <c r="J483" t="s">
        <v>11</v>
      </c>
      <c r="K483" t="s">
        <v>12</v>
      </c>
      <c r="L483" s="12" t="s">
        <v>232</v>
      </c>
      <c r="M483" s="12" t="s">
        <v>62</v>
      </c>
      <c r="N483" s="12" t="s">
        <v>32</v>
      </c>
      <c r="O483" s="12" t="s">
        <v>80</v>
      </c>
      <c r="P483" s="12" t="s">
        <v>21</v>
      </c>
      <c r="Q483" s="7" t="str">
        <f t="shared" si="22"/>
        <v>(1966,21,'1966.05.28',8,10,22,32,36,0),</v>
      </c>
      <c r="R483" s="7" t="str">
        <f t="shared" si="24"/>
        <v>(1966,21,'1966.05.28',8,10,22,32,36),</v>
      </c>
    </row>
    <row r="484" spans="1:18" x14ac:dyDescent="0.25">
      <c r="A484" s="7" t="s">
        <v>5865</v>
      </c>
      <c r="B484" s="8" t="s">
        <v>32</v>
      </c>
      <c r="C484" s="10">
        <f t="shared" si="23"/>
        <v>24262</v>
      </c>
      <c r="D484" t="s">
        <v>11</v>
      </c>
      <c r="E484" t="s">
        <v>12</v>
      </c>
      <c r="F484" t="s">
        <v>11</v>
      </c>
      <c r="G484" t="s">
        <v>12</v>
      </c>
      <c r="H484" t="s">
        <v>11</v>
      </c>
      <c r="I484" t="s">
        <v>12</v>
      </c>
      <c r="J484" t="s">
        <v>11</v>
      </c>
      <c r="K484" t="s">
        <v>12</v>
      </c>
      <c r="L484" s="12" t="s">
        <v>42</v>
      </c>
      <c r="M484" s="12" t="s">
        <v>89</v>
      </c>
      <c r="N484" s="12" t="s">
        <v>169</v>
      </c>
      <c r="O484" s="12" t="s">
        <v>72</v>
      </c>
      <c r="P484" s="12" t="s">
        <v>201</v>
      </c>
      <c r="Q484" s="7" t="str">
        <f t="shared" si="22"/>
        <v>(1966,22,'1966.06.04',3,5,58,67,72,0),</v>
      </c>
      <c r="R484" s="7" t="str">
        <f t="shared" si="24"/>
        <v>(1966,22,'1966.06.04',3,5,58,67,72),</v>
      </c>
    </row>
    <row r="485" spans="1:18" x14ac:dyDescent="0.25">
      <c r="A485" s="7" t="s">
        <v>5865</v>
      </c>
      <c r="B485" s="8" t="s">
        <v>163</v>
      </c>
      <c r="C485" s="10">
        <f t="shared" si="23"/>
        <v>24269</v>
      </c>
      <c r="D485" t="s">
        <v>11</v>
      </c>
      <c r="E485" t="s">
        <v>12</v>
      </c>
      <c r="F485" t="s">
        <v>11</v>
      </c>
      <c r="G485" t="s">
        <v>12</v>
      </c>
      <c r="H485" t="s">
        <v>11</v>
      </c>
      <c r="I485" t="s">
        <v>12</v>
      </c>
      <c r="J485" t="s">
        <v>11</v>
      </c>
      <c r="K485" t="s">
        <v>12</v>
      </c>
      <c r="L485" s="12" t="s">
        <v>108</v>
      </c>
      <c r="M485" s="12" t="s">
        <v>19</v>
      </c>
      <c r="N485" s="12" t="s">
        <v>126</v>
      </c>
      <c r="O485" s="12" t="s">
        <v>200</v>
      </c>
      <c r="P485" s="12" t="s">
        <v>56</v>
      </c>
      <c r="Q485" s="7" t="str">
        <f t="shared" si="22"/>
        <v>(1966,23,'1966.06.11',1,18,28,70,71,0),</v>
      </c>
      <c r="R485" s="7" t="str">
        <f t="shared" si="24"/>
        <v>(1966,23,'1966.06.11',1,18,28,70,71),</v>
      </c>
    </row>
    <row r="486" spans="1:18" x14ac:dyDescent="0.25">
      <c r="A486" s="7" t="s">
        <v>5865</v>
      </c>
      <c r="B486" s="8" t="s">
        <v>33</v>
      </c>
      <c r="C486" s="10">
        <f t="shared" si="23"/>
        <v>24276</v>
      </c>
      <c r="D486" t="s">
        <v>11</v>
      </c>
      <c r="E486" t="s">
        <v>12</v>
      </c>
      <c r="F486" t="s">
        <v>11</v>
      </c>
      <c r="G486" t="s">
        <v>12</v>
      </c>
      <c r="H486" t="s">
        <v>11</v>
      </c>
      <c r="I486" t="s">
        <v>12</v>
      </c>
      <c r="J486" t="s">
        <v>11</v>
      </c>
      <c r="K486" t="s">
        <v>12</v>
      </c>
      <c r="L486" s="12" t="s">
        <v>65</v>
      </c>
      <c r="M486" s="12" t="s">
        <v>44</v>
      </c>
      <c r="N486" s="12" t="s">
        <v>80</v>
      </c>
      <c r="O486" s="12" t="s">
        <v>36</v>
      </c>
      <c r="P486" s="12" t="s">
        <v>13</v>
      </c>
      <c r="Q486" s="7" t="str">
        <f t="shared" si="22"/>
        <v>(1966,24,'1966.06.18',13,21,32,38,41,0),</v>
      </c>
      <c r="R486" s="7" t="str">
        <f t="shared" si="24"/>
        <v>(1966,24,'1966.06.18',13,21,32,38,41),</v>
      </c>
    </row>
    <row r="487" spans="1:18" x14ac:dyDescent="0.25">
      <c r="A487" s="7" t="s">
        <v>5865</v>
      </c>
      <c r="B487" s="8" t="s">
        <v>152</v>
      </c>
      <c r="C487" s="10">
        <f t="shared" si="23"/>
        <v>24283</v>
      </c>
      <c r="D487" t="s">
        <v>11</v>
      </c>
      <c r="E487" t="s">
        <v>12</v>
      </c>
      <c r="F487" t="s">
        <v>11</v>
      </c>
      <c r="G487" t="s">
        <v>12</v>
      </c>
      <c r="H487" t="s">
        <v>11</v>
      </c>
      <c r="I487" t="s">
        <v>12</v>
      </c>
      <c r="J487" t="s">
        <v>11</v>
      </c>
      <c r="K487" t="s">
        <v>12</v>
      </c>
      <c r="L487" s="12" t="s">
        <v>33</v>
      </c>
      <c r="M487" s="12" t="s">
        <v>74</v>
      </c>
      <c r="N487" s="12" t="s">
        <v>150</v>
      </c>
      <c r="O487" s="12" t="s">
        <v>106</v>
      </c>
      <c r="P487" s="12" t="s">
        <v>186</v>
      </c>
      <c r="Q487" s="7" t="str">
        <f t="shared" si="22"/>
        <v>(1966,25,'1966.06.25',24,26,57,75,90,0),</v>
      </c>
      <c r="R487" s="7" t="str">
        <f t="shared" si="24"/>
        <v>(1966,25,'1966.06.25',24,26,57,75,90),</v>
      </c>
    </row>
    <row r="488" spans="1:18" x14ac:dyDescent="0.25">
      <c r="A488" s="7" t="s">
        <v>5865</v>
      </c>
      <c r="B488" s="8" t="s">
        <v>74</v>
      </c>
      <c r="C488" s="10">
        <f t="shared" si="23"/>
        <v>24290</v>
      </c>
      <c r="D488" t="s">
        <v>11</v>
      </c>
      <c r="E488" t="s">
        <v>12</v>
      </c>
      <c r="F488" t="s">
        <v>11</v>
      </c>
      <c r="G488" t="s">
        <v>12</v>
      </c>
      <c r="H488" t="s">
        <v>11</v>
      </c>
      <c r="I488" t="s">
        <v>12</v>
      </c>
      <c r="J488" t="s">
        <v>11</v>
      </c>
      <c r="K488" t="s">
        <v>12</v>
      </c>
      <c r="L488" s="12" t="s">
        <v>13</v>
      </c>
      <c r="M488" s="12" t="s">
        <v>23</v>
      </c>
      <c r="N488" s="12" t="s">
        <v>233</v>
      </c>
      <c r="O488" s="12" t="s">
        <v>92</v>
      </c>
      <c r="P488" s="12" t="s">
        <v>246</v>
      </c>
      <c r="Q488" s="7" t="str">
        <f t="shared" si="22"/>
        <v>(1966,26,'1966.07.02',41,60,66,68,84,0),</v>
      </c>
      <c r="R488" s="7" t="str">
        <f t="shared" si="24"/>
        <v>(1966,26,'1966.07.02',41,60,66,68,84),</v>
      </c>
    </row>
    <row r="489" spans="1:18" x14ac:dyDescent="0.25">
      <c r="A489" s="7" t="s">
        <v>5865</v>
      </c>
      <c r="B489" s="8" t="s">
        <v>135</v>
      </c>
      <c r="C489" s="10">
        <f t="shared" si="23"/>
        <v>24297</v>
      </c>
      <c r="D489" t="s">
        <v>11</v>
      </c>
      <c r="E489" t="s">
        <v>12</v>
      </c>
      <c r="F489" t="s">
        <v>11</v>
      </c>
      <c r="G489" t="s">
        <v>12</v>
      </c>
      <c r="H489" t="s">
        <v>11</v>
      </c>
      <c r="I489" t="s">
        <v>12</v>
      </c>
      <c r="J489" t="s">
        <v>11</v>
      </c>
      <c r="K489" t="s">
        <v>12</v>
      </c>
      <c r="L489" s="12" t="s">
        <v>108</v>
      </c>
      <c r="M489" s="12" t="s">
        <v>270</v>
      </c>
      <c r="N489" s="12" t="s">
        <v>53</v>
      </c>
      <c r="O489" s="12" t="s">
        <v>43</v>
      </c>
      <c r="P489" s="12" t="s">
        <v>142</v>
      </c>
      <c r="Q489" s="7" t="str">
        <f t="shared" si="22"/>
        <v>(1966,27,'1966.07.09',1,6,7,16,44,0),</v>
      </c>
      <c r="R489" s="7" t="str">
        <f t="shared" si="24"/>
        <v>(1966,27,'1966.07.09',1,6,7,16,44),</v>
      </c>
    </row>
    <row r="490" spans="1:18" x14ac:dyDescent="0.25">
      <c r="A490" s="7" t="s">
        <v>5865</v>
      </c>
      <c r="B490" s="8" t="s">
        <v>126</v>
      </c>
      <c r="C490" s="10">
        <f t="shared" si="23"/>
        <v>24304</v>
      </c>
      <c r="D490" t="s">
        <v>11</v>
      </c>
      <c r="E490" t="s">
        <v>12</v>
      </c>
      <c r="F490" t="s">
        <v>11</v>
      </c>
      <c r="G490" t="s">
        <v>12</v>
      </c>
      <c r="H490" t="s">
        <v>11</v>
      </c>
      <c r="I490" t="s">
        <v>12</v>
      </c>
      <c r="J490" t="s">
        <v>11</v>
      </c>
      <c r="K490" t="s">
        <v>12</v>
      </c>
      <c r="L490" s="12" t="s">
        <v>55</v>
      </c>
      <c r="M490" s="12" t="s">
        <v>163</v>
      </c>
      <c r="N490" s="12" t="s">
        <v>123</v>
      </c>
      <c r="O490" s="12" t="s">
        <v>134</v>
      </c>
      <c r="P490" s="12" t="s">
        <v>91</v>
      </c>
      <c r="Q490" s="7" t="str">
        <f t="shared" si="22"/>
        <v>(1966,28,'1966.07.16',19,23,54,56,61,0),</v>
      </c>
      <c r="R490" s="7" t="str">
        <f t="shared" si="24"/>
        <v>(1966,28,'1966.07.16',19,23,54,56,61),</v>
      </c>
    </row>
    <row r="491" spans="1:18" x14ac:dyDescent="0.25">
      <c r="A491" s="7" t="s">
        <v>5865</v>
      </c>
      <c r="B491" s="8" t="s">
        <v>116</v>
      </c>
      <c r="C491" s="10">
        <f t="shared" si="23"/>
        <v>24311</v>
      </c>
      <c r="D491" t="s">
        <v>11</v>
      </c>
      <c r="E491" t="s">
        <v>12</v>
      </c>
      <c r="F491" t="s">
        <v>11</v>
      </c>
      <c r="G491" t="s">
        <v>12</v>
      </c>
      <c r="H491" t="s">
        <v>11</v>
      </c>
      <c r="I491" t="s">
        <v>12</v>
      </c>
      <c r="J491" t="s">
        <v>11</v>
      </c>
      <c r="K491" t="s">
        <v>12</v>
      </c>
      <c r="L491" s="12" t="s">
        <v>44</v>
      </c>
      <c r="M491" s="12" t="s">
        <v>98</v>
      </c>
      <c r="N491" s="12" t="s">
        <v>81</v>
      </c>
      <c r="O491" s="12" t="s">
        <v>47</v>
      </c>
      <c r="P491" s="12" t="s">
        <v>245</v>
      </c>
      <c r="Q491" s="7" t="str">
        <f t="shared" si="22"/>
        <v>(1966,29,'1966.07.23',21,42,47,69,74,0),</v>
      </c>
      <c r="R491" s="7" t="str">
        <f t="shared" si="24"/>
        <v>(1966,29,'1966.07.23',21,42,47,69,74),</v>
      </c>
    </row>
    <row r="492" spans="1:18" x14ac:dyDescent="0.25">
      <c r="A492" s="7" t="s">
        <v>5865</v>
      </c>
      <c r="B492" s="8" t="s">
        <v>107</v>
      </c>
      <c r="C492" s="10">
        <f t="shared" si="23"/>
        <v>24318</v>
      </c>
      <c r="D492" t="s">
        <v>11</v>
      </c>
      <c r="E492" t="s">
        <v>12</v>
      </c>
      <c r="F492" t="s">
        <v>11</v>
      </c>
      <c r="G492" t="s">
        <v>12</v>
      </c>
      <c r="H492" t="s">
        <v>11</v>
      </c>
      <c r="I492" t="s">
        <v>12</v>
      </c>
      <c r="J492" t="s">
        <v>11</v>
      </c>
      <c r="K492" t="s">
        <v>12</v>
      </c>
      <c r="L492" s="12" t="s">
        <v>133</v>
      </c>
      <c r="M492" s="12" t="s">
        <v>34</v>
      </c>
      <c r="N492" s="12" t="s">
        <v>56</v>
      </c>
      <c r="O492" s="12" t="s">
        <v>63</v>
      </c>
      <c r="P492" s="12" t="s">
        <v>308</v>
      </c>
      <c r="Q492" s="7" t="str">
        <f t="shared" si="22"/>
        <v>(1966,30,'1966.07.30',45,49,71,78,86,0),</v>
      </c>
      <c r="R492" s="7" t="str">
        <f t="shared" si="24"/>
        <v>(1966,30,'1966.07.30',45,49,71,78,86),</v>
      </c>
    </row>
    <row r="493" spans="1:18" x14ac:dyDescent="0.25">
      <c r="A493" s="7" t="s">
        <v>5865</v>
      </c>
      <c r="B493" s="8" t="s">
        <v>71</v>
      </c>
      <c r="C493" s="10">
        <f t="shared" si="23"/>
        <v>24325</v>
      </c>
      <c r="D493" t="s">
        <v>11</v>
      </c>
      <c r="E493" t="s">
        <v>12</v>
      </c>
      <c r="F493" t="s">
        <v>11</v>
      </c>
      <c r="G493" t="s">
        <v>12</v>
      </c>
      <c r="H493" t="s">
        <v>11</v>
      </c>
      <c r="I493" t="s">
        <v>12</v>
      </c>
      <c r="J493" t="s">
        <v>11</v>
      </c>
      <c r="K493" t="s">
        <v>12</v>
      </c>
      <c r="L493" s="12" t="s">
        <v>74</v>
      </c>
      <c r="M493" s="12" t="s">
        <v>135</v>
      </c>
      <c r="N493" s="12" t="s">
        <v>133</v>
      </c>
      <c r="O493" s="12" t="s">
        <v>199</v>
      </c>
      <c r="P493" s="12" t="s">
        <v>47</v>
      </c>
      <c r="Q493" s="7" t="str">
        <f t="shared" si="22"/>
        <v>(1966,31,'1966.08.06',26,27,45,53,69,0),</v>
      </c>
      <c r="R493" s="7" t="str">
        <f t="shared" si="24"/>
        <v>(1966,31,'1966.08.06',26,27,45,53,69),</v>
      </c>
    </row>
    <row r="494" spans="1:18" x14ac:dyDescent="0.25">
      <c r="A494" s="7" t="s">
        <v>5865</v>
      </c>
      <c r="B494" s="8" t="s">
        <v>80</v>
      </c>
      <c r="C494" s="10">
        <f t="shared" si="23"/>
        <v>24332</v>
      </c>
      <c r="D494" t="s">
        <v>11</v>
      </c>
      <c r="E494" t="s">
        <v>12</v>
      </c>
      <c r="F494" t="s">
        <v>11</v>
      </c>
      <c r="G494" t="s">
        <v>12</v>
      </c>
      <c r="H494" t="s">
        <v>11</v>
      </c>
      <c r="I494" t="s">
        <v>12</v>
      </c>
      <c r="J494" t="s">
        <v>11</v>
      </c>
      <c r="K494" t="s">
        <v>12</v>
      </c>
      <c r="L494" s="12" t="s">
        <v>198</v>
      </c>
      <c r="M494" s="12" t="s">
        <v>115</v>
      </c>
      <c r="N494" s="12" t="s">
        <v>163</v>
      </c>
      <c r="O494" s="12" t="s">
        <v>99</v>
      </c>
      <c r="P494" s="12" t="s">
        <v>199</v>
      </c>
      <c r="Q494" s="7" t="str">
        <f t="shared" si="22"/>
        <v>(1966,32,'1966.08.13',9,20,23,52,53,0),</v>
      </c>
      <c r="R494" s="7" t="str">
        <f t="shared" si="24"/>
        <v>(1966,32,'1966.08.13',9,20,23,52,53),</v>
      </c>
    </row>
    <row r="495" spans="1:18" x14ac:dyDescent="0.25">
      <c r="A495" s="7" t="s">
        <v>5865</v>
      </c>
      <c r="B495" s="8" t="s">
        <v>20</v>
      </c>
      <c r="C495" s="10">
        <f t="shared" si="23"/>
        <v>24339</v>
      </c>
      <c r="D495" t="s">
        <v>11</v>
      </c>
      <c r="E495" t="s">
        <v>12</v>
      </c>
      <c r="F495" t="s">
        <v>11</v>
      </c>
      <c r="G495" t="s">
        <v>12</v>
      </c>
      <c r="H495" t="s">
        <v>11</v>
      </c>
      <c r="I495" t="s">
        <v>12</v>
      </c>
      <c r="J495" t="s">
        <v>11</v>
      </c>
      <c r="K495" t="s">
        <v>12</v>
      </c>
      <c r="L495" s="12" t="s">
        <v>207</v>
      </c>
      <c r="M495" s="12" t="s">
        <v>71</v>
      </c>
      <c r="N495" s="12" t="s">
        <v>21</v>
      </c>
      <c r="O495" s="12" t="s">
        <v>45</v>
      </c>
      <c r="P495" s="12" t="s">
        <v>246</v>
      </c>
      <c r="Q495" s="7" t="str">
        <f t="shared" si="22"/>
        <v>(1966,33,'1966.08.20',2,31,36,43,84,0),</v>
      </c>
      <c r="R495" s="7" t="str">
        <f t="shared" si="24"/>
        <v>(1966,33,'1966.08.20',2,31,36,43,84),</v>
      </c>
    </row>
    <row r="496" spans="1:18" x14ac:dyDescent="0.25">
      <c r="A496" s="7" t="s">
        <v>5865</v>
      </c>
      <c r="B496" s="8" t="s">
        <v>25</v>
      </c>
      <c r="C496" s="10">
        <f t="shared" si="23"/>
        <v>24346</v>
      </c>
      <c r="D496" t="s">
        <v>11</v>
      </c>
      <c r="E496" t="s">
        <v>12</v>
      </c>
      <c r="F496" t="s">
        <v>11</v>
      </c>
      <c r="G496" t="s">
        <v>12</v>
      </c>
      <c r="H496" t="s">
        <v>11</v>
      </c>
      <c r="I496" t="s">
        <v>12</v>
      </c>
      <c r="J496" t="s">
        <v>11</v>
      </c>
      <c r="K496" t="s">
        <v>12</v>
      </c>
      <c r="L496" s="12" t="s">
        <v>65</v>
      </c>
      <c r="M496" s="12" t="s">
        <v>55</v>
      </c>
      <c r="N496" s="12" t="s">
        <v>64</v>
      </c>
      <c r="O496" s="12" t="s">
        <v>46</v>
      </c>
      <c r="P496" s="12" t="s">
        <v>233</v>
      </c>
      <c r="Q496" s="7" t="str">
        <f t="shared" si="22"/>
        <v>(1966,34,'1966.08.27',13,19,35,37,66,0),</v>
      </c>
      <c r="R496" s="7" t="str">
        <f t="shared" si="24"/>
        <v>(1966,34,'1966.08.27',13,19,35,37,66),</v>
      </c>
    </row>
    <row r="497" spans="1:18" x14ac:dyDescent="0.25">
      <c r="A497" s="7" t="s">
        <v>5865</v>
      </c>
      <c r="B497" s="8" t="s">
        <v>64</v>
      </c>
      <c r="C497" s="10">
        <f t="shared" si="23"/>
        <v>24353</v>
      </c>
      <c r="D497" t="s">
        <v>11</v>
      </c>
      <c r="E497" t="s">
        <v>12</v>
      </c>
      <c r="F497" t="s">
        <v>11</v>
      </c>
      <c r="G497" t="s">
        <v>12</v>
      </c>
      <c r="H497" t="s">
        <v>11</v>
      </c>
      <c r="I497" t="s">
        <v>12</v>
      </c>
      <c r="J497" t="s">
        <v>11</v>
      </c>
      <c r="K497" t="s">
        <v>12</v>
      </c>
      <c r="L497" s="12" t="s">
        <v>91</v>
      </c>
      <c r="M497" s="12" t="s">
        <v>35</v>
      </c>
      <c r="N497" s="12" t="s">
        <v>233</v>
      </c>
      <c r="O497" s="12" t="s">
        <v>125</v>
      </c>
      <c r="P497" s="12" t="s">
        <v>308</v>
      </c>
      <c r="Q497" s="7" t="str">
        <f t="shared" si="22"/>
        <v>(1966,35,'1966.09.03',61,65,66,83,86,0),</v>
      </c>
      <c r="R497" s="7" t="str">
        <f t="shared" si="24"/>
        <v>(1966,35,'1966.09.03',61,65,66,83,86),</v>
      </c>
    </row>
    <row r="498" spans="1:18" x14ac:dyDescent="0.25">
      <c r="A498" s="7" t="s">
        <v>5865</v>
      </c>
      <c r="B498" s="8" t="s">
        <v>21</v>
      </c>
      <c r="C498" s="10">
        <f t="shared" si="23"/>
        <v>24360</v>
      </c>
      <c r="D498" t="s">
        <v>11</v>
      </c>
      <c r="E498" t="s">
        <v>12</v>
      </c>
      <c r="F498" t="s">
        <v>11</v>
      </c>
      <c r="G498" t="s">
        <v>12</v>
      </c>
      <c r="H498" t="s">
        <v>11</v>
      </c>
      <c r="I498" t="s">
        <v>12</v>
      </c>
      <c r="J498" t="s">
        <v>11</v>
      </c>
      <c r="K498" t="s">
        <v>12</v>
      </c>
      <c r="L498" s="12" t="s">
        <v>152</v>
      </c>
      <c r="M498" s="12" t="s">
        <v>46</v>
      </c>
      <c r="N498" s="12" t="s">
        <v>122</v>
      </c>
      <c r="O498" s="12" t="s">
        <v>23</v>
      </c>
      <c r="P498" s="12" t="s">
        <v>269</v>
      </c>
      <c r="Q498" s="7" t="str">
        <f t="shared" si="22"/>
        <v>(1966,36,'1966.09.10',25,37,51,60,87,0),</v>
      </c>
      <c r="R498" s="7" t="str">
        <f t="shared" si="24"/>
        <v>(1966,36,'1966.09.10',25,37,51,60,87),</v>
      </c>
    </row>
    <row r="499" spans="1:18" x14ac:dyDescent="0.25">
      <c r="A499" s="7" t="s">
        <v>5865</v>
      </c>
      <c r="B499" s="8" t="s">
        <v>46</v>
      </c>
      <c r="C499" s="10">
        <f t="shared" si="23"/>
        <v>24367</v>
      </c>
      <c r="D499" t="s">
        <v>11</v>
      </c>
      <c r="E499" t="s">
        <v>12</v>
      </c>
      <c r="F499" t="s">
        <v>11</v>
      </c>
      <c r="G499" t="s">
        <v>12</v>
      </c>
      <c r="H499" t="s">
        <v>11</v>
      </c>
      <c r="I499" t="s">
        <v>12</v>
      </c>
      <c r="J499" t="s">
        <v>11</v>
      </c>
      <c r="K499" t="s">
        <v>12</v>
      </c>
      <c r="L499" s="12" t="s">
        <v>270</v>
      </c>
      <c r="M499" s="12" t="s">
        <v>74</v>
      </c>
      <c r="N499" s="12" t="s">
        <v>150</v>
      </c>
      <c r="O499" s="12" t="s">
        <v>248</v>
      </c>
      <c r="P499" s="12" t="s">
        <v>151</v>
      </c>
      <c r="Q499" s="7" t="str">
        <f t="shared" si="22"/>
        <v>(1966,37,'1966.09.17',6,26,57,63,79,0),</v>
      </c>
      <c r="R499" s="7" t="str">
        <f t="shared" si="24"/>
        <v>(1966,37,'1966.09.17',6,26,57,63,79),</v>
      </c>
    </row>
    <row r="500" spans="1:18" x14ac:dyDescent="0.25">
      <c r="A500" s="7" t="s">
        <v>5865</v>
      </c>
      <c r="B500" s="8" t="s">
        <v>36</v>
      </c>
      <c r="C500" s="10">
        <f t="shared" si="23"/>
        <v>24374</v>
      </c>
      <c r="D500" t="s">
        <v>11</v>
      </c>
      <c r="E500" t="s">
        <v>12</v>
      </c>
      <c r="F500" t="s">
        <v>11</v>
      </c>
      <c r="G500" t="s">
        <v>12</v>
      </c>
      <c r="H500" t="s">
        <v>11</v>
      </c>
      <c r="I500" t="s">
        <v>12</v>
      </c>
      <c r="J500" t="s">
        <v>11</v>
      </c>
      <c r="K500" t="s">
        <v>12</v>
      </c>
      <c r="L500" s="12" t="s">
        <v>89</v>
      </c>
      <c r="M500" s="12" t="s">
        <v>53</v>
      </c>
      <c r="N500" s="12" t="s">
        <v>31</v>
      </c>
      <c r="O500" s="12" t="s">
        <v>35</v>
      </c>
      <c r="P500" s="12" t="s">
        <v>245</v>
      </c>
      <c r="Q500" s="7" t="str">
        <f t="shared" si="22"/>
        <v>(1966,38,'1966.09.24',5,7,12,65,74,0),</v>
      </c>
      <c r="R500" s="7" t="str">
        <f t="shared" si="24"/>
        <v>(1966,38,'1966.09.24',5,7,12,65,74),</v>
      </c>
    </row>
    <row r="501" spans="1:18" x14ac:dyDescent="0.25">
      <c r="A501" s="7" t="s">
        <v>5865</v>
      </c>
      <c r="B501" s="8" t="s">
        <v>24</v>
      </c>
      <c r="C501" s="10">
        <f t="shared" si="23"/>
        <v>24381</v>
      </c>
      <c r="D501" t="s">
        <v>11</v>
      </c>
      <c r="E501" t="s">
        <v>12</v>
      </c>
      <c r="F501" t="s">
        <v>11</v>
      </c>
      <c r="G501" t="s">
        <v>12</v>
      </c>
      <c r="H501" t="s">
        <v>11</v>
      </c>
      <c r="I501" t="s">
        <v>12</v>
      </c>
      <c r="J501" t="s">
        <v>11</v>
      </c>
      <c r="K501" t="s">
        <v>12</v>
      </c>
      <c r="L501" s="12" t="s">
        <v>64</v>
      </c>
      <c r="M501" s="12" t="s">
        <v>34</v>
      </c>
      <c r="N501" s="12" t="s">
        <v>214</v>
      </c>
      <c r="O501" s="12" t="s">
        <v>47</v>
      </c>
      <c r="P501" s="12" t="s">
        <v>201</v>
      </c>
      <c r="Q501" s="7" t="str">
        <f t="shared" si="22"/>
        <v>(1966,39,'1966.10.01',35,49,64,69,72,0),</v>
      </c>
      <c r="R501" s="7" t="str">
        <f t="shared" si="24"/>
        <v>(1966,39,'1966.10.01',35,49,64,69,72),</v>
      </c>
    </row>
    <row r="502" spans="1:18" x14ac:dyDescent="0.25">
      <c r="A502" s="7" t="s">
        <v>5865</v>
      </c>
      <c r="B502" s="8" t="s">
        <v>10</v>
      </c>
      <c r="C502" s="10">
        <f t="shared" si="23"/>
        <v>24388</v>
      </c>
      <c r="D502" t="s">
        <v>11</v>
      </c>
      <c r="E502" t="s">
        <v>12</v>
      </c>
      <c r="F502" t="s">
        <v>11</v>
      </c>
      <c r="G502" t="s">
        <v>12</v>
      </c>
      <c r="H502" t="s">
        <v>11</v>
      </c>
      <c r="I502" t="s">
        <v>12</v>
      </c>
      <c r="J502" t="s">
        <v>11</v>
      </c>
      <c r="K502" t="s">
        <v>12</v>
      </c>
      <c r="L502" s="12" t="s">
        <v>43</v>
      </c>
      <c r="M502" s="12" t="s">
        <v>133</v>
      </c>
      <c r="N502" s="12" t="s">
        <v>245</v>
      </c>
      <c r="O502" s="12" t="s">
        <v>63</v>
      </c>
      <c r="P502" s="12" t="s">
        <v>151</v>
      </c>
      <c r="Q502" s="7" t="str">
        <f t="shared" si="22"/>
        <v>(1966,40,'1966.10.08',16,45,74,78,79,0),</v>
      </c>
      <c r="R502" s="7" t="str">
        <f t="shared" si="24"/>
        <v>(1966,40,'1966.10.08',16,45,74,78,79),</v>
      </c>
    </row>
    <row r="503" spans="1:18" x14ac:dyDescent="0.25">
      <c r="A503" s="7" t="s">
        <v>5865</v>
      </c>
      <c r="B503" s="8" t="s">
        <v>13</v>
      </c>
      <c r="C503" s="10">
        <f t="shared" si="23"/>
        <v>24395</v>
      </c>
      <c r="D503" t="s">
        <v>11</v>
      </c>
      <c r="E503" t="s">
        <v>12</v>
      </c>
      <c r="F503" t="s">
        <v>11</v>
      </c>
      <c r="G503" t="s">
        <v>12</v>
      </c>
      <c r="H503" t="s">
        <v>11</v>
      </c>
      <c r="I503" t="s">
        <v>12</v>
      </c>
      <c r="J503" t="s">
        <v>11</v>
      </c>
      <c r="K503" t="s">
        <v>12</v>
      </c>
      <c r="L503" s="12" t="s">
        <v>127</v>
      </c>
      <c r="M503" s="12" t="s">
        <v>152</v>
      </c>
      <c r="N503" s="12" t="s">
        <v>74</v>
      </c>
      <c r="O503" s="12" t="s">
        <v>126</v>
      </c>
      <c r="P503" s="12" t="s">
        <v>125</v>
      </c>
      <c r="Q503" s="7" t="str">
        <f t="shared" si="22"/>
        <v>(1966,41,'1966.10.15',14,25,26,28,83,0),</v>
      </c>
      <c r="R503" s="7" t="str">
        <f t="shared" si="24"/>
        <v>(1966,41,'1966.10.15',14,25,26,28,83),</v>
      </c>
    </row>
    <row r="504" spans="1:18" x14ac:dyDescent="0.25">
      <c r="A504" s="7" t="s">
        <v>5865</v>
      </c>
      <c r="B504" s="8" t="s">
        <v>98</v>
      </c>
      <c r="C504" s="10">
        <f t="shared" si="23"/>
        <v>24402</v>
      </c>
      <c r="D504" t="s">
        <v>11</v>
      </c>
      <c r="E504" t="s">
        <v>12</v>
      </c>
      <c r="F504" t="s">
        <v>11</v>
      </c>
      <c r="G504" t="s">
        <v>12</v>
      </c>
      <c r="H504" t="s">
        <v>11</v>
      </c>
      <c r="I504" t="s">
        <v>12</v>
      </c>
      <c r="J504" t="s">
        <v>11</v>
      </c>
      <c r="K504" t="s">
        <v>12</v>
      </c>
      <c r="L504" s="12" t="s">
        <v>42</v>
      </c>
      <c r="M504" s="12" t="s">
        <v>64</v>
      </c>
      <c r="N504" s="12" t="s">
        <v>142</v>
      </c>
      <c r="O504" s="12" t="s">
        <v>47</v>
      </c>
      <c r="P504" s="12" t="s">
        <v>106</v>
      </c>
      <c r="Q504" s="7" t="str">
        <f t="shared" si="22"/>
        <v>(1966,42,'1966.10.22',3,35,44,69,75,0),</v>
      </c>
      <c r="R504" s="7" t="str">
        <f t="shared" si="24"/>
        <v>(1966,42,'1966.10.22',3,35,44,69,75),</v>
      </c>
    </row>
    <row r="505" spans="1:18" x14ac:dyDescent="0.25">
      <c r="A505" s="7" t="s">
        <v>5865</v>
      </c>
      <c r="B505" s="8" t="s">
        <v>45</v>
      </c>
      <c r="C505" s="10">
        <f t="shared" si="23"/>
        <v>24409</v>
      </c>
      <c r="D505" t="s">
        <v>11</v>
      </c>
      <c r="E505" t="s">
        <v>12</v>
      </c>
      <c r="F505" t="s">
        <v>11</v>
      </c>
      <c r="G505" t="s">
        <v>12</v>
      </c>
      <c r="H505" t="s">
        <v>11</v>
      </c>
      <c r="I505" t="s">
        <v>12</v>
      </c>
      <c r="J505" t="s">
        <v>11</v>
      </c>
      <c r="K505" t="s">
        <v>12</v>
      </c>
      <c r="L505" s="12" t="s">
        <v>62</v>
      </c>
      <c r="M505" s="12" t="s">
        <v>31</v>
      </c>
      <c r="N505" s="12" t="s">
        <v>135</v>
      </c>
      <c r="O505" s="12" t="s">
        <v>116</v>
      </c>
      <c r="P505" s="12" t="s">
        <v>246</v>
      </c>
      <c r="Q505" s="7" t="str">
        <f t="shared" si="22"/>
        <v>(1966,43,'1966.10.29',10,12,27,29,84,0),</v>
      </c>
      <c r="R505" s="7" t="str">
        <f t="shared" si="24"/>
        <v>(1966,43,'1966.10.29',10,12,27,29,84),</v>
      </c>
    </row>
    <row r="506" spans="1:18" x14ac:dyDescent="0.25">
      <c r="A506" s="7" t="s">
        <v>5865</v>
      </c>
      <c r="B506" s="8" t="s">
        <v>142</v>
      </c>
      <c r="C506" s="10">
        <f t="shared" si="23"/>
        <v>24416</v>
      </c>
      <c r="D506" t="s">
        <v>11</v>
      </c>
      <c r="E506" t="s">
        <v>12</v>
      </c>
      <c r="F506" t="s">
        <v>11</v>
      </c>
      <c r="G506" t="s">
        <v>12</v>
      </c>
      <c r="H506" t="s">
        <v>11</v>
      </c>
      <c r="I506" t="s">
        <v>12</v>
      </c>
      <c r="J506" t="s">
        <v>11</v>
      </c>
      <c r="K506" t="s">
        <v>12</v>
      </c>
      <c r="L506" s="12" t="s">
        <v>127</v>
      </c>
      <c r="M506" s="12" t="s">
        <v>45</v>
      </c>
      <c r="N506" s="12" t="s">
        <v>82</v>
      </c>
      <c r="O506" s="12" t="s">
        <v>468</v>
      </c>
      <c r="P506" s="12" t="s">
        <v>186</v>
      </c>
      <c r="Q506" s="7" t="str">
        <f t="shared" si="22"/>
        <v>(1966,44,'1966.11.05',14,43,59,85,90,0),</v>
      </c>
      <c r="R506" s="7" t="str">
        <f t="shared" si="24"/>
        <v>(1966,44,'1966.11.05',14,43,59,85,90),</v>
      </c>
    </row>
    <row r="507" spans="1:18" x14ac:dyDescent="0.25">
      <c r="A507" s="7" t="s">
        <v>5865</v>
      </c>
      <c r="B507" s="8" t="s">
        <v>133</v>
      </c>
      <c r="C507" s="10">
        <f t="shared" si="23"/>
        <v>24423</v>
      </c>
      <c r="D507" t="s">
        <v>11</v>
      </c>
      <c r="E507" t="s">
        <v>12</v>
      </c>
      <c r="F507" t="s">
        <v>11</v>
      </c>
      <c r="G507" t="s">
        <v>12</v>
      </c>
      <c r="H507" t="s">
        <v>11</v>
      </c>
      <c r="I507" t="s">
        <v>12</v>
      </c>
      <c r="J507" t="s">
        <v>11</v>
      </c>
      <c r="K507" t="s">
        <v>12</v>
      </c>
      <c r="L507" s="12" t="s">
        <v>108</v>
      </c>
      <c r="M507" s="12" t="s">
        <v>127</v>
      </c>
      <c r="N507" s="12" t="s">
        <v>90</v>
      </c>
      <c r="O507" s="12" t="s">
        <v>123</v>
      </c>
      <c r="P507" s="12" t="s">
        <v>246</v>
      </c>
      <c r="Q507" s="7" t="str">
        <f t="shared" si="22"/>
        <v>(1966,45,'1966.11.12',1,14,17,54,84,0),</v>
      </c>
      <c r="R507" s="7" t="str">
        <f t="shared" si="24"/>
        <v>(1966,45,'1966.11.12',1,14,17,54,84),</v>
      </c>
    </row>
    <row r="508" spans="1:18" x14ac:dyDescent="0.25">
      <c r="A508" s="7" t="s">
        <v>5865</v>
      </c>
      <c r="B508" s="8" t="s">
        <v>192</v>
      </c>
      <c r="C508" s="10">
        <f t="shared" si="23"/>
        <v>24430</v>
      </c>
      <c r="D508" t="s">
        <v>11</v>
      </c>
      <c r="E508" t="s">
        <v>12</v>
      </c>
      <c r="F508" t="s">
        <v>11</v>
      </c>
      <c r="G508" t="s">
        <v>12</v>
      </c>
      <c r="H508" t="s">
        <v>11</v>
      </c>
      <c r="I508" t="s">
        <v>12</v>
      </c>
      <c r="J508" t="s">
        <v>11</v>
      </c>
      <c r="K508" t="s">
        <v>12</v>
      </c>
      <c r="L508" s="12" t="s">
        <v>107</v>
      </c>
      <c r="M508" s="12" t="s">
        <v>80</v>
      </c>
      <c r="N508" s="12" t="s">
        <v>133</v>
      </c>
      <c r="O508" s="12" t="s">
        <v>192</v>
      </c>
      <c r="P508" s="12" t="s">
        <v>143</v>
      </c>
      <c r="Q508" s="7" t="str">
        <f t="shared" si="22"/>
        <v>(1966,46,'1966.11.19',30,32,45,46,77,0),</v>
      </c>
      <c r="R508" s="7" t="str">
        <f t="shared" si="24"/>
        <v>(1966,46,'1966.11.19',30,32,45,46,77),</v>
      </c>
    </row>
    <row r="509" spans="1:18" x14ac:dyDescent="0.25">
      <c r="A509" s="7" t="s">
        <v>5865</v>
      </c>
      <c r="B509" s="8" t="s">
        <v>81</v>
      </c>
      <c r="C509" s="10">
        <f t="shared" si="23"/>
        <v>24437</v>
      </c>
      <c r="D509" t="s">
        <v>11</v>
      </c>
      <c r="E509" t="s">
        <v>12</v>
      </c>
      <c r="F509" t="s">
        <v>11</v>
      </c>
      <c r="G509" t="s">
        <v>12</v>
      </c>
      <c r="H509" t="s">
        <v>11</v>
      </c>
      <c r="I509" t="s">
        <v>12</v>
      </c>
      <c r="J509" t="s">
        <v>11</v>
      </c>
      <c r="K509" t="s">
        <v>12</v>
      </c>
      <c r="L509" s="12" t="s">
        <v>65</v>
      </c>
      <c r="M509" s="12" t="s">
        <v>10</v>
      </c>
      <c r="N509" s="12" t="s">
        <v>34</v>
      </c>
      <c r="O509" s="12" t="s">
        <v>622</v>
      </c>
      <c r="P509" s="12" t="s">
        <v>468</v>
      </c>
      <c r="Q509" s="7" t="str">
        <f t="shared" si="22"/>
        <v>(1966,47,'1966.11.26',13,40,49,82,85,0),</v>
      </c>
      <c r="R509" s="7" t="str">
        <f t="shared" si="24"/>
        <v>(1966,47,'1966.11.26',13,40,49,82,85),</v>
      </c>
    </row>
    <row r="510" spans="1:18" x14ac:dyDescent="0.25">
      <c r="A510" s="7" t="s">
        <v>5865</v>
      </c>
      <c r="B510" s="8" t="s">
        <v>22</v>
      </c>
      <c r="C510" s="10">
        <f t="shared" si="23"/>
        <v>24444</v>
      </c>
      <c r="D510" t="s">
        <v>11</v>
      </c>
      <c r="E510" t="s">
        <v>12</v>
      </c>
      <c r="F510" t="s">
        <v>11</v>
      </c>
      <c r="G510" t="s">
        <v>12</v>
      </c>
      <c r="H510" t="s">
        <v>11</v>
      </c>
      <c r="I510" t="s">
        <v>12</v>
      </c>
      <c r="J510" t="s">
        <v>11</v>
      </c>
      <c r="K510" t="s">
        <v>12</v>
      </c>
      <c r="L510" s="12" t="s">
        <v>168</v>
      </c>
      <c r="M510" s="12" t="s">
        <v>152</v>
      </c>
      <c r="N510" s="12" t="s">
        <v>126</v>
      </c>
      <c r="O510" s="12" t="s">
        <v>124</v>
      </c>
      <c r="P510" s="12" t="s">
        <v>622</v>
      </c>
      <c r="Q510" s="7" t="str">
        <f t="shared" si="22"/>
        <v>(1966,48,'1966.12.03',4,25,28,62,82,0),</v>
      </c>
      <c r="R510" s="7" t="str">
        <f t="shared" si="24"/>
        <v>(1966,48,'1966.12.03',4,25,28,62,82),</v>
      </c>
    </row>
    <row r="511" spans="1:18" x14ac:dyDescent="0.25">
      <c r="A511" s="7" t="s">
        <v>5865</v>
      </c>
      <c r="B511" s="8" t="s">
        <v>34</v>
      </c>
      <c r="C511" s="10">
        <f t="shared" si="23"/>
        <v>24451</v>
      </c>
      <c r="D511" t="s">
        <v>11</v>
      </c>
      <c r="E511" t="s">
        <v>12</v>
      </c>
      <c r="F511" t="s">
        <v>11</v>
      </c>
      <c r="G511" t="s">
        <v>12</v>
      </c>
      <c r="H511" t="s">
        <v>11</v>
      </c>
      <c r="I511" t="s">
        <v>12</v>
      </c>
      <c r="J511" t="s">
        <v>11</v>
      </c>
      <c r="K511" t="s">
        <v>12</v>
      </c>
      <c r="L511" s="12" t="s">
        <v>33</v>
      </c>
      <c r="M511" s="12" t="s">
        <v>116</v>
      </c>
      <c r="N511" s="12" t="s">
        <v>175</v>
      </c>
      <c r="O511" s="12" t="s">
        <v>134</v>
      </c>
      <c r="P511" s="12" t="s">
        <v>35</v>
      </c>
      <c r="Q511" s="7" t="str">
        <f t="shared" si="22"/>
        <v>(1966,49,'1966.12.10',24,29,55,56,65,0),</v>
      </c>
      <c r="R511" s="7" t="str">
        <f t="shared" si="24"/>
        <v>(1966,49,'1966.12.10',24,29,55,56,65),</v>
      </c>
    </row>
    <row r="512" spans="1:18" x14ac:dyDescent="0.25">
      <c r="A512" s="7" t="s">
        <v>5865</v>
      </c>
      <c r="B512" s="8" t="s">
        <v>105</v>
      </c>
      <c r="C512" s="10">
        <f t="shared" si="23"/>
        <v>24458</v>
      </c>
      <c r="D512" t="s">
        <v>11</v>
      </c>
      <c r="E512" t="s">
        <v>12</v>
      </c>
      <c r="F512" t="s">
        <v>11</v>
      </c>
      <c r="G512" t="s">
        <v>12</v>
      </c>
      <c r="H512" t="s">
        <v>11</v>
      </c>
      <c r="I512" t="s">
        <v>12</v>
      </c>
      <c r="J512" t="s">
        <v>11</v>
      </c>
      <c r="K512" t="s">
        <v>12</v>
      </c>
      <c r="L512" s="12" t="s">
        <v>35</v>
      </c>
      <c r="M512" s="12" t="s">
        <v>72</v>
      </c>
      <c r="N512" s="12" t="s">
        <v>200</v>
      </c>
      <c r="O512" s="12" t="s">
        <v>56</v>
      </c>
      <c r="P512" s="12" t="s">
        <v>379</v>
      </c>
      <c r="Q512" s="7" t="str">
        <f t="shared" si="22"/>
        <v>(1966,50,'1966.12.17',65,67,70,71,89,0),</v>
      </c>
      <c r="R512" s="7" t="str">
        <f t="shared" si="24"/>
        <v>(1966,50,'1966.12.17',65,67,70,71,89),</v>
      </c>
    </row>
    <row r="513" spans="1:18" x14ac:dyDescent="0.25">
      <c r="A513" s="7" t="s">
        <v>5865</v>
      </c>
      <c r="B513" s="8" t="s">
        <v>122</v>
      </c>
      <c r="C513" s="10">
        <f t="shared" si="23"/>
        <v>24465</v>
      </c>
      <c r="D513" t="s">
        <v>11</v>
      </c>
      <c r="E513" t="s">
        <v>12</v>
      </c>
      <c r="F513" t="s">
        <v>11</v>
      </c>
      <c r="G513" t="s">
        <v>12</v>
      </c>
      <c r="H513" t="s">
        <v>11</v>
      </c>
      <c r="I513" t="s">
        <v>12</v>
      </c>
      <c r="J513" t="s">
        <v>11</v>
      </c>
      <c r="K513" t="s">
        <v>12</v>
      </c>
      <c r="L513" s="12" t="s">
        <v>108</v>
      </c>
      <c r="M513" s="12" t="s">
        <v>46</v>
      </c>
      <c r="N513" s="12" t="s">
        <v>45</v>
      </c>
      <c r="O513" s="12" t="s">
        <v>134</v>
      </c>
      <c r="P513" s="12" t="s">
        <v>308</v>
      </c>
      <c r="Q513" s="7" t="str">
        <f t="shared" si="22"/>
        <v>(1966,51,'1966.12.24',1,37,43,56,86,0),</v>
      </c>
      <c r="R513" s="7" t="str">
        <f t="shared" si="24"/>
        <v>(1966,51,'1966.12.24',1,37,43,56,86),</v>
      </c>
    </row>
    <row r="514" spans="1:18" x14ac:dyDescent="0.25">
      <c r="A514" s="7" t="s">
        <v>5865</v>
      </c>
      <c r="B514" s="8" t="s">
        <v>99</v>
      </c>
      <c r="C514" s="10">
        <f t="shared" si="23"/>
        <v>24472</v>
      </c>
      <c r="D514" t="s">
        <v>11</v>
      </c>
      <c r="E514" t="s">
        <v>12</v>
      </c>
      <c r="F514" t="s">
        <v>11</v>
      </c>
      <c r="G514" t="s">
        <v>12</v>
      </c>
      <c r="H514" t="s">
        <v>11</v>
      </c>
      <c r="I514" t="s">
        <v>12</v>
      </c>
      <c r="J514" t="s">
        <v>11</v>
      </c>
      <c r="K514" t="s">
        <v>12</v>
      </c>
      <c r="L514" s="12" t="s">
        <v>207</v>
      </c>
      <c r="M514" s="12" t="s">
        <v>65</v>
      </c>
      <c r="N514" s="12" t="s">
        <v>44</v>
      </c>
      <c r="O514" s="12" t="s">
        <v>21</v>
      </c>
      <c r="P514" s="12" t="s">
        <v>200</v>
      </c>
      <c r="Q514" s="7" t="str">
        <f t="shared" ref="Q514:Q577" si="25">"("&amp;A514&amp;","&amp;B514&amp;",'"&amp;TEXT(C514,"éééé.hh.nn")&amp;"',"&amp;L514&amp;","&amp;M514&amp;","&amp;N514&amp;","&amp;O514&amp;","&amp;P514&amp;",0)"&amp;IF(P515&lt;&gt;0,",","")</f>
        <v>(1966,52,'1966.12.31',2,13,21,36,70,0),</v>
      </c>
      <c r="R514" s="7" t="str">
        <f t="shared" si="24"/>
        <v>(1966,52,'1966.12.31',2,13,21,36,70),</v>
      </c>
    </row>
    <row r="515" spans="1:18" x14ac:dyDescent="0.25">
      <c r="A515" s="7" t="s">
        <v>1535</v>
      </c>
      <c r="B515" s="8" t="s">
        <v>108</v>
      </c>
      <c r="C515" s="10">
        <f t="shared" ref="C515:C578" si="26">+C514+7</f>
        <v>24479</v>
      </c>
      <c r="D515" t="s">
        <v>11</v>
      </c>
      <c r="E515" t="s">
        <v>12</v>
      </c>
      <c r="F515" t="s">
        <v>11</v>
      </c>
      <c r="G515" t="s">
        <v>12</v>
      </c>
      <c r="H515" t="s">
        <v>11</v>
      </c>
      <c r="I515" t="s">
        <v>12</v>
      </c>
      <c r="J515" t="s">
        <v>11</v>
      </c>
      <c r="K515" t="s">
        <v>12</v>
      </c>
      <c r="L515" s="12" t="s">
        <v>116</v>
      </c>
      <c r="M515" s="12" t="s">
        <v>64</v>
      </c>
      <c r="N515" s="12" t="s">
        <v>214</v>
      </c>
      <c r="O515" s="12" t="s">
        <v>125</v>
      </c>
      <c r="P515" s="12" t="s">
        <v>269</v>
      </c>
      <c r="Q515" s="7" t="str">
        <f t="shared" si="25"/>
        <v>(1967,1,'1967.01.07',29,35,64,83,87,0),</v>
      </c>
      <c r="R515" s="7" t="str">
        <f t="shared" ref="R515:R578" si="27">IF(TRIM(P515)="","","("&amp;A515&amp;","&amp;B515&amp;",'"&amp;TEXT(C515,"éééé.hh.nn")&amp;"',"&amp;L515&amp;","&amp;M515&amp;","&amp;N515&amp;","&amp;O515&amp;","&amp;P515&amp;")"&amp;IF(P516=0,";",","))</f>
        <v>(1967,1,'1967.01.07',29,35,64,83,87),</v>
      </c>
    </row>
    <row r="516" spans="1:18" x14ac:dyDescent="0.25">
      <c r="A516" s="7" t="s">
        <v>1535</v>
      </c>
      <c r="B516" s="8" t="s">
        <v>207</v>
      </c>
      <c r="C516" s="10">
        <f t="shared" si="26"/>
        <v>24486</v>
      </c>
      <c r="D516" t="s">
        <v>11</v>
      </c>
      <c r="E516" t="s">
        <v>12</v>
      </c>
      <c r="F516" t="s">
        <v>11</v>
      </c>
      <c r="G516" t="s">
        <v>12</v>
      </c>
      <c r="H516" t="s">
        <v>11</v>
      </c>
      <c r="I516" t="s">
        <v>12</v>
      </c>
      <c r="J516" t="s">
        <v>11</v>
      </c>
      <c r="K516" t="s">
        <v>12</v>
      </c>
      <c r="L516" s="12" t="s">
        <v>42</v>
      </c>
      <c r="M516" s="12" t="s">
        <v>74</v>
      </c>
      <c r="N516" s="12" t="s">
        <v>107</v>
      </c>
      <c r="O516" s="12" t="s">
        <v>133</v>
      </c>
      <c r="P516" s="12" t="s">
        <v>63</v>
      </c>
      <c r="Q516" s="7" t="str">
        <f t="shared" si="25"/>
        <v>(1967,2,'1967.01.14',3,26,30,45,78,0),</v>
      </c>
      <c r="R516" s="7" t="str">
        <f t="shared" si="27"/>
        <v>(1967,2,'1967.01.14',3,26,30,45,78),</v>
      </c>
    </row>
    <row r="517" spans="1:18" x14ac:dyDescent="0.25">
      <c r="A517" s="7" t="s">
        <v>1535</v>
      </c>
      <c r="B517" s="8" t="s">
        <v>42</v>
      </c>
      <c r="C517" s="10">
        <f t="shared" si="26"/>
        <v>24493</v>
      </c>
      <c r="D517" t="s">
        <v>11</v>
      </c>
      <c r="E517" t="s">
        <v>12</v>
      </c>
      <c r="F517" t="s">
        <v>11</v>
      </c>
      <c r="G517" t="s">
        <v>12</v>
      </c>
      <c r="H517" t="s">
        <v>11</v>
      </c>
      <c r="I517" t="s">
        <v>12</v>
      </c>
      <c r="J517" t="s">
        <v>11</v>
      </c>
      <c r="K517" t="s">
        <v>12</v>
      </c>
      <c r="L517" s="12" t="s">
        <v>65</v>
      </c>
      <c r="M517" s="12" t="s">
        <v>55</v>
      </c>
      <c r="N517" s="12" t="s">
        <v>45</v>
      </c>
      <c r="O517" s="12" t="s">
        <v>34</v>
      </c>
      <c r="P517" s="12" t="s">
        <v>186</v>
      </c>
      <c r="Q517" s="7" t="str">
        <f t="shared" si="25"/>
        <v>(1967,3,'1967.01.21',13,19,43,49,90,0),</v>
      </c>
      <c r="R517" s="7" t="str">
        <f t="shared" si="27"/>
        <v>(1967,3,'1967.01.21',13,19,43,49,90),</v>
      </c>
    </row>
    <row r="518" spans="1:18" x14ac:dyDescent="0.25">
      <c r="A518" s="7" t="s">
        <v>1535</v>
      </c>
      <c r="B518" s="8" t="s">
        <v>168</v>
      </c>
      <c r="C518" s="10">
        <f t="shared" si="26"/>
        <v>24500</v>
      </c>
      <c r="D518" t="s">
        <v>11</v>
      </c>
      <c r="E518" t="s">
        <v>12</v>
      </c>
      <c r="F518" t="s">
        <v>11</v>
      </c>
      <c r="G518" t="s">
        <v>12</v>
      </c>
      <c r="H518" t="s">
        <v>11</v>
      </c>
      <c r="I518" t="s">
        <v>12</v>
      </c>
      <c r="J518" t="s">
        <v>11</v>
      </c>
      <c r="K518" t="s">
        <v>12</v>
      </c>
      <c r="L518" s="12" t="s">
        <v>168</v>
      </c>
      <c r="M518" s="12" t="s">
        <v>53</v>
      </c>
      <c r="N518" s="12" t="s">
        <v>116</v>
      </c>
      <c r="O518" s="12" t="s">
        <v>151</v>
      </c>
      <c r="P518" s="12" t="s">
        <v>622</v>
      </c>
      <c r="Q518" s="7" t="str">
        <f t="shared" si="25"/>
        <v>(1967,4,'1967.01.28',4,7,29,79,82,0),</v>
      </c>
      <c r="R518" s="7" t="str">
        <f t="shared" si="27"/>
        <v>(1967,4,'1967.01.28',4,7,29,79,82),</v>
      </c>
    </row>
    <row r="519" spans="1:18" x14ac:dyDescent="0.25">
      <c r="A519" s="7" t="s">
        <v>1535</v>
      </c>
      <c r="B519" s="8" t="s">
        <v>89</v>
      </c>
      <c r="C519" s="10">
        <f t="shared" si="26"/>
        <v>24507</v>
      </c>
      <c r="D519" t="s">
        <v>11</v>
      </c>
      <c r="E519" t="s">
        <v>12</v>
      </c>
      <c r="F519" t="s">
        <v>11</v>
      </c>
      <c r="G519" t="s">
        <v>12</v>
      </c>
      <c r="H519" t="s">
        <v>11</v>
      </c>
      <c r="I519" t="s">
        <v>12</v>
      </c>
      <c r="J519" t="s">
        <v>11</v>
      </c>
      <c r="K519" t="s">
        <v>12</v>
      </c>
      <c r="L519" s="12" t="s">
        <v>116</v>
      </c>
      <c r="M519" s="12" t="s">
        <v>24</v>
      </c>
      <c r="N519" s="12" t="s">
        <v>123</v>
      </c>
      <c r="O519" s="12" t="s">
        <v>214</v>
      </c>
      <c r="P519" s="12" t="s">
        <v>186</v>
      </c>
      <c r="Q519" s="7" t="str">
        <f t="shared" si="25"/>
        <v>(1967,5,'1967.02.04',29,39,54,64,90,0),</v>
      </c>
      <c r="R519" s="7" t="str">
        <f t="shared" si="27"/>
        <v>(1967,5,'1967.02.04',29,39,54,64,90),</v>
      </c>
    </row>
    <row r="520" spans="1:18" x14ac:dyDescent="0.25">
      <c r="A520" s="7" t="s">
        <v>1535</v>
      </c>
      <c r="B520" s="8" t="s">
        <v>270</v>
      </c>
      <c r="C520" s="10">
        <f t="shared" si="26"/>
        <v>24514</v>
      </c>
      <c r="D520" t="s">
        <v>11</v>
      </c>
      <c r="E520" t="s">
        <v>12</v>
      </c>
      <c r="F520" t="s">
        <v>11</v>
      </c>
      <c r="G520" t="s">
        <v>12</v>
      </c>
      <c r="H520" t="s">
        <v>11</v>
      </c>
      <c r="I520" t="s">
        <v>12</v>
      </c>
      <c r="J520" t="s">
        <v>11</v>
      </c>
      <c r="K520" t="s">
        <v>12</v>
      </c>
      <c r="L520" s="12" t="s">
        <v>83</v>
      </c>
      <c r="M520" s="12" t="s">
        <v>116</v>
      </c>
      <c r="N520" s="12" t="s">
        <v>123</v>
      </c>
      <c r="O520" s="12" t="s">
        <v>239</v>
      </c>
      <c r="P520" s="12" t="s">
        <v>245</v>
      </c>
      <c r="Q520" s="7" t="str">
        <f t="shared" si="25"/>
        <v>(1967,6,'1967.02.11',11,29,54,73,74,0),</v>
      </c>
      <c r="R520" s="7" t="str">
        <f t="shared" si="27"/>
        <v>(1967,6,'1967.02.11',11,29,54,73,74),</v>
      </c>
    </row>
    <row r="521" spans="1:18" x14ac:dyDescent="0.25">
      <c r="A521" s="7" t="s">
        <v>1535</v>
      </c>
      <c r="B521" s="8" t="s">
        <v>53</v>
      </c>
      <c r="C521" s="10">
        <f t="shared" si="26"/>
        <v>24521</v>
      </c>
      <c r="D521" t="s">
        <v>11</v>
      </c>
      <c r="E521" t="s">
        <v>12</v>
      </c>
      <c r="F521" t="s">
        <v>11</v>
      </c>
      <c r="G521" t="s">
        <v>12</v>
      </c>
      <c r="H521" t="s">
        <v>11</v>
      </c>
      <c r="I521" t="s">
        <v>12</v>
      </c>
      <c r="J521" t="s">
        <v>11</v>
      </c>
      <c r="K521" t="s">
        <v>12</v>
      </c>
      <c r="L521" s="12" t="s">
        <v>65</v>
      </c>
      <c r="M521" s="12" t="s">
        <v>44</v>
      </c>
      <c r="N521" s="12" t="s">
        <v>71</v>
      </c>
      <c r="O521" s="12" t="s">
        <v>239</v>
      </c>
      <c r="P521" s="12" t="s">
        <v>622</v>
      </c>
      <c r="Q521" s="7" t="str">
        <f t="shared" si="25"/>
        <v>(1967,7,'1967.02.18',13,21,31,73,82,0),</v>
      </c>
      <c r="R521" s="7" t="str">
        <f t="shared" si="27"/>
        <v>(1967,7,'1967.02.18',13,21,31,73,82),</v>
      </c>
    </row>
    <row r="522" spans="1:18" x14ac:dyDescent="0.25">
      <c r="A522" s="7" t="s">
        <v>1535</v>
      </c>
      <c r="B522" s="8" t="s">
        <v>232</v>
      </c>
      <c r="C522" s="10">
        <f t="shared" si="26"/>
        <v>24528</v>
      </c>
      <c r="D522" t="s">
        <v>11</v>
      </c>
      <c r="E522" t="s">
        <v>12</v>
      </c>
      <c r="F522" t="s">
        <v>11</v>
      </c>
      <c r="G522" t="s">
        <v>12</v>
      </c>
      <c r="H522" t="s">
        <v>11</v>
      </c>
      <c r="I522" t="s">
        <v>12</v>
      </c>
      <c r="J522" t="s">
        <v>11</v>
      </c>
      <c r="K522" t="s">
        <v>12</v>
      </c>
      <c r="L522" s="12" t="s">
        <v>42</v>
      </c>
      <c r="M522" s="12" t="s">
        <v>89</v>
      </c>
      <c r="N522" s="12" t="s">
        <v>150</v>
      </c>
      <c r="O522" s="12" t="s">
        <v>301</v>
      </c>
      <c r="P522" s="12" t="s">
        <v>468</v>
      </c>
      <c r="Q522" s="7" t="str">
        <f t="shared" si="25"/>
        <v>(1967,8,'1967.02.25',3,5,57,80,85,0),</v>
      </c>
      <c r="R522" s="7" t="str">
        <f t="shared" si="27"/>
        <v>(1967,8,'1967.02.25',3,5,57,80,85),</v>
      </c>
    </row>
    <row r="523" spans="1:18" x14ac:dyDescent="0.25">
      <c r="A523" s="7" t="s">
        <v>1535</v>
      </c>
      <c r="B523" s="8" t="s">
        <v>198</v>
      </c>
      <c r="C523" s="10">
        <f t="shared" si="26"/>
        <v>24535</v>
      </c>
      <c r="D523" t="s">
        <v>11</v>
      </c>
      <c r="E523" t="s">
        <v>12</v>
      </c>
      <c r="F523" t="s">
        <v>11</v>
      </c>
      <c r="G523" t="s">
        <v>12</v>
      </c>
      <c r="H523" t="s">
        <v>11</v>
      </c>
      <c r="I523" t="s">
        <v>12</v>
      </c>
      <c r="J523" t="s">
        <v>11</v>
      </c>
      <c r="K523" t="s">
        <v>12</v>
      </c>
      <c r="L523" s="12" t="s">
        <v>127</v>
      </c>
      <c r="M523" s="12" t="s">
        <v>175</v>
      </c>
      <c r="N523" s="12" t="s">
        <v>233</v>
      </c>
      <c r="O523" s="12" t="s">
        <v>72</v>
      </c>
      <c r="P523" s="12" t="s">
        <v>73</v>
      </c>
      <c r="Q523" s="7" t="str">
        <f t="shared" si="25"/>
        <v>(1967,9,'1967.03.04',14,55,66,67,76,0),</v>
      </c>
      <c r="R523" s="7" t="str">
        <f t="shared" si="27"/>
        <v>(1967,9,'1967.03.04',14,55,66,67,76),</v>
      </c>
    </row>
    <row r="524" spans="1:18" x14ac:dyDescent="0.25">
      <c r="A524" s="7" t="s">
        <v>1535</v>
      </c>
      <c r="B524" s="8" t="s">
        <v>62</v>
      </c>
      <c r="C524" s="10">
        <f t="shared" si="26"/>
        <v>24542</v>
      </c>
      <c r="D524" t="s">
        <v>11</v>
      </c>
      <c r="E524" t="s">
        <v>12</v>
      </c>
      <c r="F524" t="s">
        <v>11</v>
      </c>
      <c r="G524" t="s">
        <v>12</v>
      </c>
      <c r="H524" t="s">
        <v>11</v>
      </c>
      <c r="I524" t="s">
        <v>12</v>
      </c>
      <c r="J524" t="s">
        <v>11</v>
      </c>
      <c r="K524" t="s">
        <v>12</v>
      </c>
      <c r="L524" s="12" t="s">
        <v>83</v>
      </c>
      <c r="M524" s="12" t="s">
        <v>20</v>
      </c>
      <c r="N524" s="12" t="s">
        <v>35</v>
      </c>
      <c r="O524" s="12" t="s">
        <v>92</v>
      </c>
      <c r="P524" s="12" t="s">
        <v>63</v>
      </c>
      <c r="Q524" s="7" t="str">
        <f t="shared" si="25"/>
        <v>(1967,10,'1967.03.11',11,33,65,68,78,0),</v>
      </c>
      <c r="R524" s="7" t="str">
        <f t="shared" si="27"/>
        <v>(1967,10,'1967.03.11',11,33,65,68,78),</v>
      </c>
    </row>
    <row r="525" spans="1:18" x14ac:dyDescent="0.25">
      <c r="A525" s="7" t="s">
        <v>1535</v>
      </c>
      <c r="B525" s="8" t="s">
        <v>83</v>
      </c>
      <c r="C525" s="10">
        <f t="shared" si="26"/>
        <v>24549</v>
      </c>
      <c r="D525" t="s">
        <v>11</v>
      </c>
      <c r="E525" t="s">
        <v>12</v>
      </c>
      <c r="F525" t="s">
        <v>11</v>
      </c>
      <c r="G525" t="s">
        <v>12</v>
      </c>
      <c r="H525" t="s">
        <v>11</v>
      </c>
      <c r="I525" t="s">
        <v>12</v>
      </c>
      <c r="J525" t="s">
        <v>11</v>
      </c>
      <c r="K525" t="s">
        <v>12</v>
      </c>
      <c r="L525" s="12" t="s">
        <v>55</v>
      </c>
      <c r="M525" s="12" t="s">
        <v>152</v>
      </c>
      <c r="N525" s="12" t="s">
        <v>81</v>
      </c>
      <c r="O525" s="12" t="s">
        <v>214</v>
      </c>
      <c r="P525" s="12" t="s">
        <v>143</v>
      </c>
      <c r="Q525" s="7" t="str">
        <f t="shared" si="25"/>
        <v>(1967,11,'1967.03.18',19,25,47,64,77,0),</v>
      </c>
      <c r="R525" s="7" t="str">
        <f t="shared" si="27"/>
        <v>(1967,11,'1967.03.18',19,25,47,64,77),</v>
      </c>
    </row>
    <row r="526" spans="1:18" x14ac:dyDescent="0.25">
      <c r="A526" s="7" t="s">
        <v>1535</v>
      </c>
      <c r="B526" s="8" t="s">
        <v>31</v>
      </c>
      <c r="C526" s="10">
        <f t="shared" si="26"/>
        <v>24556</v>
      </c>
      <c r="D526" t="s">
        <v>11</v>
      </c>
      <c r="E526" t="s">
        <v>12</v>
      </c>
      <c r="F526" t="s">
        <v>11</v>
      </c>
      <c r="G526" t="s">
        <v>12</v>
      </c>
      <c r="H526" t="s">
        <v>11</v>
      </c>
      <c r="I526" t="s">
        <v>12</v>
      </c>
      <c r="J526" t="s">
        <v>11</v>
      </c>
      <c r="K526" t="s">
        <v>12</v>
      </c>
      <c r="L526" s="12" t="s">
        <v>36</v>
      </c>
      <c r="M526" s="12" t="s">
        <v>214</v>
      </c>
      <c r="N526" s="12" t="s">
        <v>72</v>
      </c>
      <c r="O526" s="12" t="s">
        <v>245</v>
      </c>
      <c r="P526" s="12" t="s">
        <v>63</v>
      </c>
      <c r="Q526" s="7" t="str">
        <f t="shared" si="25"/>
        <v>(1967,12,'1967.03.25',38,64,67,74,78,0),</v>
      </c>
      <c r="R526" s="7" t="str">
        <f t="shared" si="27"/>
        <v>(1967,12,'1967.03.25',38,64,67,74,78),</v>
      </c>
    </row>
    <row r="527" spans="1:18" x14ac:dyDescent="0.25">
      <c r="A527" s="7" t="s">
        <v>1535</v>
      </c>
      <c r="B527" s="8" t="s">
        <v>65</v>
      </c>
      <c r="C527" s="10">
        <f t="shared" si="26"/>
        <v>24563</v>
      </c>
      <c r="D527" t="s">
        <v>11</v>
      </c>
      <c r="E527" t="s">
        <v>12</v>
      </c>
      <c r="F527" t="s">
        <v>11</v>
      </c>
      <c r="G527" t="s">
        <v>12</v>
      </c>
      <c r="H527" t="s">
        <v>11</v>
      </c>
      <c r="I527" t="s">
        <v>12</v>
      </c>
      <c r="J527" t="s">
        <v>11</v>
      </c>
      <c r="K527" t="s">
        <v>12</v>
      </c>
      <c r="L527" s="12" t="s">
        <v>108</v>
      </c>
      <c r="M527" s="12" t="s">
        <v>122</v>
      </c>
      <c r="N527" s="12" t="s">
        <v>233</v>
      </c>
      <c r="O527" s="12" t="s">
        <v>92</v>
      </c>
      <c r="P527" s="12" t="s">
        <v>125</v>
      </c>
      <c r="Q527" s="7" t="str">
        <f t="shared" si="25"/>
        <v>(1967,13,'1967.04.01',1,51,66,68,83,0),</v>
      </c>
      <c r="R527" s="7" t="str">
        <f t="shared" si="27"/>
        <v>(1967,13,'1967.04.01',1,51,66,68,83),</v>
      </c>
    </row>
    <row r="528" spans="1:18" x14ac:dyDescent="0.25">
      <c r="A528" s="7" t="s">
        <v>1535</v>
      </c>
      <c r="B528" s="8" t="s">
        <v>127</v>
      </c>
      <c r="C528" s="10">
        <f t="shared" si="26"/>
        <v>24570</v>
      </c>
      <c r="D528" t="s">
        <v>11</v>
      </c>
      <c r="E528" t="s">
        <v>12</v>
      </c>
      <c r="F528" t="s">
        <v>11</v>
      </c>
      <c r="G528" t="s">
        <v>12</v>
      </c>
      <c r="H528" t="s">
        <v>11</v>
      </c>
      <c r="I528" t="s">
        <v>12</v>
      </c>
      <c r="J528" t="s">
        <v>11</v>
      </c>
      <c r="K528" t="s">
        <v>12</v>
      </c>
      <c r="L528" s="12" t="s">
        <v>74</v>
      </c>
      <c r="M528" s="12" t="s">
        <v>64</v>
      </c>
      <c r="N528" s="12" t="s">
        <v>199</v>
      </c>
      <c r="O528" s="12" t="s">
        <v>91</v>
      </c>
      <c r="P528" s="12" t="s">
        <v>214</v>
      </c>
      <c r="Q528" s="7" t="str">
        <f t="shared" si="25"/>
        <v>(1967,14,'1967.04.08',26,35,53,61,64,0),</v>
      </c>
      <c r="R528" s="7" t="str">
        <f t="shared" si="27"/>
        <v>(1967,14,'1967.04.08',26,35,53,61,64),</v>
      </c>
    </row>
    <row r="529" spans="1:18" x14ac:dyDescent="0.25">
      <c r="A529" s="7" t="s">
        <v>1535</v>
      </c>
      <c r="B529" s="8" t="s">
        <v>54</v>
      </c>
      <c r="C529" s="10">
        <f t="shared" si="26"/>
        <v>24577</v>
      </c>
      <c r="D529" t="s">
        <v>11</v>
      </c>
      <c r="E529" t="s">
        <v>12</v>
      </c>
      <c r="F529" t="s">
        <v>11</v>
      </c>
      <c r="G529" t="s">
        <v>12</v>
      </c>
      <c r="H529" t="s">
        <v>11</v>
      </c>
      <c r="I529" t="s">
        <v>12</v>
      </c>
      <c r="J529" t="s">
        <v>11</v>
      </c>
      <c r="K529" t="s">
        <v>12</v>
      </c>
      <c r="L529" s="12" t="s">
        <v>163</v>
      </c>
      <c r="M529" s="12" t="s">
        <v>133</v>
      </c>
      <c r="N529" s="12" t="s">
        <v>56</v>
      </c>
      <c r="O529" s="12" t="s">
        <v>73</v>
      </c>
      <c r="P529" s="12" t="s">
        <v>186</v>
      </c>
      <c r="Q529" s="7" t="str">
        <f t="shared" si="25"/>
        <v>(1967,15,'1967.04.15',23,45,71,76,90,0),</v>
      </c>
      <c r="R529" s="7" t="str">
        <f t="shared" si="27"/>
        <v>(1967,15,'1967.04.15',23,45,71,76,90),</v>
      </c>
    </row>
    <row r="530" spans="1:18" x14ac:dyDescent="0.25">
      <c r="A530" s="7" t="s">
        <v>1535</v>
      </c>
      <c r="B530" s="8" t="s">
        <v>43</v>
      </c>
      <c r="C530" s="10">
        <f t="shared" si="26"/>
        <v>24584</v>
      </c>
      <c r="D530" t="s">
        <v>11</v>
      </c>
      <c r="E530" t="s">
        <v>12</v>
      </c>
      <c r="F530" t="s">
        <v>11</v>
      </c>
      <c r="G530" t="s">
        <v>12</v>
      </c>
      <c r="H530" t="s">
        <v>11</v>
      </c>
      <c r="I530" t="s">
        <v>12</v>
      </c>
      <c r="J530" t="s">
        <v>11</v>
      </c>
      <c r="K530" t="s">
        <v>12</v>
      </c>
      <c r="L530" s="12" t="s">
        <v>83</v>
      </c>
      <c r="M530" s="12" t="s">
        <v>127</v>
      </c>
      <c r="N530" s="12" t="s">
        <v>71</v>
      </c>
      <c r="O530" s="12" t="s">
        <v>122</v>
      </c>
      <c r="P530" s="12" t="s">
        <v>72</v>
      </c>
      <c r="Q530" s="7" t="str">
        <f t="shared" si="25"/>
        <v>(1967,16,'1967.04.22',11,14,31,51,67,0),</v>
      </c>
      <c r="R530" s="7" t="str">
        <f t="shared" si="27"/>
        <v>(1967,16,'1967.04.22',11,14,31,51,67),</v>
      </c>
    </row>
    <row r="531" spans="1:18" x14ac:dyDescent="0.25">
      <c r="A531" s="7" t="s">
        <v>1535</v>
      </c>
      <c r="B531" s="8" t="s">
        <v>90</v>
      </c>
      <c r="C531" s="10">
        <f t="shared" si="26"/>
        <v>24591</v>
      </c>
      <c r="D531" t="s">
        <v>11</v>
      </c>
      <c r="E531" t="s">
        <v>12</v>
      </c>
      <c r="F531" t="s">
        <v>11</v>
      </c>
      <c r="G531" t="s">
        <v>12</v>
      </c>
      <c r="H531" t="s">
        <v>11</v>
      </c>
      <c r="I531" t="s">
        <v>12</v>
      </c>
      <c r="J531" t="s">
        <v>11</v>
      </c>
      <c r="K531" t="s">
        <v>12</v>
      </c>
      <c r="L531" s="12" t="s">
        <v>25</v>
      </c>
      <c r="M531" s="12" t="s">
        <v>92</v>
      </c>
      <c r="N531" s="12" t="s">
        <v>56</v>
      </c>
      <c r="O531" s="12" t="s">
        <v>201</v>
      </c>
      <c r="P531" s="12" t="s">
        <v>106</v>
      </c>
      <c r="Q531" s="7" t="str">
        <f t="shared" si="25"/>
        <v>(1967,17,'1967.04.29',34,68,71,72,75,0),</v>
      </c>
      <c r="R531" s="7" t="str">
        <f t="shared" si="27"/>
        <v>(1967,17,'1967.04.29',34,68,71,72,75),</v>
      </c>
    </row>
    <row r="532" spans="1:18" x14ac:dyDescent="0.25">
      <c r="A532" s="7" t="s">
        <v>1535</v>
      </c>
      <c r="B532" s="8" t="s">
        <v>19</v>
      </c>
      <c r="C532" s="10">
        <f t="shared" si="26"/>
        <v>24598</v>
      </c>
      <c r="D532" t="s">
        <v>11</v>
      </c>
      <c r="E532" t="s">
        <v>12</v>
      </c>
      <c r="F532" t="s">
        <v>11</v>
      </c>
      <c r="G532" t="s">
        <v>12</v>
      </c>
      <c r="H532" t="s">
        <v>11</v>
      </c>
      <c r="I532" t="s">
        <v>12</v>
      </c>
      <c r="J532" t="s">
        <v>11</v>
      </c>
      <c r="K532" t="s">
        <v>12</v>
      </c>
      <c r="L532" s="12" t="s">
        <v>55</v>
      </c>
      <c r="M532" s="12" t="s">
        <v>116</v>
      </c>
      <c r="N532" s="12" t="s">
        <v>47</v>
      </c>
      <c r="O532" s="12" t="s">
        <v>201</v>
      </c>
      <c r="P532" s="12" t="s">
        <v>379</v>
      </c>
      <c r="Q532" s="7" t="str">
        <f t="shared" si="25"/>
        <v>(1967,18,'1967.05.06',19,29,69,72,89,0),</v>
      </c>
      <c r="R532" s="7" t="str">
        <f t="shared" si="27"/>
        <v>(1967,18,'1967.05.06',19,29,69,72,89),</v>
      </c>
    </row>
    <row r="533" spans="1:18" x14ac:dyDescent="0.25">
      <c r="A533" s="7" t="s">
        <v>1535</v>
      </c>
      <c r="B533" s="8" t="s">
        <v>55</v>
      </c>
      <c r="C533" s="10">
        <f t="shared" si="26"/>
        <v>24605</v>
      </c>
      <c r="D533" t="s">
        <v>11</v>
      </c>
      <c r="E533" t="s">
        <v>12</v>
      </c>
      <c r="F533" t="s">
        <v>11</v>
      </c>
      <c r="G533" t="s">
        <v>12</v>
      </c>
      <c r="H533" t="s">
        <v>11</v>
      </c>
      <c r="I533" t="s">
        <v>12</v>
      </c>
      <c r="J533" t="s">
        <v>11</v>
      </c>
      <c r="K533" t="s">
        <v>12</v>
      </c>
      <c r="L533" s="12" t="s">
        <v>36</v>
      </c>
      <c r="M533" s="12" t="s">
        <v>134</v>
      </c>
      <c r="N533" s="12" t="s">
        <v>124</v>
      </c>
      <c r="O533" s="12" t="s">
        <v>200</v>
      </c>
      <c r="P533" s="12" t="s">
        <v>246</v>
      </c>
      <c r="Q533" s="7" t="str">
        <f t="shared" si="25"/>
        <v>(1967,19,'1967.05.13',38,56,62,70,84,0),</v>
      </c>
      <c r="R533" s="7" t="str">
        <f t="shared" si="27"/>
        <v>(1967,19,'1967.05.13',38,56,62,70,84),</v>
      </c>
    </row>
    <row r="534" spans="1:18" x14ac:dyDescent="0.25">
      <c r="A534" s="7" t="s">
        <v>1535</v>
      </c>
      <c r="B534" s="8" t="s">
        <v>115</v>
      </c>
      <c r="C534" s="10">
        <f t="shared" si="26"/>
        <v>24612</v>
      </c>
      <c r="D534" t="s">
        <v>11</v>
      </c>
      <c r="E534" t="s">
        <v>12</v>
      </c>
      <c r="F534" t="s">
        <v>11</v>
      </c>
      <c r="G534" t="s">
        <v>12</v>
      </c>
      <c r="H534" t="s">
        <v>11</v>
      </c>
      <c r="I534" t="s">
        <v>12</v>
      </c>
      <c r="J534" t="s">
        <v>11</v>
      </c>
      <c r="K534" t="s">
        <v>12</v>
      </c>
      <c r="L534" s="12" t="s">
        <v>36</v>
      </c>
      <c r="M534" s="12" t="s">
        <v>98</v>
      </c>
      <c r="N534" s="12" t="s">
        <v>72</v>
      </c>
      <c r="O534" s="12" t="s">
        <v>56</v>
      </c>
      <c r="P534" s="12" t="s">
        <v>73</v>
      </c>
      <c r="Q534" s="7" t="str">
        <f t="shared" si="25"/>
        <v>(1967,20,'1967.05.20',38,42,67,71,76,0),</v>
      </c>
      <c r="R534" s="7" t="str">
        <f t="shared" si="27"/>
        <v>(1967,20,'1967.05.20',38,42,67,71,76),</v>
      </c>
    </row>
    <row r="535" spans="1:18" x14ac:dyDescent="0.25">
      <c r="A535" s="7" t="s">
        <v>1535</v>
      </c>
      <c r="B535" s="8" t="s">
        <v>44</v>
      </c>
      <c r="C535" s="10">
        <f t="shared" si="26"/>
        <v>24619</v>
      </c>
      <c r="D535" t="s">
        <v>11</v>
      </c>
      <c r="E535" t="s">
        <v>12</v>
      </c>
      <c r="F535" t="s">
        <v>11</v>
      </c>
      <c r="G535" t="s">
        <v>12</v>
      </c>
      <c r="H535" t="s">
        <v>11</v>
      </c>
      <c r="I535" t="s">
        <v>12</v>
      </c>
      <c r="J535" t="s">
        <v>11</v>
      </c>
      <c r="K535" t="s">
        <v>12</v>
      </c>
      <c r="L535" s="12" t="s">
        <v>115</v>
      </c>
      <c r="M535" s="12" t="s">
        <v>142</v>
      </c>
      <c r="N535" s="12" t="s">
        <v>123</v>
      </c>
      <c r="O535" s="12" t="s">
        <v>248</v>
      </c>
      <c r="P535" s="12" t="s">
        <v>47</v>
      </c>
      <c r="Q535" s="7" t="str">
        <f t="shared" si="25"/>
        <v>(1967,21,'1967.05.27',20,44,54,63,69,0),</v>
      </c>
      <c r="R535" s="7" t="str">
        <f t="shared" si="27"/>
        <v>(1967,21,'1967.05.27',20,44,54,63,69),</v>
      </c>
    </row>
    <row r="536" spans="1:18" x14ac:dyDescent="0.25">
      <c r="A536" s="7" t="s">
        <v>1535</v>
      </c>
      <c r="B536" s="8" t="s">
        <v>32</v>
      </c>
      <c r="C536" s="10">
        <f t="shared" si="26"/>
        <v>24626</v>
      </c>
      <c r="D536" t="s">
        <v>11</v>
      </c>
      <c r="E536" t="s">
        <v>12</v>
      </c>
      <c r="F536" t="s">
        <v>11</v>
      </c>
      <c r="G536" t="s">
        <v>12</v>
      </c>
      <c r="H536" t="s">
        <v>11</v>
      </c>
      <c r="I536" t="s">
        <v>12</v>
      </c>
      <c r="J536" t="s">
        <v>11</v>
      </c>
      <c r="K536" t="s">
        <v>12</v>
      </c>
      <c r="L536" s="12" t="s">
        <v>62</v>
      </c>
      <c r="M536" s="12" t="s">
        <v>83</v>
      </c>
      <c r="N536" s="12" t="s">
        <v>65</v>
      </c>
      <c r="O536" s="12" t="s">
        <v>134</v>
      </c>
      <c r="P536" s="12" t="s">
        <v>151</v>
      </c>
      <c r="Q536" s="7" t="str">
        <f t="shared" si="25"/>
        <v>(1967,22,'1967.06.03',10,11,13,56,79,0),</v>
      </c>
      <c r="R536" s="7" t="str">
        <f t="shared" si="27"/>
        <v>(1967,22,'1967.06.03',10,11,13,56,79),</v>
      </c>
    </row>
    <row r="537" spans="1:18" x14ac:dyDescent="0.25">
      <c r="A537" s="7" t="s">
        <v>1535</v>
      </c>
      <c r="B537" s="8" t="s">
        <v>163</v>
      </c>
      <c r="C537" s="10">
        <f t="shared" si="26"/>
        <v>24633</v>
      </c>
      <c r="D537" t="s">
        <v>11</v>
      </c>
      <c r="E537" t="s">
        <v>12</v>
      </c>
      <c r="F537" t="s">
        <v>11</v>
      </c>
      <c r="G537" t="s">
        <v>12</v>
      </c>
      <c r="H537" t="s">
        <v>11</v>
      </c>
      <c r="I537" t="s">
        <v>12</v>
      </c>
      <c r="J537" t="s">
        <v>11</v>
      </c>
      <c r="K537" t="s">
        <v>12</v>
      </c>
      <c r="L537" s="12" t="s">
        <v>207</v>
      </c>
      <c r="M537" s="12" t="s">
        <v>31</v>
      </c>
      <c r="N537" s="12" t="s">
        <v>74</v>
      </c>
      <c r="O537" s="12" t="s">
        <v>98</v>
      </c>
      <c r="P537" s="12" t="s">
        <v>56</v>
      </c>
      <c r="Q537" s="7" t="str">
        <f t="shared" si="25"/>
        <v>(1967,23,'1967.06.10',2,12,26,42,71,0),</v>
      </c>
      <c r="R537" s="7" t="str">
        <f t="shared" si="27"/>
        <v>(1967,23,'1967.06.10',2,12,26,42,71),</v>
      </c>
    </row>
    <row r="538" spans="1:18" x14ac:dyDescent="0.25">
      <c r="A538" s="7" t="s">
        <v>1535</v>
      </c>
      <c r="B538" s="8" t="s">
        <v>33</v>
      </c>
      <c r="C538" s="10">
        <f t="shared" si="26"/>
        <v>24640</v>
      </c>
      <c r="D538" t="s">
        <v>11</v>
      </c>
      <c r="E538" t="s">
        <v>12</v>
      </c>
      <c r="F538" t="s">
        <v>11</v>
      </c>
      <c r="G538" t="s">
        <v>12</v>
      </c>
      <c r="H538" t="s">
        <v>11</v>
      </c>
      <c r="I538" t="s">
        <v>12</v>
      </c>
      <c r="J538" t="s">
        <v>11</v>
      </c>
      <c r="K538" t="s">
        <v>12</v>
      </c>
      <c r="L538" s="12" t="s">
        <v>127</v>
      </c>
      <c r="M538" s="12" t="s">
        <v>19</v>
      </c>
      <c r="N538" s="12" t="s">
        <v>105</v>
      </c>
      <c r="O538" s="12" t="s">
        <v>35</v>
      </c>
      <c r="P538" s="12" t="s">
        <v>622</v>
      </c>
      <c r="Q538" s="7" t="str">
        <f t="shared" si="25"/>
        <v>(1967,24,'1967.06.17',14,18,50,65,82,0),</v>
      </c>
      <c r="R538" s="7" t="str">
        <f t="shared" si="27"/>
        <v>(1967,24,'1967.06.17',14,18,50,65,82),</v>
      </c>
    </row>
    <row r="539" spans="1:18" x14ac:dyDescent="0.25">
      <c r="A539" s="7" t="s">
        <v>1535</v>
      </c>
      <c r="B539" s="8" t="s">
        <v>152</v>
      </c>
      <c r="C539" s="10">
        <f t="shared" si="26"/>
        <v>24647</v>
      </c>
      <c r="D539" t="s">
        <v>11</v>
      </c>
      <c r="E539" t="s">
        <v>12</v>
      </c>
      <c r="F539" t="s">
        <v>11</v>
      </c>
      <c r="G539" t="s">
        <v>12</v>
      </c>
      <c r="H539" t="s">
        <v>11</v>
      </c>
      <c r="I539" t="s">
        <v>12</v>
      </c>
      <c r="J539" t="s">
        <v>11</v>
      </c>
      <c r="K539" t="s">
        <v>12</v>
      </c>
      <c r="L539" s="12" t="s">
        <v>105</v>
      </c>
      <c r="M539" s="12" t="s">
        <v>72</v>
      </c>
      <c r="N539" s="12" t="s">
        <v>245</v>
      </c>
      <c r="O539" s="12" t="s">
        <v>106</v>
      </c>
      <c r="P539" s="12" t="s">
        <v>468</v>
      </c>
      <c r="Q539" s="7" t="str">
        <f t="shared" si="25"/>
        <v>(1967,25,'1967.06.24',50,67,74,75,85,0),</v>
      </c>
      <c r="R539" s="7" t="str">
        <f t="shared" si="27"/>
        <v>(1967,25,'1967.06.24',50,67,74,75,85),</v>
      </c>
    </row>
    <row r="540" spans="1:18" x14ac:dyDescent="0.25">
      <c r="A540" s="7" t="s">
        <v>1535</v>
      </c>
      <c r="B540" s="8" t="s">
        <v>74</v>
      </c>
      <c r="C540" s="10">
        <f t="shared" si="26"/>
        <v>24654</v>
      </c>
      <c r="D540" t="s">
        <v>11</v>
      </c>
      <c r="E540" t="s">
        <v>12</v>
      </c>
      <c r="F540" t="s">
        <v>11</v>
      </c>
      <c r="G540" t="s">
        <v>12</v>
      </c>
      <c r="H540" t="s">
        <v>11</v>
      </c>
      <c r="I540" t="s">
        <v>12</v>
      </c>
      <c r="J540" t="s">
        <v>11</v>
      </c>
      <c r="K540" t="s">
        <v>12</v>
      </c>
      <c r="L540" s="12" t="s">
        <v>44</v>
      </c>
      <c r="M540" s="12" t="s">
        <v>64</v>
      </c>
      <c r="N540" s="12" t="s">
        <v>22</v>
      </c>
      <c r="O540" s="12" t="s">
        <v>99</v>
      </c>
      <c r="P540" s="12" t="s">
        <v>23</v>
      </c>
      <c r="Q540" s="7" t="str">
        <f t="shared" si="25"/>
        <v>(1967,26,'1967.07.01',21,35,48,52,60,0),</v>
      </c>
      <c r="R540" s="7" t="str">
        <f t="shared" si="27"/>
        <v>(1967,26,'1967.07.01',21,35,48,52,60),</v>
      </c>
    </row>
    <row r="541" spans="1:18" x14ac:dyDescent="0.25">
      <c r="A541" s="7" t="s">
        <v>1535</v>
      </c>
      <c r="B541" s="8" t="s">
        <v>135</v>
      </c>
      <c r="C541" s="10">
        <f t="shared" si="26"/>
        <v>24661</v>
      </c>
      <c r="D541" t="s">
        <v>11</v>
      </c>
      <c r="E541" t="s">
        <v>12</v>
      </c>
      <c r="F541" t="s">
        <v>11</v>
      </c>
      <c r="G541" t="s">
        <v>12</v>
      </c>
      <c r="H541" t="s">
        <v>11</v>
      </c>
      <c r="I541" t="s">
        <v>12</v>
      </c>
      <c r="J541" t="s">
        <v>11</v>
      </c>
      <c r="K541" t="s">
        <v>12</v>
      </c>
      <c r="L541" s="12" t="s">
        <v>207</v>
      </c>
      <c r="M541" s="12" t="s">
        <v>21</v>
      </c>
      <c r="N541" s="12" t="s">
        <v>192</v>
      </c>
      <c r="O541" s="12" t="s">
        <v>34</v>
      </c>
      <c r="P541" s="12" t="s">
        <v>134</v>
      </c>
      <c r="Q541" s="7" t="str">
        <f t="shared" si="25"/>
        <v>(1967,27,'1967.07.08',2,36,46,49,56,0),</v>
      </c>
      <c r="R541" s="7" t="str">
        <f t="shared" si="27"/>
        <v>(1967,27,'1967.07.08',2,36,46,49,56),</v>
      </c>
    </row>
    <row r="542" spans="1:18" x14ac:dyDescent="0.25">
      <c r="A542" s="7" t="s">
        <v>1535</v>
      </c>
      <c r="B542" s="8" t="s">
        <v>126</v>
      </c>
      <c r="C542" s="10">
        <f t="shared" si="26"/>
        <v>24668</v>
      </c>
      <c r="D542" t="s">
        <v>11</v>
      </c>
      <c r="E542" t="s">
        <v>12</v>
      </c>
      <c r="F542" t="s">
        <v>11</v>
      </c>
      <c r="G542" t="s">
        <v>12</v>
      </c>
      <c r="H542" t="s">
        <v>11</v>
      </c>
      <c r="I542" t="s">
        <v>12</v>
      </c>
      <c r="J542" t="s">
        <v>11</v>
      </c>
      <c r="K542" t="s">
        <v>12</v>
      </c>
      <c r="L542" s="12" t="s">
        <v>115</v>
      </c>
      <c r="M542" s="12" t="s">
        <v>13</v>
      </c>
      <c r="N542" s="12" t="s">
        <v>34</v>
      </c>
      <c r="O542" s="12" t="s">
        <v>134</v>
      </c>
      <c r="P542" s="12" t="s">
        <v>214</v>
      </c>
      <c r="Q542" s="7" t="str">
        <f t="shared" si="25"/>
        <v>(1967,28,'1967.07.15',20,41,49,56,64,0),</v>
      </c>
      <c r="R542" s="7" t="str">
        <f t="shared" si="27"/>
        <v>(1967,28,'1967.07.15',20,41,49,56,64),</v>
      </c>
    </row>
    <row r="543" spans="1:18" x14ac:dyDescent="0.25">
      <c r="A543" s="7" t="s">
        <v>1535</v>
      </c>
      <c r="B543" s="8" t="s">
        <v>116</v>
      </c>
      <c r="C543" s="10">
        <f t="shared" si="26"/>
        <v>24675</v>
      </c>
      <c r="D543" t="s">
        <v>11</v>
      </c>
      <c r="E543" t="s">
        <v>12</v>
      </c>
      <c r="F543" t="s">
        <v>11</v>
      </c>
      <c r="G543" t="s">
        <v>12</v>
      </c>
      <c r="H543" t="s">
        <v>11</v>
      </c>
      <c r="I543" t="s">
        <v>12</v>
      </c>
      <c r="J543" t="s">
        <v>11</v>
      </c>
      <c r="K543" t="s">
        <v>12</v>
      </c>
      <c r="L543" s="12" t="s">
        <v>19</v>
      </c>
      <c r="M543" s="12" t="s">
        <v>33</v>
      </c>
      <c r="N543" s="12" t="s">
        <v>122</v>
      </c>
      <c r="O543" s="12" t="s">
        <v>245</v>
      </c>
      <c r="P543" s="12" t="s">
        <v>186</v>
      </c>
      <c r="Q543" s="7" t="str">
        <f t="shared" si="25"/>
        <v>(1967,29,'1967.07.22',18,24,51,74,90,0),</v>
      </c>
      <c r="R543" s="7" t="str">
        <f t="shared" si="27"/>
        <v>(1967,29,'1967.07.22',18,24,51,74,90),</v>
      </c>
    </row>
    <row r="544" spans="1:18" x14ac:dyDescent="0.25">
      <c r="A544" s="7" t="s">
        <v>1535</v>
      </c>
      <c r="B544" s="8" t="s">
        <v>107</v>
      </c>
      <c r="C544" s="10">
        <f t="shared" si="26"/>
        <v>24682</v>
      </c>
      <c r="D544" t="s">
        <v>11</v>
      </c>
      <c r="E544" t="s">
        <v>12</v>
      </c>
      <c r="F544" t="s">
        <v>11</v>
      </c>
      <c r="G544" t="s">
        <v>12</v>
      </c>
      <c r="H544" t="s">
        <v>11</v>
      </c>
      <c r="I544" t="s">
        <v>12</v>
      </c>
      <c r="J544" t="s">
        <v>11</v>
      </c>
      <c r="K544" t="s">
        <v>12</v>
      </c>
      <c r="L544" s="12" t="s">
        <v>270</v>
      </c>
      <c r="M544" s="12" t="s">
        <v>83</v>
      </c>
      <c r="N544" s="12" t="s">
        <v>54</v>
      </c>
      <c r="O544" s="12" t="s">
        <v>36</v>
      </c>
      <c r="P544" s="12" t="s">
        <v>122</v>
      </c>
      <c r="Q544" s="7" t="str">
        <f t="shared" si="25"/>
        <v>(1967,30,'1967.07.29',6,11,15,38,51,0),</v>
      </c>
      <c r="R544" s="7" t="str">
        <f t="shared" si="27"/>
        <v>(1967,30,'1967.07.29',6,11,15,38,51),</v>
      </c>
    </row>
    <row r="545" spans="1:18" x14ac:dyDescent="0.25">
      <c r="A545" s="7" t="s">
        <v>1535</v>
      </c>
      <c r="B545" s="8" t="s">
        <v>71</v>
      </c>
      <c r="C545" s="10">
        <f t="shared" si="26"/>
        <v>24689</v>
      </c>
      <c r="D545" t="s">
        <v>11</v>
      </c>
      <c r="E545" t="s">
        <v>12</v>
      </c>
      <c r="F545" t="s">
        <v>11</v>
      </c>
      <c r="G545" t="s">
        <v>12</v>
      </c>
      <c r="H545" t="s">
        <v>11</v>
      </c>
      <c r="I545" t="s">
        <v>12</v>
      </c>
      <c r="J545" t="s">
        <v>11</v>
      </c>
      <c r="K545" t="s">
        <v>12</v>
      </c>
      <c r="L545" s="12" t="s">
        <v>108</v>
      </c>
      <c r="M545" s="12" t="s">
        <v>142</v>
      </c>
      <c r="N545" s="12" t="s">
        <v>150</v>
      </c>
      <c r="O545" s="12" t="s">
        <v>23</v>
      </c>
      <c r="P545" s="12" t="s">
        <v>622</v>
      </c>
      <c r="Q545" s="7" t="str">
        <f t="shared" si="25"/>
        <v>(1967,31,'1967.08.05',1,44,57,60,82,0),</v>
      </c>
      <c r="R545" s="7" t="str">
        <f t="shared" si="27"/>
        <v>(1967,31,'1967.08.05',1,44,57,60,82),</v>
      </c>
    </row>
    <row r="546" spans="1:18" x14ac:dyDescent="0.25">
      <c r="A546" s="7" t="s">
        <v>1535</v>
      </c>
      <c r="B546" s="8" t="s">
        <v>80</v>
      </c>
      <c r="C546" s="10">
        <f t="shared" si="26"/>
        <v>24696</v>
      </c>
      <c r="D546" t="s">
        <v>11</v>
      </c>
      <c r="E546" t="s">
        <v>12</v>
      </c>
      <c r="F546" t="s">
        <v>11</v>
      </c>
      <c r="G546" t="s">
        <v>12</v>
      </c>
      <c r="H546" t="s">
        <v>11</v>
      </c>
      <c r="I546" t="s">
        <v>12</v>
      </c>
      <c r="J546" t="s">
        <v>11</v>
      </c>
      <c r="K546" t="s">
        <v>12</v>
      </c>
      <c r="L546" s="12" t="s">
        <v>42</v>
      </c>
      <c r="M546" s="12" t="s">
        <v>270</v>
      </c>
      <c r="N546" s="12" t="s">
        <v>10</v>
      </c>
      <c r="O546" s="12" t="s">
        <v>81</v>
      </c>
      <c r="P546" s="12" t="s">
        <v>22</v>
      </c>
      <c r="Q546" s="7" t="str">
        <f t="shared" si="25"/>
        <v>(1967,32,'1967.08.12',3,6,40,47,48,0),</v>
      </c>
      <c r="R546" s="7" t="str">
        <f t="shared" si="27"/>
        <v>(1967,32,'1967.08.12',3,6,40,47,48),</v>
      </c>
    </row>
    <row r="547" spans="1:18" x14ac:dyDescent="0.25">
      <c r="A547" s="7" t="s">
        <v>1535</v>
      </c>
      <c r="B547" s="8" t="s">
        <v>20</v>
      </c>
      <c r="C547" s="10">
        <f t="shared" si="26"/>
        <v>24703</v>
      </c>
      <c r="D547" t="s">
        <v>11</v>
      </c>
      <c r="E547" t="s">
        <v>12</v>
      </c>
      <c r="F547" t="s">
        <v>11</v>
      </c>
      <c r="G547" t="s">
        <v>12</v>
      </c>
      <c r="H547" t="s">
        <v>11</v>
      </c>
      <c r="I547" t="s">
        <v>12</v>
      </c>
      <c r="J547" t="s">
        <v>11</v>
      </c>
      <c r="K547" t="s">
        <v>12</v>
      </c>
      <c r="L547" s="12" t="s">
        <v>168</v>
      </c>
      <c r="M547" s="12" t="s">
        <v>232</v>
      </c>
      <c r="N547" s="12" t="s">
        <v>32</v>
      </c>
      <c r="O547" s="12" t="s">
        <v>135</v>
      </c>
      <c r="P547" s="12" t="s">
        <v>106</v>
      </c>
      <c r="Q547" s="7" t="str">
        <f t="shared" si="25"/>
        <v>(1967,33,'1967.08.19',4,8,22,27,75,0),</v>
      </c>
      <c r="R547" s="7" t="str">
        <f t="shared" si="27"/>
        <v>(1967,33,'1967.08.19',4,8,22,27,75),</v>
      </c>
    </row>
    <row r="548" spans="1:18" x14ac:dyDescent="0.25">
      <c r="A548" s="7" t="s">
        <v>1535</v>
      </c>
      <c r="B548" s="8" t="s">
        <v>25</v>
      </c>
      <c r="C548" s="10">
        <f t="shared" si="26"/>
        <v>24710</v>
      </c>
      <c r="D548" t="s">
        <v>11</v>
      </c>
      <c r="E548" t="s">
        <v>12</v>
      </c>
      <c r="F548" t="s">
        <v>11</v>
      </c>
      <c r="G548" t="s">
        <v>12</v>
      </c>
      <c r="H548" t="s">
        <v>11</v>
      </c>
      <c r="I548" t="s">
        <v>12</v>
      </c>
      <c r="J548" t="s">
        <v>11</v>
      </c>
      <c r="K548" t="s">
        <v>12</v>
      </c>
      <c r="L548" s="12" t="s">
        <v>43</v>
      </c>
      <c r="M548" s="12" t="s">
        <v>10</v>
      </c>
      <c r="N548" s="12" t="s">
        <v>123</v>
      </c>
      <c r="O548" s="12" t="s">
        <v>622</v>
      </c>
      <c r="P548" s="12" t="s">
        <v>308</v>
      </c>
      <c r="Q548" s="7" t="str">
        <f t="shared" si="25"/>
        <v>(1967,34,'1967.08.26',16,40,54,82,86,0),</v>
      </c>
      <c r="R548" s="7" t="str">
        <f t="shared" si="27"/>
        <v>(1967,34,'1967.08.26',16,40,54,82,86),</v>
      </c>
    </row>
    <row r="549" spans="1:18" x14ac:dyDescent="0.25">
      <c r="A549" s="7" t="s">
        <v>1535</v>
      </c>
      <c r="B549" s="8" t="s">
        <v>64</v>
      </c>
      <c r="C549" s="10">
        <f t="shared" si="26"/>
        <v>24717</v>
      </c>
      <c r="D549" t="s">
        <v>11</v>
      </c>
      <c r="E549" t="s">
        <v>12</v>
      </c>
      <c r="F549" t="s">
        <v>11</v>
      </c>
      <c r="G549" t="s">
        <v>12</v>
      </c>
      <c r="H549" t="s">
        <v>11</v>
      </c>
      <c r="I549" t="s">
        <v>12</v>
      </c>
      <c r="J549" t="s">
        <v>11</v>
      </c>
      <c r="K549" t="s">
        <v>12</v>
      </c>
      <c r="L549" s="12" t="s">
        <v>32</v>
      </c>
      <c r="M549" s="12" t="s">
        <v>72</v>
      </c>
      <c r="N549" s="12" t="s">
        <v>92</v>
      </c>
      <c r="O549" s="12" t="s">
        <v>201</v>
      </c>
      <c r="P549" s="12" t="s">
        <v>215</v>
      </c>
      <c r="Q549" s="7" t="str">
        <f t="shared" si="25"/>
        <v>(1967,35,'1967.09.02',22,67,68,72,81,0),</v>
      </c>
      <c r="R549" s="7" t="str">
        <f t="shared" si="27"/>
        <v>(1967,35,'1967.09.02',22,67,68,72,81),</v>
      </c>
    </row>
    <row r="550" spans="1:18" x14ac:dyDescent="0.25">
      <c r="A550" s="7" t="s">
        <v>1535</v>
      </c>
      <c r="B550" s="8" t="s">
        <v>21</v>
      </c>
      <c r="C550" s="10">
        <f t="shared" si="26"/>
        <v>24724</v>
      </c>
      <c r="D550" t="s">
        <v>11</v>
      </c>
      <c r="E550" t="s">
        <v>12</v>
      </c>
      <c r="F550" t="s">
        <v>11</v>
      </c>
      <c r="G550" t="s">
        <v>12</v>
      </c>
      <c r="H550" t="s">
        <v>11</v>
      </c>
      <c r="I550" t="s">
        <v>12</v>
      </c>
      <c r="J550" t="s">
        <v>11</v>
      </c>
      <c r="K550" t="s">
        <v>12</v>
      </c>
      <c r="L550" s="12" t="s">
        <v>31</v>
      </c>
      <c r="M550" s="12" t="s">
        <v>98</v>
      </c>
      <c r="N550" s="12" t="s">
        <v>142</v>
      </c>
      <c r="O550" s="12" t="s">
        <v>63</v>
      </c>
      <c r="P550" s="12" t="s">
        <v>246</v>
      </c>
      <c r="Q550" s="7" t="str">
        <f t="shared" si="25"/>
        <v>(1967,36,'1967.09.09',12,42,44,78,84,0),</v>
      </c>
      <c r="R550" s="7" t="str">
        <f t="shared" si="27"/>
        <v>(1967,36,'1967.09.09',12,42,44,78,84),</v>
      </c>
    </row>
    <row r="551" spans="1:18" x14ac:dyDescent="0.25">
      <c r="A551" s="7" t="s">
        <v>1535</v>
      </c>
      <c r="B551" s="8" t="s">
        <v>46</v>
      </c>
      <c r="C551" s="10">
        <f t="shared" si="26"/>
        <v>24731</v>
      </c>
      <c r="D551" t="s">
        <v>11</v>
      </c>
      <c r="E551" t="s">
        <v>12</v>
      </c>
      <c r="F551" t="s">
        <v>11</v>
      </c>
      <c r="G551" t="s">
        <v>12</v>
      </c>
      <c r="H551" t="s">
        <v>11</v>
      </c>
      <c r="I551" t="s">
        <v>12</v>
      </c>
      <c r="J551" t="s">
        <v>11</v>
      </c>
      <c r="K551" t="s">
        <v>12</v>
      </c>
      <c r="L551" s="12" t="s">
        <v>163</v>
      </c>
      <c r="M551" s="12" t="s">
        <v>25</v>
      </c>
      <c r="N551" s="12" t="s">
        <v>47</v>
      </c>
      <c r="O551" s="12" t="s">
        <v>151</v>
      </c>
      <c r="P551" s="12" t="s">
        <v>246</v>
      </c>
      <c r="Q551" s="7" t="str">
        <f t="shared" si="25"/>
        <v>(1967,37,'1967.09.16',23,34,69,79,84,0),</v>
      </c>
      <c r="R551" s="7" t="str">
        <f t="shared" si="27"/>
        <v>(1967,37,'1967.09.16',23,34,69,79,84),</v>
      </c>
    </row>
    <row r="552" spans="1:18" x14ac:dyDescent="0.25">
      <c r="A552" s="7" t="s">
        <v>1535</v>
      </c>
      <c r="B552" s="8" t="s">
        <v>36</v>
      </c>
      <c r="C552" s="10">
        <f t="shared" si="26"/>
        <v>24738</v>
      </c>
      <c r="D552" t="s">
        <v>11</v>
      </c>
      <c r="E552" t="s">
        <v>12</v>
      </c>
      <c r="F552" t="s">
        <v>11</v>
      </c>
      <c r="G552" t="s">
        <v>12</v>
      </c>
      <c r="H552" t="s">
        <v>11</v>
      </c>
      <c r="I552" t="s">
        <v>12</v>
      </c>
      <c r="J552" t="s">
        <v>11</v>
      </c>
      <c r="K552" t="s">
        <v>12</v>
      </c>
      <c r="L552" s="12" t="s">
        <v>24</v>
      </c>
      <c r="M552" s="12" t="s">
        <v>175</v>
      </c>
      <c r="N552" s="12" t="s">
        <v>201</v>
      </c>
      <c r="O552" s="12" t="s">
        <v>245</v>
      </c>
      <c r="P552" s="12" t="s">
        <v>73</v>
      </c>
      <c r="Q552" s="7" t="str">
        <f t="shared" si="25"/>
        <v>(1967,38,'1967.09.23',39,55,72,74,76,0),</v>
      </c>
      <c r="R552" s="7" t="str">
        <f t="shared" si="27"/>
        <v>(1967,38,'1967.09.23',39,55,72,74,76),</v>
      </c>
    </row>
    <row r="553" spans="1:18" x14ac:dyDescent="0.25">
      <c r="A553" s="7" t="s">
        <v>1535</v>
      </c>
      <c r="B553" s="8" t="s">
        <v>24</v>
      </c>
      <c r="C553" s="10">
        <f t="shared" si="26"/>
        <v>24745</v>
      </c>
      <c r="D553" t="s">
        <v>11</v>
      </c>
      <c r="E553" t="s">
        <v>12</v>
      </c>
      <c r="F553" t="s">
        <v>11</v>
      </c>
      <c r="G553" t="s">
        <v>12</v>
      </c>
      <c r="H553" t="s">
        <v>11</v>
      </c>
      <c r="I553" t="s">
        <v>12</v>
      </c>
      <c r="J553" t="s">
        <v>11</v>
      </c>
      <c r="K553" t="s">
        <v>12</v>
      </c>
      <c r="L553" s="12" t="s">
        <v>168</v>
      </c>
      <c r="M553" s="12" t="s">
        <v>169</v>
      </c>
      <c r="N553" s="12" t="s">
        <v>106</v>
      </c>
      <c r="O553" s="12" t="s">
        <v>246</v>
      </c>
      <c r="P553" s="12" t="s">
        <v>208</v>
      </c>
      <c r="Q553" s="7" t="str">
        <f t="shared" si="25"/>
        <v>(1967,39,'1967.09.30',4,58,75,84,88,0),</v>
      </c>
      <c r="R553" s="7" t="str">
        <f t="shared" si="27"/>
        <v>(1967,39,'1967.09.30',4,58,75,84,88),</v>
      </c>
    </row>
    <row r="554" spans="1:18" x14ac:dyDescent="0.25">
      <c r="A554" s="7" t="s">
        <v>1535</v>
      </c>
      <c r="B554" s="8" t="s">
        <v>10</v>
      </c>
      <c r="C554" s="10">
        <f t="shared" si="26"/>
        <v>24752</v>
      </c>
      <c r="D554" t="s">
        <v>11</v>
      </c>
      <c r="E554" t="s">
        <v>12</v>
      </c>
      <c r="F554" t="s">
        <v>11</v>
      </c>
      <c r="G554" t="s">
        <v>12</v>
      </c>
      <c r="H554" t="s">
        <v>11</v>
      </c>
      <c r="I554" t="s">
        <v>12</v>
      </c>
      <c r="J554" t="s">
        <v>11</v>
      </c>
      <c r="K554" t="s">
        <v>12</v>
      </c>
      <c r="L554" s="12" t="s">
        <v>89</v>
      </c>
      <c r="M554" s="12" t="s">
        <v>83</v>
      </c>
      <c r="N554" s="12" t="s">
        <v>64</v>
      </c>
      <c r="O554" s="12" t="s">
        <v>199</v>
      </c>
      <c r="P554" s="12" t="s">
        <v>246</v>
      </c>
      <c r="Q554" s="7" t="str">
        <f t="shared" si="25"/>
        <v>(1967,40,'1967.10.07',5,11,35,53,84,0),</v>
      </c>
      <c r="R554" s="7" t="str">
        <f t="shared" si="27"/>
        <v>(1967,40,'1967.10.07',5,11,35,53,84),</v>
      </c>
    </row>
    <row r="555" spans="1:18" x14ac:dyDescent="0.25">
      <c r="A555" s="7" t="s">
        <v>1535</v>
      </c>
      <c r="B555" s="8" t="s">
        <v>13</v>
      </c>
      <c r="C555" s="10">
        <f t="shared" si="26"/>
        <v>24759</v>
      </c>
      <c r="D555" t="s">
        <v>11</v>
      </c>
      <c r="E555" t="s">
        <v>12</v>
      </c>
      <c r="F555" t="s">
        <v>11</v>
      </c>
      <c r="G555" t="s">
        <v>12</v>
      </c>
      <c r="H555" t="s">
        <v>11</v>
      </c>
      <c r="I555" t="s">
        <v>12</v>
      </c>
      <c r="J555" t="s">
        <v>11</v>
      </c>
      <c r="K555" t="s">
        <v>12</v>
      </c>
      <c r="L555" s="12" t="s">
        <v>62</v>
      </c>
      <c r="M555" s="12" t="s">
        <v>24</v>
      </c>
      <c r="N555" s="12" t="s">
        <v>123</v>
      </c>
      <c r="O555" s="12" t="s">
        <v>201</v>
      </c>
      <c r="P555" s="12" t="s">
        <v>239</v>
      </c>
      <c r="Q555" s="7" t="str">
        <f t="shared" si="25"/>
        <v>(1967,41,'1967.10.14',10,39,54,72,73,0),</v>
      </c>
      <c r="R555" s="7" t="str">
        <f t="shared" si="27"/>
        <v>(1967,41,'1967.10.14',10,39,54,72,73),</v>
      </c>
    </row>
    <row r="556" spans="1:18" x14ac:dyDescent="0.25">
      <c r="A556" s="7" t="s">
        <v>1535</v>
      </c>
      <c r="B556" s="8" t="s">
        <v>98</v>
      </c>
      <c r="C556" s="10">
        <f t="shared" si="26"/>
        <v>24766</v>
      </c>
      <c r="D556" t="s">
        <v>11</v>
      </c>
      <c r="E556" t="s">
        <v>12</v>
      </c>
      <c r="F556" t="s">
        <v>11</v>
      </c>
      <c r="G556" t="s">
        <v>12</v>
      </c>
      <c r="H556" t="s">
        <v>11</v>
      </c>
      <c r="I556" t="s">
        <v>12</v>
      </c>
      <c r="J556" t="s">
        <v>11</v>
      </c>
      <c r="K556" t="s">
        <v>12</v>
      </c>
      <c r="L556" s="12" t="s">
        <v>270</v>
      </c>
      <c r="M556" s="12" t="s">
        <v>53</v>
      </c>
      <c r="N556" s="12" t="s">
        <v>192</v>
      </c>
      <c r="O556" s="12" t="s">
        <v>134</v>
      </c>
      <c r="P556" s="12" t="s">
        <v>150</v>
      </c>
      <c r="Q556" s="7" t="str">
        <f t="shared" si="25"/>
        <v>(1967,42,'1967.10.21',6,7,46,56,57,0),</v>
      </c>
      <c r="R556" s="7" t="str">
        <f t="shared" si="27"/>
        <v>(1967,42,'1967.10.21',6,7,46,56,57),</v>
      </c>
    </row>
    <row r="557" spans="1:18" x14ac:dyDescent="0.25">
      <c r="A557" s="7" t="s">
        <v>1535</v>
      </c>
      <c r="B557" s="8" t="s">
        <v>45</v>
      </c>
      <c r="C557" s="10">
        <f t="shared" si="26"/>
        <v>24773</v>
      </c>
      <c r="D557" t="s">
        <v>11</v>
      </c>
      <c r="E557" t="s">
        <v>12</v>
      </c>
      <c r="F557" t="s">
        <v>11</v>
      </c>
      <c r="G557" t="s">
        <v>12</v>
      </c>
      <c r="H557" t="s">
        <v>11</v>
      </c>
      <c r="I557" t="s">
        <v>12</v>
      </c>
      <c r="J557" t="s">
        <v>11</v>
      </c>
      <c r="K557" t="s">
        <v>12</v>
      </c>
      <c r="L557" s="12" t="s">
        <v>163</v>
      </c>
      <c r="M557" s="12" t="s">
        <v>46</v>
      </c>
      <c r="N557" s="12" t="s">
        <v>248</v>
      </c>
      <c r="O557" s="12" t="s">
        <v>215</v>
      </c>
      <c r="P557" s="12" t="s">
        <v>468</v>
      </c>
      <c r="Q557" s="7" t="str">
        <f t="shared" si="25"/>
        <v>(1967,43,'1967.10.28',23,37,63,81,85,0),</v>
      </c>
      <c r="R557" s="7" t="str">
        <f t="shared" si="27"/>
        <v>(1967,43,'1967.10.28',23,37,63,81,85),</v>
      </c>
    </row>
    <row r="558" spans="1:18" x14ac:dyDescent="0.25">
      <c r="A558" s="7" t="s">
        <v>1535</v>
      </c>
      <c r="B558" s="8" t="s">
        <v>142</v>
      </c>
      <c r="C558" s="10">
        <f t="shared" si="26"/>
        <v>24780</v>
      </c>
      <c r="D558" t="s">
        <v>11</v>
      </c>
      <c r="E558" t="s">
        <v>12</v>
      </c>
      <c r="F558" t="s">
        <v>11</v>
      </c>
      <c r="G558" t="s">
        <v>12</v>
      </c>
      <c r="H558" t="s">
        <v>11</v>
      </c>
      <c r="I558" t="s">
        <v>12</v>
      </c>
      <c r="J558" t="s">
        <v>11</v>
      </c>
      <c r="K558" t="s">
        <v>12</v>
      </c>
      <c r="L558" s="12" t="s">
        <v>44</v>
      </c>
      <c r="M558" s="12" t="s">
        <v>74</v>
      </c>
      <c r="N558" s="12" t="s">
        <v>46</v>
      </c>
      <c r="O558" s="12" t="s">
        <v>56</v>
      </c>
      <c r="P558" s="12" t="s">
        <v>379</v>
      </c>
      <c r="Q558" s="7" t="str">
        <f t="shared" si="25"/>
        <v>(1967,44,'1967.11.04',21,26,37,71,89,0),</v>
      </c>
      <c r="R558" s="7" t="str">
        <f t="shared" si="27"/>
        <v>(1967,44,'1967.11.04',21,26,37,71,89),</v>
      </c>
    </row>
    <row r="559" spans="1:18" x14ac:dyDescent="0.25">
      <c r="A559" s="7" t="s">
        <v>1535</v>
      </c>
      <c r="B559" s="8" t="s">
        <v>133</v>
      </c>
      <c r="C559" s="10">
        <f t="shared" si="26"/>
        <v>24787</v>
      </c>
      <c r="D559" t="s">
        <v>11</v>
      </c>
      <c r="E559" t="s">
        <v>12</v>
      </c>
      <c r="F559" t="s">
        <v>11</v>
      </c>
      <c r="G559" t="s">
        <v>12</v>
      </c>
      <c r="H559" t="s">
        <v>11</v>
      </c>
      <c r="I559" t="s">
        <v>12</v>
      </c>
      <c r="J559" t="s">
        <v>11</v>
      </c>
      <c r="K559" t="s">
        <v>12</v>
      </c>
      <c r="L559" s="12" t="s">
        <v>20</v>
      </c>
      <c r="M559" s="12" t="s">
        <v>36</v>
      </c>
      <c r="N559" s="12" t="s">
        <v>24</v>
      </c>
      <c r="O559" s="12" t="s">
        <v>106</v>
      </c>
      <c r="P559" s="12" t="s">
        <v>215</v>
      </c>
      <c r="Q559" s="7" t="str">
        <f t="shared" si="25"/>
        <v>(1967,45,'1967.11.11',33,38,39,75,81,0),</v>
      </c>
      <c r="R559" s="7" t="str">
        <f t="shared" si="27"/>
        <v>(1967,45,'1967.11.11',33,38,39,75,81),</v>
      </c>
    </row>
    <row r="560" spans="1:18" x14ac:dyDescent="0.25">
      <c r="A560" s="7" t="s">
        <v>1535</v>
      </c>
      <c r="B560" s="8" t="s">
        <v>192</v>
      </c>
      <c r="C560" s="10">
        <f t="shared" si="26"/>
        <v>24794</v>
      </c>
      <c r="D560" t="s">
        <v>11</v>
      </c>
      <c r="E560" t="s">
        <v>12</v>
      </c>
      <c r="F560" t="s">
        <v>11</v>
      </c>
      <c r="G560" t="s">
        <v>12</v>
      </c>
      <c r="H560" t="s">
        <v>11</v>
      </c>
      <c r="I560" t="s">
        <v>12</v>
      </c>
      <c r="J560" t="s">
        <v>11</v>
      </c>
      <c r="K560" t="s">
        <v>12</v>
      </c>
      <c r="L560" s="12" t="s">
        <v>83</v>
      </c>
      <c r="M560" s="12" t="s">
        <v>33</v>
      </c>
      <c r="N560" s="12" t="s">
        <v>152</v>
      </c>
      <c r="O560" s="12" t="s">
        <v>25</v>
      </c>
      <c r="P560" s="12" t="s">
        <v>201</v>
      </c>
      <c r="Q560" s="7" t="str">
        <f t="shared" si="25"/>
        <v>(1967,46,'1967.11.18',11,24,25,34,72,0),</v>
      </c>
      <c r="R560" s="7" t="str">
        <f t="shared" si="27"/>
        <v>(1967,46,'1967.11.18',11,24,25,34,72),</v>
      </c>
    </row>
    <row r="561" spans="1:18" x14ac:dyDescent="0.25">
      <c r="A561" s="7" t="s">
        <v>1535</v>
      </c>
      <c r="B561" s="8" t="s">
        <v>81</v>
      </c>
      <c r="C561" s="10">
        <f t="shared" si="26"/>
        <v>24801</v>
      </c>
      <c r="D561" t="s">
        <v>11</v>
      </c>
      <c r="E561" t="s">
        <v>12</v>
      </c>
      <c r="F561" t="s">
        <v>11</v>
      </c>
      <c r="G561" t="s">
        <v>12</v>
      </c>
      <c r="H561" t="s">
        <v>11</v>
      </c>
      <c r="I561" t="s">
        <v>12</v>
      </c>
      <c r="J561" t="s">
        <v>11</v>
      </c>
      <c r="K561" t="s">
        <v>12</v>
      </c>
      <c r="L561" s="12" t="s">
        <v>270</v>
      </c>
      <c r="M561" s="12" t="s">
        <v>115</v>
      </c>
      <c r="N561" s="12" t="s">
        <v>163</v>
      </c>
      <c r="O561" s="12" t="s">
        <v>35</v>
      </c>
      <c r="P561" s="12" t="s">
        <v>92</v>
      </c>
      <c r="Q561" s="7" t="str">
        <f t="shared" si="25"/>
        <v>(1967,47,'1967.11.25',6,20,23,65,68,0),</v>
      </c>
      <c r="R561" s="7" t="str">
        <f t="shared" si="27"/>
        <v>(1967,47,'1967.11.25',6,20,23,65,68),</v>
      </c>
    </row>
    <row r="562" spans="1:18" x14ac:dyDescent="0.25">
      <c r="A562" s="7" t="s">
        <v>1535</v>
      </c>
      <c r="B562" s="8" t="s">
        <v>22</v>
      </c>
      <c r="C562" s="10">
        <f t="shared" si="26"/>
        <v>24808</v>
      </c>
      <c r="D562" t="s">
        <v>11</v>
      </c>
      <c r="E562" t="s">
        <v>12</v>
      </c>
      <c r="F562" t="s">
        <v>11</v>
      </c>
      <c r="G562" t="s">
        <v>12</v>
      </c>
      <c r="H562" t="s">
        <v>11</v>
      </c>
      <c r="I562" t="s">
        <v>12</v>
      </c>
      <c r="J562" t="s">
        <v>11</v>
      </c>
      <c r="K562" t="s">
        <v>12</v>
      </c>
      <c r="L562" s="12" t="s">
        <v>33</v>
      </c>
      <c r="M562" s="12" t="s">
        <v>192</v>
      </c>
      <c r="N562" s="12" t="s">
        <v>22</v>
      </c>
      <c r="O562" s="12" t="s">
        <v>200</v>
      </c>
      <c r="P562" s="12" t="s">
        <v>468</v>
      </c>
      <c r="Q562" s="7" t="str">
        <f t="shared" si="25"/>
        <v>(1967,48,'1967.12.02',24,46,48,70,85,0),</v>
      </c>
      <c r="R562" s="7" t="str">
        <f t="shared" si="27"/>
        <v>(1967,48,'1967.12.02',24,46,48,70,85),</v>
      </c>
    </row>
    <row r="563" spans="1:18" x14ac:dyDescent="0.25">
      <c r="A563" s="7" t="s">
        <v>1535</v>
      </c>
      <c r="B563" s="8" t="s">
        <v>34</v>
      </c>
      <c r="C563" s="10">
        <f t="shared" si="26"/>
        <v>24815</v>
      </c>
      <c r="D563" t="s">
        <v>11</v>
      </c>
      <c r="E563" t="s">
        <v>12</v>
      </c>
      <c r="F563" t="s">
        <v>11</v>
      </c>
      <c r="G563" t="s">
        <v>12</v>
      </c>
      <c r="H563" t="s">
        <v>11</v>
      </c>
      <c r="I563" t="s">
        <v>12</v>
      </c>
      <c r="J563" t="s">
        <v>11</v>
      </c>
      <c r="K563" t="s">
        <v>12</v>
      </c>
      <c r="L563" s="12" t="s">
        <v>91</v>
      </c>
      <c r="M563" s="12" t="s">
        <v>63</v>
      </c>
      <c r="N563" s="12" t="s">
        <v>301</v>
      </c>
      <c r="O563" s="12" t="s">
        <v>215</v>
      </c>
      <c r="P563" s="12" t="s">
        <v>308</v>
      </c>
      <c r="Q563" s="7" t="str">
        <f t="shared" si="25"/>
        <v>(1967,49,'1967.12.09',61,78,80,81,86,0),</v>
      </c>
      <c r="R563" s="7" t="str">
        <f t="shared" si="27"/>
        <v>(1967,49,'1967.12.09',61,78,80,81,86),</v>
      </c>
    </row>
    <row r="564" spans="1:18" x14ac:dyDescent="0.25">
      <c r="A564" s="7" t="s">
        <v>1535</v>
      </c>
      <c r="B564" s="8" t="s">
        <v>105</v>
      </c>
      <c r="C564" s="10">
        <f t="shared" si="26"/>
        <v>24822</v>
      </c>
      <c r="D564" t="s">
        <v>11</v>
      </c>
      <c r="E564" t="s">
        <v>12</v>
      </c>
      <c r="F564" t="s">
        <v>11</v>
      </c>
      <c r="G564" t="s">
        <v>12</v>
      </c>
      <c r="H564" t="s">
        <v>11</v>
      </c>
      <c r="I564" t="s">
        <v>12</v>
      </c>
      <c r="J564" t="s">
        <v>11</v>
      </c>
      <c r="K564" t="s">
        <v>12</v>
      </c>
      <c r="L564" s="12" t="s">
        <v>270</v>
      </c>
      <c r="M564" s="12" t="s">
        <v>115</v>
      </c>
      <c r="N564" s="12" t="s">
        <v>126</v>
      </c>
      <c r="O564" s="12" t="s">
        <v>192</v>
      </c>
      <c r="P564" s="12" t="s">
        <v>301</v>
      </c>
      <c r="Q564" s="7" t="str">
        <f t="shared" si="25"/>
        <v>(1967,50,'1967.12.16',6,20,28,46,80,0),</v>
      </c>
      <c r="R564" s="7" t="str">
        <f t="shared" si="27"/>
        <v>(1967,50,'1967.12.16',6,20,28,46,80),</v>
      </c>
    </row>
    <row r="565" spans="1:18" x14ac:dyDescent="0.25">
      <c r="A565" s="7" t="s">
        <v>1535</v>
      </c>
      <c r="B565" s="8" t="s">
        <v>122</v>
      </c>
      <c r="C565" s="10">
        <f t="shared" si="26"/>
        <v>24829</v>
      </c>
      <c r="D565" t="s">
        <v>11</v>
      </c>
      <c r="E565" t="s">
        <v>12</v>
      </c>
      <c r="F565" t="s">
        <v>11</v>
      </c>
      <c r="G565" t="s">
        <v>12</v>
      </c>
      <c r="H565" t="s">
        <v>11</v>
      </c>
      <c r="I565" t="s">
        <v>12</v>
      </c>
      <c r="J565" t="s">
        <v>11</v>
      </c>
      <c r="K565" t="s">
        <v>12</v>
      </c>
      <c r="L565" s="12" t="s">
        <v>168</v>
      </c>
      <c r="M565" s="12" t="s">
        <v>32</v>
      </c>
      <c r="N565" s="12" t="s">
        <v>152</v>
      </c>
      <c r="O565" s="12" t="s">
        <v>143</v>
      </c>
      <c r="P565" s="12" t="s">
        <v>186</v>
      </c>
      <c r="Q565" s="7" t="str">
        <f t="shared" si="25"/>
        <v>(1967,51,'1967.12.23',4,22,25,77,90,0),</v>
      </c>
      <c r="R565" s="7" t="str">
        <f t="shared" si="27"/>
        <v>(1967,51,'1967.12.23',4,22,25,77,90),</v>
      </c>
    </row>
    <row r="566" spans="1:18" x14ac:dyDescent="0.25">
      <c r="A566" s="7" t="s">
        <v>1535</v>
      </c>
      <c r="B566" s="8" t="s">
        <v>99</v>
      </c>
      <c r="C566" s="10">
        <f t="shared" si="26"/>
        <v>24836</v>
      </c>
      <c r="D566" t="s">
        <v>11</v>
      </c>
      <c r="E566" t="s">
        <v>12</v>
      </c>
      <c r="F566" t="s">
        <v>11</v>
      </c>
      <c r="G566" t="s">
        <v>12</v>
      </c>
      <c r="H566" t="s">
        <v>11</v>
      </c>
      <c r="I566" t="s">
        <v>12</v>
      </c>
      <c r="J566" t="s">
        <v>11</v>
      </c>
      <c r="K566" t="s">
        <v>12</v>
      </c>
      <c r="L566" s="12" t="s">
        <v>108</v>
      </c>
      <c r="M566" s="12" t="s">
        <v>116</v>
      </c>
      <c r="N566" s="12" t="s">
        <v>122</v>
      </c>
      <c r="O566" s="12" t="s">
        <v>99</v>
      </c>
      <c r="P566" s="12" t="s">
        <v>208</v>
      </c>
      <c r="Q566" s="7" t="str">
        <f t="shared" si="25"/>
        <v>(1967,52,'1967.12.30',1,29,51,52,88,0),</v>
      </c>
      <c r="R566" s="7" t="str">
        <f t="shared" si="27"/>
        <v>(1967,52,'1967.12.30',1,29,51,52,88),</v>
      </c>
    </row>
    <row r="567" spans="1:18" x14ac:dyDescent="0.25">
      <c r="A567" s="7" t="s">
        <v>1976</v>
      </c>
      <c r="B567" s="8" t="s">
        <v>108</v>
      </c>
      <c r="C567" s="10">
        <f t="shared" si="26"/>
        <v>24843</v>
      </c>
      <c r="D567" t="s">
        <v>11</v>
      </c>
      <c r="E567" t="s">
        <v>12</v>
      </c>
      <c r="F567" t="s">
        <v>11</v>
      </c>
      <c r="G567" t="s">
        <v>12</v>
      </c>
      <c r="H567" t="s">
        <v>11</v>
      </c>
      <c r="I567" t="s">
        <v>12</v>
      </c>
      <c r="J567" t="s">
        <v>11</v>
      </c>
      <c r="K567" t="s">
        <v>12</v>
      </c>
      <c r="L567" s="12" t="s">
        <v>54</v>
      </c>
      <c r="M567" s="12" t="s">
        <v>126</v>
      </c>
      <c r="N567" s="12" t="s">
        <v>21</v>
      </c>
      <c r="O567" s="12" t="s">
        <v>123</v>
      </c>
      <c r="P567" s="12" t="s">
        <v>124</v>
      </c>
      <c r="Q567" s="7" t="str">
        <f t="shared" si="25"/>
        <v>(1968,1,'1968.01.06',15,28,36,54,62,0),</v>
      </c>
      <c r="R567" s="7" t="str">
        <f t="shared" si="27"/>
        <v>(1968,1,'1968.01.06',15,28,36,54,62),</v>
      </c>
    </row>
    <row r="568" spans="1:18" x14ac:dyDescent="0.25">
      <c r="A568" s="7" t="s">
        <v>1976</v>
      </c>
      <c r="B568" s="8" t="s">
        <v>207</v>
      </c>
      <c r="C568" s="10">
        <f t="shared" si="26"/>
        <v>24850</v>
      </c>
      <c r="D568" t="s">
        <v>11</v>
      </c>
      <c r="E568" t="s">
        <v>12</v>
      </c>
      <c r="F568" t="s">
        <v>11</v>
      </c>
      <c r="G568" t="s">
        <v>12</v>
      </c>
      <c r="H568" t="s">
        <v>11</v>
      </c>
      <c r="I568" t="s">
        <v>12</v>
      </c>
      <c r="J568" t="s">
        <v>11</v>
      </c>
      <c r="K568" t="s">
        <v>12</v>
      </c>
      <c r="L568" s="12" t="s">
        <v>65</v>
      </c>
      <c r="M568" s="12" t="s">
        <v>33</v>
      </c>
      <c r="N568" s="12" t="s">
        <v>135</v>
      </c>
      <c r="O568" s="12" t="s">
        <v>107</v>
      </c>
      <c r="P568" s="12" t="s">
        <v>47</v>
      </c>
      <c r="Q568" s="7" t="str">
        <f t="shared" si="25"/>
        <v>(1968,2,'1968.01.13',13,24,27,30,69,0),</v>
      </c>
      <c r="R568" s="7" t="str">
        <f t="shared" si="27"/>
        <v>(1968,2,'1968.01.13',13,24,27,30,69),</v>
      </c>
    </row>
    <row r="569" spans="1:18" x14ac:dyDescent="0.25">
      <c r="A569" s="7" t="s">
        <v>1976</v>
      </c>
      <c r="B569" s="8" t="s">
        <v>42</v>
      </c>
      <c r="C569" s="10">
        <f t="shared" si="26"/>
        <v>24857</v>
      </c>
      <c r="D569" t="s">
        <v>11</v>
      </c>
      <c r="E569" t="s">
        <v>12</v>
      </c>
      <c r="F569" t="s">
        <v>11</v>
      </c>
      <c r="G569" t="s">
        <v>12</v>
      </c>
      <c r="H569" t="s">
        <v>11</v>
      </c>
      <c r="I569" t="s">
        <v>12</v>
      </c>
      <c r="J569" t="s">
        <v>11</v>
      </c>
      <c r="K569" t="s">
        <v>12</v>
      </c>
      <c r="L569" s="12" t="s">
        <v>31</v>
      </c>
      <c r="M569" s="12" t="s">
        <v>135</v>
      </c>
      <c r="N569" s="12" t="s">
        <v>80</v>
      </c>
      <c r="O569" s="12" t="s">
        <v>34</v>
      </c>
      <c r="P569" s="12" t="s">
        <v>72</v>
      </c>
      <c r="Q569" s="7" t="str">
        <f t="shared" si="25"/>
        <v>(1968,3,'1968.01.20',12,27,32,49,67,0),</v>
      </c>
      <c r="R569" s="7" t="str">
        <f t="shared" si="27"/>
        <v>(1968,3,'1968.01.20',12,27,32,49,67),</v>
      </c>
    </row>
    <row r="570" spans="1:18" x14ac:dyDescent="0.25">
      <c r="A570" s="7" t="s">
        <v>1976</v>
      </c>
      <c r="B570" s="8" t="s">
        <v>168</v>
      </c>
      <c r="C570" s="10">
        <f t="shared" si="26"/>
        <v>24864</v>
      </c>
      <c r="D570" t="s">
        <v>11</v>
      </c>
      <c r="E570" t="s">
        <v>12</v>
      </c>
      <c r="F570" t="s">
        <v>11</v>
      </c>
      <c r="G570" t="s">
        <v>12</v>
      </c>
      <c r="H570" t="s">
        <v>11</v>
      </c>
      <c r="I570" t="s">
        <v>12</v>
      </c>
      <c r="J570" t="s">
        <v>11</v>
      </c>
      <c r="K570" t="s">
        <v>12</v>
      </c>
      <c r="L570" s="12" t="s">
        <v>232</v>
      </c>
      <c r="M570" s="12" t="s">
        <v>83</v>
      </c>
      <c r="N570" s="12" t="s">
        <v>20</v>
      </c>
      <c r="O570" s="12" t="s">
        <v>91</v>
      </c>
      <c r="P570" s="12" t="s">
        <v>125</v>
      </c>
      <c r="Q570" s="7" t="str">
        <f t="shared" si="25"/>
        <v>(1968,4,'1968.01.27',8,11,33,61,83,0),</v>
      </c>
      <c r="R570" s="7" t="str">
        <f t="shared" si="27"/>
        <v>(1968,4,'1968.01.27',8,11,33,61,83),</v>
      </c>
    </row>
    <row r="571" spans="1:18" x14ac:dyDescent="0.25">
      <c r="A571" s="7" t="s">
        <v>1976</v>
      </c>
      <c r="B571" s="8" t="s">
        <v>89</v>
      </c>
      <c r="C571" s="10">
        <f t="shared" si="26"/>
        <v>24871</v>
      </c>
      <c r="D571" t="s">
        <v>11</v>
      </c>
      <c r="E571" t="s">
        <v>12</v>
      </c>
      <c r="F571" t="s">
        <v>11</v>
      </c>
      <c r="G571" t="s">
        <v>12</v>
      </c>
      <c r="H571" t="s">
        <v>11</v>
      </c>
      <c r="I571" t="s">
        <v>12</v>
      </c>
      <c r="J571" t="s">
        <v>11</v>
      </c>
      <c r="K571" t="s">
        <v>12</v>
      </c>
      <c r="L571" s="12" t="s">
        <v>21</v>
      </c>
      <c r="M571" s="12" t="s">
        <v>98</v>
      </c>
      <c r="N571" s="12" t="s">
        <v>199</v>
      </c>
      <c r="O571" s="12" t="s">
        <v>134</v>
      </c>
      <c r="P571" s="12" t="s">
        <v>248</v>
      </c>
      <c r="Q571" s="7" t="str">
        <f t="shared" si="25"/>
        <v>(1968,5,'1968.02.03',36,42,53,56,63,0),</v>
      </c>
      <c r="R571" s="7" t="str">
        <f t="shared" si="27"/>
        <v>(1968,5,'1968.02.03',36,42,53,56,63),</v>
      </c>
    </row>
    <row r="572" spans="1:18" x14ac:dyDescent="0.25">
      <c r="A572" s="7" t="s">
        <v>1976</v>
      </c>
      <c r="B572" s="8" t="s">
        <v>270</v>
      </c>
      <c r="C572" s="10">
        <f t="shared" si="26"/>
        <v>24878</v>
      </c>
      <c r="D572" t="s">
        <v>11</v>
      </c>
      <c r="E572" t="s">
        <v>12</v>
      </c>
      <c r="F572" t="s">
        <v>11</v>
      </c>
      <c r="G572" t="s">
        <v>12</v>
      </c>
      <c r="H572" t="s">
        <v>11</v>
      </c>
      <c r="I572" t="s">
        <v>12</v>
      </c>
      <c r="J572" t="s">
        <v>11</v>
      </c>
      <c r="K572" t="s">
        <v>12</v>
      </c>
      <c r="L572" s="12" t="s">
        <v>270</v>
      </c>
      <c r="M572" s="12" t="s">
        <v>43</v>
      </c>
      <c r="N572" s="12" t="s">
        <v>81</v>
      </c>
      <c r="O572" s="12" t="s">
        <v>246</v>
      </c>
      <c r="P572" s="12" t="s">
        <v>379</v>
      </c>
      <c r="Q572" s="7" t="str">
        <f t="shared" si="25"/>
        <v>(1968,6,'1968.02.10',6,16,47,84,89,0),</v>
      </c>
      <c r="R572" s="7" t="str">
        <f t="shared" si="27"/>
        <v>(1968,6,'1968.02.10',6,16,47,84,89),</v>
      </c>
    </row>
    <row r="573" spans="1:18" x14ac:dyDescent="0.25">
      <c r="A573" s="7" t="s">
        <v>1976</v>
      </c>
      <c r="B573" s="8" t="s">
        <v>53</v>
      </c>
      <c r="C573" s="10">
        <f t="shared" si="26"/>
        <v>24885</v>
      </c>
      <c r="D573" t="s">
        <v>11</v>
      </c>
      <c r="E573" t="s">
        <v>12</v>
      </c>
      <c r="F573" t="s">
        <v>11</v>
      </c>
      <c r="G573" t="s">
        <v>12</v>
      </c>
      <c r="H573" t="s">
        <v>11</v>
      </c>
      <c r="I573" t="s">
        <v>12</v>
      </c>
      <c r="J573" t="s">
        <v>11</v>
      </c>
      <c r="K573" t="s">
        <v>12</v>
      </c>
      <c r="L573" s="12" t="s">
        <v>198</v>
      </c>
      <c r="M573" s="12" t="s">
        <v>43</v>
      </c>
      <c r="N573" s="12" t="s">
        <v>46</v>
      </c>
      <c r="O573" s="12" t="s">
        <v>175</v>
      </c>
      <c r="P573" s="12" t="s">
        <v>92</v>
      </c>
      <c r="Q573" s="7" t="str">
        <f t="shared" si="25"/>
        <v>(1968,7,'1968.02.17',9,16,37,55,68,0),</v>
      </c>
      <c r="R573" s="7" t="str">
        <f t="shared" si="27"/>
        <v>(1968,7,'1968.02.17',9,16,37,55,68),</v>
      </c>
    </row>
    <row r="574" spans="1:18" x14ac:dyDescent="0.25">
      <c r="A574" s="7" t="s">
        <v>1976</v>
      </c>
      <c r="B574" s="8" t="s">
        <v>232</v>
      </c>
      <c r="C574" s="10">
        <f t="shared" si="26"/>
        <v>24892</v>
      </c>
      <c r="D574" t="s">
        <v>11</v>
      </c>
      <c r="E574" t="s">
        <v>12</v>
      </c>
      <c r="F574" t="s">
        <v>11</v>
      </c>
      <c r="G574" t="s">
        <v>12</v>
      </c>
      <c r="H574" t="s">
        <v>11</v>
      </c>
      <c r="I574" t="s">
        <v>12</v>
      </c>
      <c r="J574" t="s">
        <v>11</v>
      </c>
      <c r="K574" t="s">
        <v>12</v>
      </c>
      <c r="L574" s="12" t="s">
        <v>32</v>
      </c>
      <c r="M574" s="12" t="s">
        <v>22</v>
      </c>
      <c r="N574" s="12" t="s">
        <v>150</v>
      </c>
      <c r="O574" s="12" t="s">
        <v>233</v>
      </c>
      <c r="P574" s="12" t="s">
        <v>72</v>
      </c>
      <c r="Q574" s="7" t="str">
        <f t="shared" si="25"/>
        <v>(1968,8,'1968.02.24',22,48,57,66,67,0),</v>
      </c>
      <c r="R574" s="7" t="str">
        <f t="shared" si="27"/>
        <v>(1968,8,'1968.02.24',22,48,57,66,67),</v>
      </c>
    </row>
    <row r="575" spans="1:18" x14ac:dyDescent="0.25">
      <c r="A575" s="7" t="s">
        <v>1976</v>
      </c>
      <c r="B575" s="8" t="s">
        <v>198</v>
      </c>
      <c r="C575" s="10">
        <f t="shared" si="26"/>
        <v>24899</v>
      </c>
      <c r="D575" t="s">
        <v>11</v>
      </c>
      <c r="E575" t="s">
        <v>12</v>
      </c>
      <c r="F575" t="s">
        <v>11</v>
      </c>
      <c r="G575" t="s">
        <v>12</v>
      </c>
      <c r="H575" t="s">
        <v>11</v>
      </c>
      <c r="I575" t="s">
        <v>12</v>
      </c>
      <c r="J575" t="s">
        <v>11</v>
      </c>
      <c r="K575" t="s">
        <v>12</v>
      </c>
      <c r="L575" s="12" t="s">
        <v>54</v>
      </c>
      <c r="M575" s="12" t="s">
        <v>43</v>
      </c>
      <c r="N575" s="12" t="s">
        <v>152</v>
      </c>
      <c r="O575" s="12" t="s">
        <v>98</v>
      </c>
      <c r="P575" s="12" t="s">
        <v>105</v>
      </c>
      <c r="Q575" s="7" t="str">
        <f t="shared" si="25"/>
        <v>(1968,9,'1968.03.02',15,16,25,42,50,0),</v>
      </c>
      <c r="R575" s="7" t="str">
        <f t="shared" si="27"/>
        <v>(1968,9,'1968.03.02',15,16,25,42,50),</v>
      </c>
    </row>
    <row r="576" spans="1:18" x14ac:dyDescent="0.25">
      <c r="A576" s="7" t="s">
        <v>1976</v>
      </c>
      <c r="B576" s="8" t="s">
        <v>62</v>
      </c>
      <c r="C576" s="10">
        <f t="shared" si="26"/>
        <v>24906</v>
      </c>
      <c r="D576" t="s">
        <v>11</v>
      </c>
      <c r="E576" t="s">
        <v>12</v>
      </c>
      <c r="F576" t="s">
        <v>11</v>
      </c>
      <c r="G576" t="s">
        <v>12</v>
      </c>
      <c r="H576" t="s">
        <v>11</v>
      </c>
      <c r="I576" t="s">
        <v>12</v>
      </c>
      <c r="J576" t="s">
        <v>11</v>
      </c>
      <c r="K576" t="s">
        <v>12</v>
      </c>
      <c r="L576" s="12" t="s">
        <v>198</v>
      </c>
      <c r="M576" s="12" t="s">
        <v>33</v>
      </c>
      <c r="N576" s="12" t="s">
        <v>24</v>
      </c>
      <c r="O576" s="12" t="s">
        <v>35</v>
      </c>
      <c r="P576" s="12" t="s">
        <v>47</v>
      </c>
      <c r="Q576" s="7" t="str">
        <f t="shared" si="25"/>
        <v>(1968,10,'1968.03.09',9,24,39,65,69,0),</v>
      </c>
      <c r="R576" s="7" t="str">
        <f t="shared" si="27"/>
        <v>(1968,10,'1968.03.09',9,24,39,65,69),</v>
      </c>
    </row>
    <row r="577" spans="1:18" x14ac:dyDescent="0.25">
      <c r="A577" s="7" t="s">
        <v>1976</v>
      </c>
      <c r="B577" s="8" t="s">
        <v>83</v>
      </c>
      <c r="C577" s="10">
        <f t="shared" si="26"/>
        <v>24913</v>
      </c>
      <c r="D577" t="s">
        <v>11</v>
      </c>
      <c r="E577" t="s">
        <v>12</v>
      </c>
      <c r="F577" t="s">
        <v>11</v>
      </c>
      <c r="G577" t="s">
        <v>12</v>
      </c>
      <c r="H577" t="s">
        <v>11</v>
      </c>
      <c r="I577" t="s">
        <v>12</v>
      </c>
      <c r="J577" t="s">
        <v>11</v>
      </c>
      <c r="K577" t="s">
        <v>12</v>
      </c>
      <c r="L577" s="12" t="s">
        <v>44</v>
      </c>
      <c r="M577" s="12" t="s">
        <v>36</v>
      </c>
      <c r="N577" s="12" t="s">
        <v>92</v>
      </c>
      <c r="O577" s="12" t="s">
        <v>200</v>
      </c>
      <c r="P577" s="12" t="s">
        <v>186</v>
      </c>
      <c r="Q577" s="7" t="str">
        <f t="shared" si="25"/>
        <v>(1968,11,'1968.03.16',21,38,68,70,90,0),</v>
      </c>
      <c r="R577" s="7" t="str">
        <f t="shared" si="27"/>
        <v>(1968,11,'1968.03.16',21,38,68,70,90),</v>
      </c>
    </row>
    <row r="578" spans="1:18" x14ac:dyDescent="0.25">
      <c r="A578" s="7" t="s">
        <v>1976</v>
      </c>
      <c r="B578" s="8" t="s">
        <v>31</v>
      </c>
      <c r="C578" s="10">
        <f t="shared" si="26"/>
        <v>24920</v>
      </c>
      <c r="D578" t="s">
        <v>11</v>
      </c>
      <c r="E578" t="s">
        <v>12</v>
      </c>
      <c r="F578" t="s">
        <v>11</v>
      </c>
      <c r="G578" t="s">
        <v>12</v>
      </c>
      <c r="H578" t="s">
        <v>11</v>
      </c>
      <c r="I578" t="s">
        <v>12</v>
      </c>
      <c r="J578" t="s">
        <v>11</v>
      </c>
      <c r="K578" t="s">
        <v>12</v>
      </c>
      <c r="L578" s="12" t="s">
        <v>44</v>
      </c>
      <c r="M578" s="12" t="s">
        <v>72</v>
      </c>
      <c r="N578" s="12" t="s">
        <v>56</v>
      </c>
      <c r="O578" s="12" t="s">
        <v>63</v>
      </c>
      <c r="P578" s="12" t="s">
        <v>308</v>
      </c>
      <c r="Q578" s="7" t="str">
        <f t="shared" ref="Q578:Q641" si="28">"("&amp;A578&amp;","&amp;B578&amp;",'"&amp;TEXT(C578,"éééé.hh.nn")&amp;"',"&amp;L578&amp;","&amp;M578&amp;","&amp;N578&amp;","&amp;O578&amp;","&amp;P578&amp;",0)"&amp;IF(P579&lt;&gt;0,",","")</f>
        <v>(1968,12,'1968.03.23',21,67,71,78,86,0),</v>
      </c>
      <c r="R578" s="7" t="str">
        <f t="shared" si="27"/>
        <v>(1968,12,'1968.03.23',21,67,71,78,86),</v>
      </c>
    </row>
    <row r="579" spans="1:18" x14ac:dyDescent="0.25">
      <c r="A579" s="7" t="s">
        <v>1976</v>
      </c>
      <c r="B579" s="8" t="s">
        <v>65</v>
      </c>
      <c r="C579" s="10">
        <f t="shared" ref="C579:C642" si="29">+C578+7</f>
        <v>24927</v>
      </c>
      <c r="D579" t="s">
        <v>11</v>
      </c>
      <c r="E579" t="s">
        <v>12</v>
      </c>
      <c r="F579" t="s">
        <v>11</v>
      </c>
      <c r="G579" t="s">
        <v>12</v>
      </c>
      <c r="H579" t="s">
        <v>11</v>
      </c>
      <c r="I579" t="s">
        <v>12</v>
      </c>
      <c r="J579" t="s">
        <v>11</v>
      </c>
      <c r="K579" t="s">
        <v>12</v>
      </c>
      <c r="L579" s="12" t="s">
        <v>270</v>
      </c>
      <c r="M579" s="12" t="s">
        <v>83</v>
      </c>
      <c r="N579" s="12" t="s">
        <v>135</v>
      </c>
      <c r="O579" s="12" t="s">
        <v>47</v>
      </c>
      <c r="P579" s="12" t="s">
        <v>468</v>
      </c>
      <c r="Q579" s="7" t="str">
        <f t="shared" si="28"/>
        <v>(1968,13,'1968.03.30',6,11,27,69,85,0),</v>
      </c>
      <c r="R579" s="7" t="str">
        <f t="shared" ref="R579:R642" si="30">IF(TRIM(P579)="","","("&amp;A579&amp;","&amp;B579&amp;",'"&amp;TEXT(C579,"éééé.hh.nn")&amp;"',"&amp;L579&amp;","&amp;M579&amp;","&amp;N579&amp;","&amp;O579&amp;","&amp;P579&amp;")"&amp;IF(P580=0,";",","))</f>
        <v>(1968,13,'1968.03.30',6,11,27,69,85),</v>
      </c>
    </row>
    <row r="580" spans="1:18" x14ac:dyDescent="0.25">
      <c r="A580" s="7" t="s">
        <v>1976</v>
      </c>
      <c r="B580" s="8" t="s">
        <v>127</v>
      </c>
      <c r="C580" s="10">
        <f t="shared" si="29"/>
        <v>24934</v>
      </c>
      <c r="D580" t="s">
        <v>11</v>
      </c>
      <c r="E580" t="s">
        <v>12</v>
      </c>
      <c r="F580" t="s">
        <v>11</v>
      </c>
      <c r="G580" t="s">
        <v>12</v>
      </c>
      <c r="H580" t="s">
        <v>11</v>
      </c>
      <c r="I580" t="s">
        <v>12</v>
      </c>
      <c r="J580" t="s">
        <v>11</v>
      </c>
      <c r="K580" t="s">
        <v>12</v>
      </c>
      <c r="L580" s="12" t="s">
        <v>53</v>
      </c>
      <c r="M580" s="12" t="s">
        <v>232</v>
      </c>
      <c r="N580" s="12" t="s">
        <v>62</v>
      </c>
      <c r="O580" s="12" t="s">
        <v>54</v>
      </c>
      <c r="P580" s="12" t="s">
        <v>47</v>
      </c>
      <c r="Q580" s="7" t="str">
        <f t="shared" si="28"/>
        <v>(1968,14,'1968.04.06',7,8,10,15,69,0),</v>
      </c>
      <c r="R580" s="7" t="str">
        <f t="shared" si="30"/>
        <v>(1968,14,'1968.04.06',7,8,10,15,69),</v>
      </c>
    </row>
    <row r="581" spans="1:18" x14ac:dyDescent="0.25">
      <c r="A581" s="7" t="s">
        <v>1976</v>
      </c>
      <c r="B581" s="8" t="s">
        <v>54</v>
      </c>
      <c r="C581" s="10">
        <f t="shared" si="29"/>
        <v>24941</v>
      </c>
      <c r="D581" t="s">
        <v>11</v>
      </c>
      <c r="E581" t="s">
        <v>12</v>
      </c>
      <c r="F581" t="s">
        <v>11</v>
      </c>
      <c r="G581" t="s">
        <v>12</v>
      </c>
      <c r="H581" t="s">
        <v>11</v>
      </c>
      <c r="I581" t="s">
        <v>12</v>
      </c>
      <c r="J581" t="s">
        <v>11</v>
      </c>
      <c r="K581" t="s">
        <v>12</v>
      </c>
      <c r="L581" s="12" t="s">
        <v>19</v>
      </c>
      <c r="M581" s="12" t="s">
        <v>44</v>
      </c>
      <c r="N581" s="12" t="s">
        <v>135</v>
      </c>
      <c r="O581" s="12" t="s">
        <v>71</v>
      </c>
      <c r="P581" s="12" t="s">
        <v>468</v>
      </c>
      <c r="Q581" s="7" t="str">
        <f t="shared" si="28"/>
        <v>(1968,15,'1968.04.13',18,21,27,31,85,0),</v>
      </c>
      <c r="R581" s="7" t="str">
        <f t="shared" si="30"/>
        <v>(1968,15,'1968.04.13',18,21,27,31,85),</v>
      </c>
    </row>
    <row r="582" spans="1:18" x14ac:dyDescent="0.25">
      <c r="A582" s="7" t="s">
        <v>1976</v>
      </c>
      <c r="B582" s="8" t="s">
        <v>43</v>
      </c>
      <c r="C582" s="10">
        <f t="shared" si="29"/>
        <v>24948</v>
      </c>
      <c r="D582" t="s">
        <v>11</v>
      </c>
      <c r="E582" t="s">
        <v>12</v>
      </c>
      <c r="F582" t="s">
        <v>11</v>
      </c>
      <c r="G582" t="s">
        <v>12</v>
      </c>
      <c r="H582" t="s">
        <v>11</v>
      </c>
      <c r="I582" t="s">
        <v>12</v>
      </c>
      <c r="J582" t="s">
        <v>11</v>
      </c>
      <c r="K582" t="s">
        <v>12</v>
      </c>
      <c r="L582" s="12" t="s">
        <v>43</v>
      </c>
      <c r="M582" s="12" t="s">
        <v>36</v>
      </c>
      <c r="N582" s="12" t="s">
        <v>34</v>
      </c>
      <c r="O582" s="12" t="s">
        <v>105</v>
      </c>
      <c r="P582" s="12" t="s">
        <v>622</v>
      </c>
      <c r="Q582" s="7" t="str">
        <f t="shared" si="28"/>
        <v>(1968,16,'1968.04.20',16,38,49,50,82,0),</v>
      </c>
      <c r="R582" s="7" t="str">
        <f t="shared" si="30"/>
        <v>(1968,16,'1968.04.20',16,38,49,50,82),</v>
      </c>
    </row>
    <row r="583" spans="1:18" x14ac:dyDescent="0.25">
      <c r="A583" s="7" t="s">
        <v>1976</v>
      </c>
      <c r="B583" s="8" t="s">
        <v>90</v>
      </c>
      <c r="C583" s="10">
        <f t="shared" si="29"/>
        <v>24955</v>
      </c>
      <c r="D583" t="s">
        <v>11</v>
      </c>
      <c r="E583" t="s">
        <v>12</v>
      </c>
      <c r="F583" t="s">
        <v>11</v>
      </c>
      <c r="G583" t="s">
        <v>12</v>
      </c>
      <c r="H583" t="s">
        <v>11</v>
      </c>
      <c r="I583" t="s">
        <v>12</v>
      </c>
      <c r="J583" t="s">
        <v>11</v>
      </c>
      <c r="K583" t="s">
        <v>12</v>
      </c>
      <c r="L583" s="12" t="s">
        <v>163</v>
      </c>
      <c r="M583" s="12" t="s">
        <v>135</v>
      </c>
      <c r="N583" s="12" t="s">
        <v>20</v>
      </c>
      <c r="O583" s="12" t="s">
        <v>106</v>
      </c>
      <c r="P583" s="12" t="s">
        <v>208</v>
      </c>
      <c r="Q583" s="7" t="str">
        <f t="shared" si="28"/>
        <v>(1968,17,'1968.04.27',23,27,33,75,88,0),</v>
      </c>
      <c r="R583" s="7" t="str">
        <f t="shared" si="30"/>
        <v>(1968,17,'1968.04.27',23,27,33,75,88),</v>
      </c>
    </row>
    <row r="584" spans="1:18" x14ac:dyDescent="0.25">
      <c r="A584" s="7" t="s">
        <v>1976</v>
      </c>
      <c r="B584" s="8" t="s">
        <v>19</v>
      </c>
      <c r="C584" s="10">
        <f t="shared" si="29"/>
        <v>24962</v>
      </c>
      <c r="D584" t="s">
        <v>11</v>
      </c>
      <c r="E584" t="s">
        <v>12</v>
      </c>
      <c r="F584" t="s">
        <v>11</v>
      </c>
      <c r="G584" t="s">
        <v>12</v>
      </c>
      <c r="H584" t="s">
        <v>11</v>
      </c>
      <c r="I584" t="s">
        <v>12</v>
      </c>
      <c r="J584" t="s">
        <v>11</v>
      </c>
      <c r="K584" t="s">
        <v>12</v>
      </c>
      <c r="L584" s="12" t="s">
        <v>62</v>
      </c>
      <c r="M584" s="12" t="s">
        <v>54</v>
      </c>
      <c r="N584" s="12" t="s">
        <v>64</v>
      </c>
      <c r="O584" s="12" t="s">
        <v>13</v>
      </c>
      <c r="P584" s="12" t="s">
        <v>134</v>
      </c>
      <c r="Q584" s="7" t="str">
        <f t="shared" si="28"/>
        <v>(1968,18,'1968.05.04',10,15,35,41,56,0),</v>
      </c>
      <c r="R584" s="7" t="str">
        <f t="shared" si="30"/>
        <v>(1968,18,'1968.05.04',10,15,35,41,56),</v>
      </c>
    </row>
    <row r="585" spans="1:18" x14ac:dyDescent="0.25">
      <c r="A585" s="7" t="s">
        <v>1976</v>
      </c>
      <c r="B585" s="8" t="s">
        <v>55</v>
      </c>
      <c r="C585" s="10">
        <f t="shared" si="29"/>
        <v>24969</v>
      </c>
      <c r="D585" t="s">
        <v>11</v>
      </c>
      <c r="E585" t="s">
        <v>12</v>
      </c>
      <c r="F585" t="s">
        <v>11</v>
      </c>
      <c r="G585" t="s">
        <v>12</v>
      </c>
      <c r="H585" t="s">
        <v>11</v>
      </c>
      <c r="I585" t="s">
        <v>12</v>
      </c>
      <c r="J585" t="s">
        <v>11</v>
      </c>
      <c r="K585" t="s">
        <v>12</v>
      </c>
      <c r="L585" s="12" t="s">
        <v>168</v>
      </c>
      <c r="M585" s="12" t="s">
        <v>53</v>
      </c>
      <c r="N585" s="12" t="s">
        <v>55</v>
      </c>
      <c r="O585" s="12" t="s">
        <v>152</v>
      </c>
      <c r="P585" s="12" t="s">
        <v>35</v>
      </c>
      <c r="Q585" s="7" t="str">
        <f t="shared" si="28"/>
        <v>(1968,19,'1968.05.11',4,7,19,25,65,0),</v>
      </c>
      <c r="R585" s="7" t="str">
        <f t="shared" si="30"/>
        <v>(1968,19,'1968.05.11',4,7,19,25,65),</v>
      </c>
    </row>
    <row r="586" spans="1:18" x14ac:dyDescent="0.25">
      <c r="A586" s="7" t="s">
        <v>1976</v>
      </c>
      <c r="B586" s="8" t="s">
        <v>115</v>
      </c>
      <c r="C586" s="10">
        <f t="shared" si="29"/>
        <v>24976</v>
      </c>
      <c r="D586" t="s">
        <v>11</v>
      </c>
      <c r="E586" t="s">
        <v>12</v>
      </c>
      <c r="F586" t="s">
        <v>11</v>
      </c>
      <c r="G586" t="s">
        <v>12</v>
      </c>
      <c r="H586" t="s">
        <v>11</v>
      </c>
      <c r="I586" t="s">
        <v>12</v>
      </c>
      <c r="J586" t="s">
        <v>11</v>
      </c>
      <c r="K586" t="s">
        <v>12</v>
      </c>
      <c r="L586" s="12" t="s">
        <v>142</v>
      </c>
      <c r="M586" s="12" t="s">
        <v>34</v>
      </c>
      <c r="N586" s="12" t="s">
        <v>200</v>
      </c>
      <c r="O586" s="12" t="s">
        <v>201</v>
      </c>
      <c r="P586" s="12" t="s">
        <v>63</v>
      </c>
      <c r="Q586" s="7" t="str">
        <f t="shared" si="28"/>
        <v>(1968,20,'1968.05.18',44,49,70,72,78,0),</v>
      </c>
      <c r="R586" s="7" t="str">
        <f t="shared" si="30"/>
        <v>(1968,20,'1968.05.18',44,49,70,72,78),</v>
      </c>
    </row>
    <row r="587" spans="1:18" x14ac:dyDescent="0.25">
      <c r="A587" s="7" t="s">
        <v>1976</v>
      </c>
      <c r="B587" s="8" t="s">
        <v>44</v>
      </c>
      <c r="C587" s="10">
        <f t="shared" si="29"/>
        <v>24983</v>
      </c>
      <c r="D587" t="s">
        <v>11</v>
      </c>
      <c r="E587" t="s">
        <v>12</v>
      </c>
      <c r="F587" t="s">
        <v>11</v>
      </c>
      <c r="G587" t="s">
        <v>12</v>
      </c>
      <c r="H587" t="s">
        <v>11</v>
      </c>
      <c r="I587" t="s">
        <v>12</v>
      </c>
      <c r="J587" t="s">
        <v>11</v>
      </c>
      <c r="K587" t="s">
        <v>12</v>
      </c>
      <c r="L587" s="12" t="s">
        <v>83</v>
      </c>
      <c r="M587" s="12" t="s">
        <v>31</v>
      </c>
      <c r="N587" s="12" t="s">
        <v>150</v>
      </c>
      <c r="O587" s="12" t="s">
        <v>125</v>
      </c>
      <c r="P587" s="12" t="s">
        <v>308</v>
      </c>
      <c r="Q587" s="7" t="str">
        <f t="shared" si="28"/>
        <v>(1968,21,'1968.05.25',11,12,57,83,86,0),</v>
      </c>
      <c r="R587" s="7" t="str">
        <f t="shared" si="30"/>
        <v>(1968,21,'1968.05.25',11,12,57,83,86),</v>
      </c>
    </row>
    <row r="588" spans="1:18" x14ac:dyDescent="0.25">
      <c r="A588" s="7" t="s">
        <v>1976</v>
      </c>
      <c r="B588" s="8" t="s">
        <v>32</v>
      </c>
      <c r="C588" s="10">
        <f t="shared" si="29"/>
        <v>24990</v>
      </c>
      <c r="D588" t="s">
        <v>11</v>
      </c>
      <c r="E588" t="s">
        <v>12</v>
      </c>
      <c r="F588" t="s">
        <v>11</v>
      </c>
      <c r="G588" t="s">
        <v>12</v>
      </c>
      <c r="H588" t="s">
        <v>11</v>
      </c>
      <c r="I588" t="s">
        <v>12</v>
      </c>
      <c r="J588" t="s">
        <v>11</v>
      </c>
      <c r="K588" t="s">
        <v>12</v>
      </c>
      <c r="L588" s="12" t="s">
        <v>42</v>
      </c>
      <c r="M588" s="12" t="s">
        <v>43</v>
      </c>
      <c r="N588" s="12" t="s">
        <v>245</v>
      </c>
      <c r="O588" s="12" t="s">
        <v>106</v>
      </c>
      <c r="P588" s="12" t="s">
        <v>308</v>
      </c>
      <c r="Q588" s="7" t="str">
        <f t="shared" si="28"/>
        <v>(1968,22,'1968.06.01',3,16,74,75,86,0),</v>
      </c>
      <c r="R588" s="7" t="str">
        <f t="shared" si="30"/>
        <v>(1968,22,'1968.06.01',3,16,74,75,86),</v>
      </c>
    </row>
    <row r="589" spans="1:18" x14ac:dyDescent="0.25">
      <c r="A589" s="7" t="s">
        <v>1976</v>
      </c>
      <c r="B589" s="8" t="s">
        <v>163</v>
      </c>
      <c r="C589" s="10">
        <f t="shared" si="29"/>
        <v>24997</v>
      </c>
      <c r="D589" t="s">
        <v>11</v>
      </c>
      <c r="E589" t="s">
        <v>12</v>
      </c>
      <c r="F589" t="s">
        <v>11</v>
      </c>
      <c r="G589" t="s">
        <v>12</v>
      </c>
      <c r="H589" t="s">
        <v>11</v>
      </c>
      <c r="I589" t="s">
        <v>12</v>
      </c>
      <c r="J589" t="s">
        <v>11</v>
      </c>
      <c r="K589" t="s">
        <v>12</v>
      </c>
      <c r="L589" s="12" t="s">
        <v>62</v>
      </c>
      <c r="M589" s="12" t="s">
        <v>33</v>
      </c>
      <c r="N589" s="12" t="s">
        <v>20</v>
      </c>
      <c r="O589" s="12" t="s">
        <v>13</v>
      </c>
      <c r="P589" s="12" t="s">
        <v>269</v>
      </c>
      <c r="Q589" s="7" t="str">
        <f t="shared" si="28"/>
        <v>(1968,23,'1968.06.08',10,24,33,41,87,0),</v>
      </c>
      <c r="R589" s="7" t="str">
        <f t="shared" si="30"/>
        <v>(1968,23,'1968.06.08',10,24,33,41,87),</v>
      </c>
    </row>
    <row r="590" spans="1:18" x14ac:dyDescent="0.25">
      <c r="A590" s="7" t="s">
        <v>1976</v>
      </c>
      <c r="B590" s="8" t="s">
        <v>33</v>
      </c>
      <c r="C590" s="10">
        <f t="shared" si="29"/>
        <v>25004</v>
      </c>
      <c r="D590" t="s">
        <v>11</v>
      </c>
      <c r="E590" t="s">
        <v>12</v>
      </c>
      <c r="F590" t="s">
        <v>11</v>
      </c>
      <c r="G590" t="s">
        <v>12</v>
      </c>
      <c r="H590" t="s">
        <v>11</v>
      </c>
      <c r="I590" t="s">
        <v>12</v>
      </c>
      <c r="J590" t="s">
        <v>11</v>
      </c>
      <c r="K590" t="s">
        <v>12</v>
      </c>
      <c r="L590" s="12" t="s">
        <v>168</v>
      </c>
      <c r="M590" s="12" t="s">
        <v>74</v>
      </c>
      <c r="N590" s="12" t="s">
        <v>36</v>
      </c>
      <c r="O590" s="12" t="s">
        <v>142</v>
      </c>
      <c r="P590" s="12" t="s">
        <v>308</v>
      </c>
      <c r="Q590" s="7" t="str">
        <f t="shared" si="28"/>
        <v>(1968,24,'1968.06.15',4,26,38,44,86,0),</v>
      </c>
      <c r="R590" s="7" t="str">
        <f t="shared" si="30"/>
        <v>(1968,24,'1968.06.15',4,26,38,44,86),</v>
      </c>
    </row>
    <row r="591" spans="1:18" x14ac:dyDescent="0.25">
      <c r="A591" s="7" t="s">
        <v>1976</v>
      </c>
      <c r="B591" s="8" t="s">
        <v>152</v>
      </c>
      <c r="C591" s="10">
        <f t="shared" si="29"/>
        <v>25011</v>
      </c>
      <c r="D591" t="s">
        <v>11</v>
      </c>
      <c r="E591" t="s">
        <v>12</v>
      </c>
      <c r="F591" t="s">
        <v>11</v>
      </c>
      <c r="G591" t="s">
        <v>12</v>
      </c>
      <c r="H591" t="s">
        <v>11</v>
      </c>
      <c r="I591" t="s">
        <v>12</v>
      </c>
      <c r="J591" t="s">
        <v>11</v>
      </c>
      <c r="K591" t="s">
        <v>12</v>
      </c>
      <c r="L591" s="12" t="s">
        <v>42</v>
      </c>
      <c r="M591" s="12" t="s">
        <v>198</v>
      </c>
      <c r="N591" s="12" t="s">
        <v>127</v>
      </c>
      <c r="O591" s="12" t="s">
        <v>239</v>
      </c>
      <c r="P591" s="12" t="s">
        <v>308</v>
      </c>
      <c r="Q591" s="7" t="str">
        <f t="shared" si="28"/>
        <v>(1968,25,'1968.06.22',3,9,14,73,86,0),</v>
      </c>
      <c r="R591" s="7" t="str">
        <f t="shared" si="30"/>
        <v>(1968,25,'1968.06.22',3,9,14,73,86),</v>
      </c>
    </row>
    <row r="592" spans="1:18" x14ac:dyDescent="0.25">
      <c r="A592" s="7" t="s">
        <v>1976</v>
      </c>
      <c r="B592" s="8" t="s">
        <v>74</v>
      </c>
      <c r="C592" s="10">
        <f t="shared" si="29"/>
        <v>25018</v>
      </c>
      <c r="D592" t="s">
        <v>11</v>
      </c>
      <c r="E592" t="s">
        <v>12</v>
      </c>
      <c r="F592" t="s">
        <v>11</v>
      </c>
      <c r="G592" t="s">
        <v>12</v>
      </c>
      <c r="H592" t="s">
        <v>11</v>
      </c>
      <c r="I592" t="s">
        <v>12</v>
      </c>
      <c r="J592" t="s">
        <v>11</v>
      </c>
      <c r="K592" t="s">
        <v>12</v>
      </c>
      <c r="L592" s="12" t="s">
        <v>108</v>
      </c>
      <c r="M592" s="12" t="s">
        <v>19</v>
      </c>
      <c r="N592" s="12" t="s">
        <v>23</v>
      </c>
      <c r="O592" s="12" t="s">
        <v>151</v>
      </c>
      <c r="P592" s="12" t="s">
        <v>215</v>
      </c>
      <c r="Q592" s="7" t="str">
        <f t="shared" si="28"/>
        <v>(1968,26,'1968.06.29',1,18,60,79,81,0),</v>
      </c>
      <c r="R592" s="7" t="str">
        <f t="shared" si="30"/>
        <v>(1968,26,'1968.06.29',1,18,60,79,81),</v>
      </c>
    </row>
    <row r="593" spans="1:18" x14ac:dyDescent="0.25">
      <c r="A593" s="7" t="s">
        <v>1976</v>
      </c>
      <c r="B593" s="8" t="s">
        <v>135</v>
      </c>
      <c r="C593" s="10">
        <f t="shared" si="29"/>
        <v>25025</v>
      </c>
      <c r="D593" t="s">
        <v>11</v>
      </c>
      <c r="E593" t="s">
        <v>12</v>
      </c>
      <c r="F593" t="s">
        <v>11</v>
      </c>
      <c r="G593" t="s">
        <v>12</v>
      </c>
      <c r="H593" t="s">
        <v>11</v>
      </c>
      <c r="I593" t="s">
        <v>12</v>
      </c>
      <c r="J593" t="s">
        <v>11</v>
      </c>
      <c r="K593" t="s">
        <v>12</v>
      </c>
      <c r="L593" s="12" t="s">
        <v>21</v>
      </c>
      <c r="M593" s="12" t="s">
        <v>99</v>
      </c>
      <c r="N593" s="12" t="s">
        <v>23</v>
      </c>
      <c r="O593" s="12" t="s">
        <v>47</v>
      </c>
      <c r="P593" s="12" t="s">
        <v>73</v>
      </c>
      <c r="Q593" s="7" t="str">
        <f t="shared" si="28"/>
        <v>(1968,27,'1968.07.06',36,52,60,69,76,0),</v>
      </c>
      <c r="R593" s="7" t="str">
        <f t="shared" si="30"/>
        <v>(1968,27,'1968.07.06',36,52,60,69,76),</v>
      </c>
    </row>
    <row r="594" spans="1:18" x14ac:dyDescent="0.25">
      <c r="A594" s="7" t="s">
        <v>1976</v>
      </c>
      <c r="B594" s="8" t="s">
        <v>126</v>
      </c>
      <c r="C594" s="10">
        <f t="shared" si="29"/>
        <v>25032</v>
      </c>
      <c r="D594" t="s">
        <v>11</v>
      </c>
      <c r="E594" t="s">
        <v>12</v>
      </c>
      <c r="F594" t="s">
        <v>11</v>
      </c>
      <c r="G594" t="s">
        <v>12</v>
      </c>
      <c r="H594" t="s">
        <v>11</v>
      </c>
      <c r="I594" t="s">
        <v>12</v>
      </c>
      <c r="J594" t="s">
        <v>11</v>
      </c>
      <c r="K594" t="s">
        <v>12</v>
      </c>
      <c r="L594" s="12" t="s">
        <v>42</v>
      </c>
      <c r="M594" s="12" t="s">
        <v>53</v>
      </c>
      <c r="N594" s="12" t="s">
        <v>107</v>
      </c>
      <c r="O594" s="12" t="s">
        <v>20</v>
      </c>
      <c r="P594" s="12" t="s">
        <v>125</v>
      </c>
      <c r="Q594" s="7" t="str">
        <f t="shared" si="28"/>
        <v>(1968,28,'1968.07.13',3,7,30,33,83,0),</v>
      </c>
      <c r="R594" s="7" t="str">
        <f t="shared" si="30"/>
        <v>(1968,28,'1968.07.13',3,7,30,33,83),</v>
      </c>
    </row>
    <row r="595" spans="1:18" x14ac:dyDescent="0.25">
      <c r="A595" s="7" t="s">
        <v>1976</v>
      </c>
      <c r="B595" s="8" t="s">
        <v>116</v>
      </c>
      <c r="C595" s="10">
        <f t="shared" si="29"/>
        <v>25039</v>
      </c>
      <c r="D595" t="s">
        <v>11</v>
      </c>
      <c r="E595" t="s">
        <v>12</v>
      </c>
      <c r="F595" t="s">
        <v>11</v>
      </c>
      <c r="G595" t="s">
        <v>12</v>
      </c>
      <c r="H595" t="s">
        <v>11</v>
      </c>
      <c r="I595" t="s">
        <v>12</v>
      </c>
      <c r="J595" t="s">
        <v>11</v>
      </c>
      <c r="K595" t="s">
        <v>12</v>
      </c>
      <c r="L595" s="12" t="s">
        <v>20</v>
      </c>
      <c r="M595" s="12" t="s">
        <v>25</v>
      </c>
      <c r="N595" s="12" t="s">
        <v>246</v>
      </c>
      <c r="O595" s="12" t="s">
        <v>308</v>
      </c>
      <c r="P595" s="12" t="s">
        <v>208</v>
      </c>
      <c r="Q595" s="7" t="str">
        <f t="shared" si="28"/>
        <v>(1968,29,'1968.07.20',33,34,84,86,88,0),</v>
      </c>
      <c r="R595" s="7" t="str">
        <f t="shared" si="30"/>
        <v>(1968,29,'1968.07.20',33,34,84,86,88),</v>
      </c>
    </row>
    <row r="596" spans="1:18" x14ac:dyDescent="0.25">
      <c r="A596" s="7" t="s">
        <v>1976</v>
      </c>
      <c r="B596" s="8" t="s">
        <v>107</v>
      </c>
      <c r="C596" s="10">
        <f t="shared" si="29"/>
        <v>25046</v>
      </c>
      <c r="D596" t="s">
        <v>11</v>
      </c>
      <c r="E596" t="s">
        <v>12</v>
      </c>
      <c r="F596" t="s">
        <v>11</v>
      </c>
      <c r="G596" t="s">
        <v>12</v>
      </c>
      <c r="H596" t="s">
        <v>11</v>
      </c>
      <c r="I596" t="s">
        <v>12</v>
      </c>
      <c r="J596" t="s">
        <v>11</v>
      </c>
      <c r="K596" t="s">
        <v>12</v>
      </c>
      <c r="L596" s="12" t="s">
        <v>90</v>
      </c>
      <c r="M596" s="12" t="s">
        <v>21</v>
      </c>
      <c r="N596" s="12" t="s">
        <v>56</v>
      </c>
      <c r="O596" s="12" t="s">
        <v>239</v>
      </c>
      <c r="P596" s="12" t="s">
        <v>186</v>
      </c>
      <c r="Q596" s="7" t="str">
        <f t="shared" si="28"/>
        <v>(1968,30,'1968.07.27',17,36,71,73,90,0),</v>
      </c>
      <c r="R596" s="7" t="str">
        <f t="shared" si="30"/>
        <v>(1968,30,'1968.07.27',17,36,71,73,90),</v>
      </c>
    </row>
    <row r="597" spans="1:18" x14ac:dyDescent="0.25">
      <c r="A597" s="7" t="s">
        <v>1976</v>
      </c>
      <c r="B597" s="8" t="s">
        <v>71</v>
      </c>
      <c r="C597" s="10">
        <f t="shared" si="29"/>
        <v>25053</v>
      </c>
      <c r="D597" t="s">
        <v>11</v>
      </c>
      <c r="E597" t="s">
        <v>12</v>
      </c>
      <c r="F597" t="s">
        <v>11</v>
      </c>
      <c r="G597" t="s">
        <v>12</v>
      </c>
      <c r="H597" t="s">
        <v>11</v>
      </c>
      <c r="I597" t="s">
        <v>12</v>
      </c>
      <c r="J597" t="s">
        <v>11</v>
      </c>
      <c r="K597" t="s">
        <v>12</v>
      </c>
      <c r="L597" s="12" t="s">
        <v>31</v>
      </c>
      <c r="M597" s="12" t="s">
        <v>54</v>
      </c>
      <c r="N597" s="12" t="s">
        <v>152</v>
      </c>
      <c r="O597" s="12" t="s">
        <v>36</v>
      </c>
      <c r="P597" s="12" t="s">
        <v>91</v>
      </c>
      <c r="Q597" s="7" t="str">
        <f t="shared" si="28"/>
        <v>(1968,31,'1968.08.03',12,15,25,38,61,0),</v>
      </c>
      <c r="R597" s="7" t="str">
        <f t="shared" si="30"/>
        <v>(1968,31,'1968.08.03',12,15,25,38,61),</v>
      </c>
    </row>
    <row r="598" spans="1:18" x14ac:dyDescent="0.25">
      <c r="A598" s="7" t="s">
        <v>1976</v>
      </c>
      <c r="B598" s="8" t="s">
        <v>80</v>
      </c>
      <c r="C598" s="10">
        <f t="shared" si="29"/>
        <v>25060</v>
      </c>
      <c r="D598" t="s">
        <v>11</v>
      </c>
      <c r="E598" t="s">
        <v>12</v>
      </c>
      <c r="F598" t="s">
        <v>11</v>
      </c>
      <c r="G598" t="s">
        <v>12</v>
      </c>
      <c r="H598" t="s">
        <v>11</v>
      </c>
      <c r="I598" t="s">
        <v>12</v>
      </c>
      <c r="J598" t="s">
        <v>11</v>
      </c>
      <c r="K598" t="s">
        <v>12</v>
      </c>
      <c r="L598" s="12" t="s">
        <v>90</v>
      </c>
      <c r="M598" s="12" t="s">
        <v>163</v>
      </c>
      <c r="N598" s="12" t="s">
        <v>13</v>
      </c>
      <c r="O598" s="12" t="s">
        <v>99</v>
      </c>
      <c r="P598" s="12" t="s">
        <v>248</v>
      </c>
      <c r="Q598" s="7" t="str">
        <f t="shared" si="28"/>
        <v>(1968,32,'1968.08.10',17,23,41,52,63,0),</v>
      </c>
      <c r="R598" s="7" t="str">
        <f t="shared" si="30"/>
        <v>(1968,32,'1968.08.10',17,23,41,52,63),</v>
      </c>
    </row>
    <row r="599" spans="1:18" x14ac:dyDescent="0.25">
      <c r="A599" s="7" t="s">
        <v>1976</v>
      </c>
      <c r="B599" s="8" t="s">
        <v>20</v>
      </c>
      <c r="C599" s="10">
        <f t="shared" si="29"/>
        <v>25067</v>
      </c>
      <c r="D599" t="s">
        <v>11</v>
      </c>
      <c r="E599" t="s">
        <v>12</v>
      </c>
      <c r="F599" t="s">
        <v>11</v>
      </c>
      <c r="G599" t="s">
        <v>12</v>
      </c>
      <c r="H599" t="s">
        <v>11</v>
      </c>
      <c r="I599" t="s">
        <v>12</v>
      </c>
      <c r="J599" t="s">
        <v>11</v>
      </c>
      <c r="K599" t="s">
        <v>12</v>
      </c>
      <c r="L599" s="12" t="s">
        <v>32</v>
      </c>
      <c r="M599" s="12" t="s">
        <v>152</v>
      </c>
      <c r="N599" s="12" t="s">
        <v>126</v>
      </c>
      <c r="O599" s="12" t="s">
        <v>56</v>
      </c>
      <c r="P599" s="12" t="s">
        <v>143</v>
      </c>
      <c r="Q599" s="7" t="str">
        <f t="shared" si="28"/>
        <v>(1968,33,'1968.08.17',22,25,28,71,77,0),</v>
      </c>
      <c r="R599" s="7" t="str">
        <f t="shared" si="30"/>
        <v>(1968,33,'1968.08.17',22,25,28,71,77),</v>
      </c>
    </row>
    <row r="600" spans="1:18" x14ac:dyDescent="0.25">
      <c r="A600" s="7" t="s">
        <v>1976</v>
      </c>
      <c r="B600" s="8" t="s">
        <v>25</v>
      </c>
      <c r="C600" s="10">
        <f t="shared" si="29"/>
        <v>25074</v>
      </c>
      <c r="D600" t="s">
        <v>11</v>
      </c>
      <c r="E600" t="s">
        <v>12</v>
      </c>
      <c r="F600" t="s">
        <v>11</v>
      </c>
      <c r="G600" t="s">
        <v>12</v>
      </c>
      <c r="H600" t="s">
        <v>11</v>
      </c>
      <c r="I600" t="s">
        <v>12</v>
      </c>
      <c r="J600" t="s">
        <v>11</v>
      </c>
      <c r="K600" t="s">
        <v>12</v>
      </c>
      <c r="L600" s="12" t="s">
        <v>198</v>
      </c>
      <c r="M600" s="12" t="s">
        <v>107</v>
      </c>
      <c r="N600" s="12" t="s">
        <v>64</v>
      </c>
      <c r="O600" s="12" t="s">
        <v>133</v>
      </c>
      <c r="P600" s="12" t="s">
        <v>56</v>
      </c>
      <c r="Q600" s="7" t="str">
        <f t="shared" si="28"/>
        <v>(1968,34,'1968.08.24',9,30,35,45,71,0),</v>
      </c>
      <c r="R600" s="7" t="str">
        <f t="shared" si="30"/>
        <v>(1968,34,'1968.08.24',9,30,35,45,71),</v>
      </c>
    </row>
    <row r="601" spans="1:18" x14ac:dyDescent="0.25">
      <c r="A601" s="7" t="s">
        <v>1976</v>
      </c>
      <c r="B601" s="8" t="s">
        <v>64</v>
      </c>
      <c r="C601" s="10">
        <f t="shared" si="29"/>
        <v>25081</v>
      </c>
      <c r="D601" t="s">
        <v>11</v>
      </c>
      <c r="E601" t="s">
        <v>12</v>
      </c>
      <c r="F601" t="s">
        <v>11</v>
      </c>
      <c r="G601" t="s">
        <v>12</v>
      </c>
      <c r="H601" t="s">
        <v>11</v>
      </c>
      <c r="I601" t="s">
        <v>12</v>
      </c>
      <c r="J601" t="s">
        <v>11</v>
      </c>
      <c r="K601" t="s">
        <v>12</v>
      </c>
      <c r="L601" s="12" t="s">
        <v>270</v>
      </c>
      <c r="M601" s="12" t="s">
        <v>232</v>
      </c>
      <c r="N601" s="12" t="s">
        <v>74</v>
      </c>
      <c r="O601" s="12" t="s">
        <v>142</v>
      </c>
      <c r="P601" s="12" t="s">
        <v>105</v>
      </c>
      <c r="Q601" s="7" t="str">
        <f t="shared" si="28"/>
        <v>(1968,35,'1968.08.31',6,8,26,44,50,0),</v>
      </c>
      <c r="R601" s="7" t="str">
        <f t="shared" si="30"/>
        <v>(1968,35,'1968.08.31',6,8,26,44,50),</v>
      </c>
    </row>
    <row r="602" spans="1:18" x14ac:dyDescent="0.25">
      <c r="A602" s="7" t="s">
        <v>1976</v>
      </c>
      <c r="B602" s="8" t="s">
        <v>21</v>
      </c>
      <c r="C602" s="10">
        <f t="shared" si="29"/>
        <v>25088</v>
      </c>
      <c r="D602" t="s">
        <v>11</v>
      </c>
      <c r="E602" t="s">
        <v>12</v>
      </c>
      <c r="F602" t="s">
        <v>11</v>
      </c>
      <c r="G602" t="s">
        <v>12</v>
      </c>
      <c r="H602" t="s">
        <v>11</v>
      </c>
      <c r="I602" t="s">
        <v>12</v>
      </c>
      <c r="J602" t="s">
        <v>11</v>
      </c>
      <c r="K602" t="s">
        <v>12</v>
      </c>
      <c r="L602" s="12" t="s">
        <v>10</v>
      </c>
      <c r="M602" s="12" t="s">
        <v>98</v>
      </c>
      <c r="N602" s="12" t="s">
        <v>81</v>
      </c>
      <c r="O602" s="12" t="s">
        <v>73</v>
      </c>
      <c r="P602" s="12" t="s">
        <v>468</v>
      </c>
      <c r="Q602" s="7" t="str">
        <f t="shared" si="28"/>
        <v>(1968,36,'1968.09.07',40,42,47,76,85,0),</v>
      </c>
      <c r="R602" s="7" t="str">
        <f t="shared" si="30"/>
        <v>(1968,36,'1968.09.07',40,42,47,76,85),</v>
      </c>
    </row>
    <row r="603" spans="1:18" x14ac:dyDescent="0.25">
      <c r="A603" s="7" t="s">
        <v>1976</v>
      </c>
      <c r="B603" s="8" t="s">
        <v>46</v>
      </c>
      <c r="C603" s="10">
        <f t="shared" si="29"/>
        <v>25095</v>
      </c>
      <c r="D603" t="s">
        <v>11</v>
      </c>
      <c r="E603" t="s">
        <v>12</v>
      </c>
      <c r="F603" t="s">
        <v>11</v>
      </c>
      <c r="G603" t="s">
        <v>12</v>
      </c>
      <c r="H603" t="s">
        <v>11</v>
      </c>
      <c r="I603" t="s">
        <v>12</v>
      </c>
      <c r="J603" t="s">
        <v>11</v>
      </c>
      <c r="K603" t="s">
        <v>12</v>
      </c>
      <c r="L603" s="12" t="s">
        <v>270</v>
      </c>
      <c r="M603" s="12" t="s">
        <v>115</v>
      </c>
      <c r="N603" s="12" t="s">
        <v>81</v>
      </c>
      <c r="O603" s="12" t="s">
        <v>34</v>
      </c>
      <c r="P603" s="12" t="s">
        <v>35</v>
      </c>
      <c r="Q603" s="7" t="str">
        <f t="shared" si="28"/>
        <v>(1968,37,'1968.09.14',6,20,47,49,65,0),</v>
      </c>
      <c r="R603" s="7" t="str">
        <f t="shared" si="30"/>
        <v>(1968,37,'1968.09.14',6,20,47,49,65),</v>
      </c>
    </row>
    <row r="604" spans="1:18" x14ac:dyDescent="0.25">
      <c r="A604" s="7" t="s">
        <v>1976</v>
      </c>
      <c r="B604" s="8" t="s">
        <v>36</v>
      </c>
      <c r="C604" s="10">
        <f t="shared" si="29"/>
        <v>25102</v>
      </c>
      <c r="D604" t="s">
        <v>11</v>
      </c>
      <c r="E604" t="s">
        <v>12</v>
      </c>
      <c r="F604" t="s">
        <v>11</v>
      </c>
      <c r="G604" t="s">
        <v>12</v>
      </c>
      <c r="H604" t="s">
        <v>11</v>
      </c>
      <c r="I604" t="s">
        <v>12</v>
      </c>
      <c r="J604" t="s">
        <v>11</v>
      </c>
      <c r="K604" t="s">
        <v>12</v>
      </c>
      <c r="L604" s="12" t="s">
        <v>71</v>
      </c>
      <c r="M604" s="12" t="s">
        <v>80</v>
      </c>
      <c r="N604" s="12" t="s">
        <v>199</v>
      </c>
      <c r="O604" s="12" t="s">
        <v>175</v>
      </c>
      <c r="P604" s="12" t="s">
        <v>214</v>
      </c>
      <c r="Q604" s="7" t="str">
        <f t="shared" si="28"/>
        <v>(1968,38,'1968.09.21',31,32,53,55,64,0),</v>
      </c>
      <c r="R604" s="7" t="str">
        <f t="shared" si="30"/>
        <v>(1968,38,'1968.09.21',31,32,53,55,64),</v>
      </c>
    </row>
    <row r="605" spans="1:18" x14ac:dyDescent="0.25">
      <c r="A605" s="7" t="s">
        <v>1976</v>
      </c>
      <c r="B605" s="8" t="s">
        <v>24</v>
      </c>
      <c r="C605" s="10">
        <f t="shared" si="29"/>
        <v>25109</v>
      </c>
      <c r="D605" t="s">
        <v>11</v>
      </c>
      <c r="E605" t="s">
        <v>12</v>
      </c>
      <c r="F605" t="s">
        <v>11</v>
      </c>
      <c r="G605" t="s">
        <v>12</v>
      </c>
      <c r="H605" t="s">
        <v>11</v>
      </c>
      <c r="I605" t="s">
        <v>12</v>
      </c>
      <c r="J605" t="s">
        <v>11</v>
      </c>
      <c r="K605" t="s">
        <v>12</v>
      </c>
      <c r="L605" s="12" t="s">
        <v>115</v>
      </c>
      <c r="M605" s="12" t="s">
        <v>33</v>
      </c>
      <c r="N605" s="12" t="s">
        <v>56</v>
      </c>
      <c r="O605" s="12" t="s">
        <v>143</v>
      </c>
      <c r="P605" s="12" t="s">
        <v>269</v>
      </c>
      <c r="Q605" s="7" t="str">
        <f t="shared" si="28"/>
        <v>(1968,39,'1968.09.28',20,24,71,77,87,0),</v>
      </c>
      <c r="R605" s="7" t="str">
        <f t="shared" si="30"/>
        <v>(1968,39,'1968.09.28',20,24,71,77,87),</v>
      </c>
    </row>
    <row r="606" spans="1:18" x14ac:dyDescent="0.25">
      <c r="A606" s="7" t="s">
        <v>1976</v>
      </c>
      <c r="B606" s="8" t="s">
        <v>10</v>
      </c>
      <c r="C606" s="10">
        <f t="shared" si="29"/>
        <v>25116</v>
      </c>
      <c r="D606" t="s">
        <v>11</v>
      </c>
      <c r="E606" t="s">
        <v>12</v>
      </c>
      <c r="F606" t="s">
        <v>11</v>
      </c>
      <c r="G606" t="s">
        <v>12</v>
      </c>
      <c r="H606" t="s">
        <v>11</v>
      </c>
      <c r="I606" t="s">
        <v>12</v>
      </c>
      <c r="J606" t="s">
        <v>11</v>
      </c>
      <c r="K606" t="s">
        <v>12</v>
      </c>
      <c r="L606" s="12" t="s">
        <v>36</v>
      </c>
      <c r="M606" s="12" t="s">
        <v>214</v>
      </c>
      <c r="N606" s="12" t="s">
        <v>125</v>
      </c>
      <c r="O606" s="12" t="s">
        <v>468</v>
      </c>
      <c r="P606" s="12" t="s">
        <v>186</v>
      </c>
      <c r="Q606" s="7" t="str">
        <f t="shared" si="28"/>
        <v>(1968,40,'1968.10.05',38,64,83,85,90,0),</v>
      </c>
      <c r="R606" s="7" t="str">
        <f t="shared" si="30"/>
        <v>(1968,40,'1968.10.05',38,64,83,85,90),</v>
      </c>
    </row>
    <row r="607" spans="1:18" x14ac:dyDescent="0.25">
      <c r="A607" s="7" t="s">
        <v>1976</v>
      </c>
      <c r="B607" s="8" t="s">
        <v>13</v>
      </c>
      <c r="C607" s="10">
        <f t="shared" si="29"/>
        <v>25123</v>
      </c>
      <c r="D607" t="s">
        <v>11</v>
      </c>
      <c r="E607" t="s">
        <v>12</v>
      </c>
      <c r="F607" t="s">
        <v>11</v>
      </c>
      <c r="G607" t="s">
        <v>12</v>
      </c>
      <c r="H607" t="s">
        <v>11</v>
      </c>
      <c r="I607" t="s">
        <v>12</v>
      </c>
      <c r="J607" t="s">
        <v>11</v>
      </c>
      <c r="K607" t="s">
        <v>12</v>
      </c>
      <c r="L607" s="12" t="s">
        <v>126</v>
      </c>
      <c r="M607" s="12" t="s">
        <v>64</v>
      </c>
      <c r="N607" s="12" t="s">
        <v>98</v>
      </c>
      <c r="O607" s="12" t="s">
        <v>122</v>
      </c>
      <c r="P607" s="12" t="s">
        <v>151</v>
      </c>
      <c r="Q607" s="7" t="str">
        <f t="shared" si="28"/>
        <v>(1968,41,'1968.10.12',28,35,42,51,79,0),</v>
      </c>
      <c r="R607" s="7" t="str">
        <f t="shared" si="30"/>
        <v>(1968,41,'1968.10.12',28,35,42,51,79),</v>
      </c>
    </row>
    <row r="608" spans="1:18" x14ac:dyDescent="0.25">
      <c r="A608" s="7" t="s">
        <v>1976</v>
      </c>
      <c r="B608" s="8" t="s">
        <v>98</v>
      </c>
      <c r="C608" s="10">
        <f t="shared" si="29"/>
        <v>25130</v>
      </c>
      <c r="D608" t="s">
        <v>11</v>
      </c>
      <c r="E608" t="s">
        <v>12</v>
      </c>
      <c r="F608" t="s">
        <v>11</v>
      </c>
      <c r="G608" t="s">
        <v>12</v>
      </c>
      <c r="H608" t="s">
        <v>11</v>
      </c>
      <c r="I608" t="s">
        <v>12</v>
      </c>
      <c r="J608" t="s">
        <v>11</v>
      </c>
      <c r="K608" t="s">
        <v>12</v>
      </c>
      <c r="L608" s="12" t="s">
        <v>65</v>
      </c>
      <c r="M608" s="12" t="s">
        <v>192</v>
      </c>
      <c r="N608" s="12" t="s">
        <v>134</v>
      </c>
      <c r="O608" s="12" t="s">
        <v>239</v>
      </c>
      <c r="P608" s="12" t="s">
        <v>151</v>
      </c>
      <c r="Q608" s="7" t="str">
        <f t="shared" si="28"/>
        <v>(1968,42,'1968.10.19',13,46,56,73,79,0),</v>
      </c>
      <c r="R608" s="7" t="str">
        <f t="shared" si="30"/>
        <v>(1968,42,'1968.10.19',13,46,56,73,79),</v>
      </c>
    </row>
    <row r="609" spans="1:18" x14ac:dyDescent="0.25">
      <c r="A609" s="7" t="s">
        <v>1976</v>
      </c>
      <c r="B609" s="8" t="s">
        <v>45</v>
      </c>
      <c r="C609" s="10">
        <f t="shared" si="29"/>
        <v>25137</v>
      </c>
      <c r="D609" t="s">
        <v>11</v>
      </c>
      <c r="E609" t="s">
        <v>12</v>
      </c>
      <c r="F609" t="s">
        <v>11</v>
      </c>
      <c r="G609" t="s">
        <v>12</v>
      </c>
      <c r="H609" t="s">
        <v>11</v>
      </c>
      <c r="I609" t="s">
        <v>12</v>
      </c>
      <c r="J609" t="s">
        <v>11</v>
      </c>
      <c r="K609" t="s">
        <v>12</v>
      </c>
      <c r="L609" s="12" t="s">
        <v>42</v>
      </c>
      <c r="M609" s="12" t="s">
        <v>65</v>
      </c>
      <c r="N609" s="12" t="s">
        <v>33</v>
      </c>
      <c r="O609" s="12" t="s">
        <v>64</v>
      </c>
      <c r="P609" s="12" t="s">
        <v>45</v>
      </c>
      <c r="Q609" s="7" t="str">
        <f t="shared" si="28"/>
        <v>(1968,43,'1968.10.26',3,13,24,35,43,0),</v>
      </c>
      <c r="R609" s="7" t="str">
        <f t="shared" si="30"/>
        <v>(1968,43,'1968.10.26',3,13,24,35,43),</v>
      </c>
    </row>
    <row r="610" spans="1:18" x14ac:dyDescent="0.25">
      <c r="A610" s="7" t="s">
        <v>1976</v>
      </c>
      <c r="B610" s="8" t="s">
        <v>142</v>
      </c>
      <c r="C610" s="10">
        <f t="shared" si="29"/>
        <v>25144</v>
      </c>
      <c r="D610" t="s">
        <v>11</v>
      </c>
      <c r="E610" t="s">
        <v>12</v>
      </c>
      <c r="F610" t="s">
        <v>11</v>
      </c>
      <c r="G610" t="s">
        <v>12</v>
      </c>
      <c r="H610" t="s">
        <v>11</v>
      </c>
      <c r="I610" t="s">
        <v>12</v>
      </c>
      <c r="J610" t="s">
        <v>11</v>
      </c>
      <c r="K610" t="s">
        <v>12</v>
      </c>
      <c r="L610" s="12" t="s">
        <v>270</v>
      </c>
      <c r="M610" s="12" t="s">
        <v>31</v>
      </c>
      <c r="N610" s="12" t="s">
        <v>20</v>
      </c>
      <c r="O610" s="12" t="s">
        <v>92</v>
      </c>
      <c r="P610" s="12" t="s">
        <v>47</v>
      </c>
      <c r="Q610" s="7" t="str">
        <f t="shared" si="28"/>
        <v>(1968,44,'1968.11.02',6,12,33,68,69,0),</v>
      </c>
      <c r="R610" s="7" t="str">
        <f t="shared" si="30"/>
        <v>(1968,44,'1968.11.02',6,12,33,68,69),</v>
      </c>
    </row>
    <row r="611" spans="1:18" x14ac:dyDescent="0.25">
      <c r="A611" s="7" t="s">
        <v>1976</v>
      </c>
      <c r="B611" s="8" t="s">
        <v>133</v>
      </c>
      <c r="C611" s="10">
        <f t="shared" si="29"/>
        <v>25151</v>
      </c>
      <c r="D611" t="s">
        <v>11</v>
      </c>
      <c r="E611" t="s">
        <v>12</v>
      </c>
      <c r="F611" t="s">
        <v>11</v>
      </c>
      <c r="G611" t="s">
        <v>12</v>
      </c>
      <c r="H611" t="s">
        <v>11</v>
      </c>
      <c r="I611" t="s">
        <v>12</v>
      </c>
      <c r="J611" t="s">
        <v>11</v>
      </c>
      <c r="K611" t="s">
        <v>12</v>
      </c>
      <c r="L611" s="12" t="s">
        <v>62</v>
      </c>
      <c r="M611" s="12" t="s">
        <v>54</v>
      </c>
      <c r="N611" s="12" t="s">
        <v>33</v>
      </c>
      <c r="O611" s="12" t="s">
        <v>45</v>
      </c>
      <c r="P611" s="12" t="s">
        <v>35</v>
      </c>
      <c r="Q611" s="7" t="str">
        <f t="shared" si="28"/>
        <v>(1968,45,'1968.11.09',10,15,24,43,65,0),</v>
      </c>
      <c r="R611" s="7" t="str">
        <f t="shared" si="30"/>
        <v>(1968,45,'1968.11.09',10,15,24,43,65),</v>
      </c>
    </row>
    <row r="612" spans="1:18" x14ac:dyDescent="0.25">
      <c r="A612" s="7" t="s">
        <v>1976</v>
      </c>
      <c r="B612" s="8" t="s">
        <v>192</v>
      </c>
      <c r="C612" s="10">
        <f t="shared" si="29"/>
        <v>25158</v>
      </c>
      <c r="D612" t="s">
        <v>11</v>
      </c>
      <c r="E612" t="s">
        <v>12</v>
      </c>
      <c r="F612" t="s">
        <v>11</v>
      </c>
      <c r="G612" t="s">
        <v>12</v>
      </c>
      <c r="H612" t="s">
        <v>11</v>
      </c>
      <c r="I612" t="s">
        <v>12</v>
      </c>
      <c r="J612" t="s">
        <v>11</v>
      </c>
      <c r="K612" t="s">
        <v>12</v>
      </c>
      <c r="L612" s="12" t="s">
        <v>126</v>
      </c>
      <c r="M612" s="12" t="s">
        <v>22</v>
      </c>
      <c r="N612" s="12" t="s">
        <v>92</v>
      </c>
      <c r="O612" s="12" t="s">
        <v>301</v>
      </c>
      <c r="P612" s="12" t="s">
        <v>208</v>
      </c>
      <c r="Q612" s="7" t="str">
        <f t="shared" si="28"/>
        <v>(1968,46,'1968.11.16',28,48,68,80,88,0),</v>
      </c>
      <c r="R612" s="7" t="str">
        <f t="shared" si="30"/>
        <v>(1968,46,'1968.11.16',28,48,68,80,88),</v>
      </c>
    </row>
    <row r="613" spans="1:18" x14ac:dyDescent="0.25">
      <c r="A613" s="7" t="s">
        <v>1976</v>
      </c>
      <c r="B613" s="8" t="s">
        <v>81</v>
      </c>
      <c r="C613" s="10">
        <f t="shared" si="29"/>
        <v>25165</v>
      </c>
      <c r="D613" t="s">
        <v>11</v>
      </c>
      <c r="E613" t="s">
        <v>12</v>
      </c>
      <c r="F613" t="s">
        <v>11</v>
      </c>
      <c r="G613" t="s">
        <v>12</v>
      </c>
      <c r="H613" t="s">
        <v>11</v>
      </c>
      <c r="I613" t="s">
        <v>12</v>
      </c>
      <c r="J613" t="s">
        <v>11</v>
      </c>
      <c r="K613" t="s">
        <v>12</v>
      </c>
      <c r="L613" s="12" t="s">
        <v>31</v>
      </c>
      <c r="M613" s="12" t="s">
        <v>19</v>
      </c>
      <c r="N613" s="12" t="s">
        <v>22</v>
      </c>
      <c r="O613" s="12" t="s">
        <v>56</v>
      </c>
      <c r="P613" s="12" t="s">
        <v>143</v>
      </c>
      <c r="Q613" s="7" t="str">
        <f t="shared" si="28"/>
        <v>(1968,47,'1968.11.23',12,18,48,71,77,0),</v>
      </c>
      <c r="R613" s="7" t="str">
        <f t="shared" si="30"/>
        <v>(1968,47,'1968.11.23',12,18,48,71,77),</v>
      </c>
    </row>
    <row r="614" spans="1:18" x14ac:dyDescent="0.25">
      <c r="A614" s="7" t="s">
        <v>1976</v>
      </c>
      <c r="B614" s="8" t="s">
        <v>22</v>
      </c>
      <c r="C614" s="10">
        <f t="shared" si="29"/>
        <v>25172</v>
      </c>
      <c r="D614" t="s">
        <v>11</v>
      </c>
      <c r="E614" t="s">
        <v>12</v>
      </c>
      <c r="F614" t="s">
        <v>11</v>
      </c>
      <c r="G614" t="s">
        <v>12</v>
      </c>
      <c r="H614" t="s">
        <v>11</v>
      </c>
      <c r="I614" t="s">
        <v>12</v>
      </c>
      <c r="J614" t="s">
        <v>11</v>
      </c>
      <c r="K614" t="s">
        <v>12</v>
      </c>
      <c r="L614" s="12" t="s">
        <v>207</v>
      </c>
      <c r="M614" s="12" t="s">
        <v>192</v>
      </c>
      <c r="N614" s="12" t="s">
        <v>169</v>
      </c>
      <c r="O614" s="12" t="s">
        <v>92</v>
      </c>
      <c r="P614" s="12" t="s">
        <v>63</v>
      </c>
      <c r="Q614" s="7" t="str">
        <f t="shared" si="28"/>
        <v>(1968,48,'1968.11.30',2,46,58,68,78,0),</v>
      </c>
      <c r="R614" s="7" t="str">
        <f t="shared" si="30"/>
        <v>(1968,48,'1968.11.30',2,46,58,68,78),</v>
      </c>
    </row>
    <row r="615" spans="1:18" x14ac:dyDescent="0.25">
      <c r="A615" s="7" t="s">
        <v>1976</v>
      </c>
      <c r="B615" s="8" t="s">
        <v>34</v>
      </c>
      <c r="C615" s="10">
        <f t="shared" si="29"/>
        <v>25179</v>
      </c>
      <c r="D615" t="s">
        <v>11</v>
      </c>
      <c r="E615" t="s">
        <v>12</v>
      </c>
      <c r="F615" t="s">
        <v>11</v>
      </c>
      <c r="G615" t="s">
        <v>12</v>
      </c>
      <c r="H615" t="s">
        <v>11</v>
      </c>
      <c r="I615" t="s">
        <v>12</v>
      </c>
      <c r="J615" t="s">
        <v>11</v>
      </c>
      <c r="K615" t="s">
        <v>12</v>
      </c>
      <c r="L615" s="12" t="s">
        <v>116</v>
      </c>
      <c r="M615" s="12" t="s">
        <v>80</v>
      </c>
      <c r="N615" s="12" t="s">
        <v>106</v>
      </c>
      <c r="O615" s="12" t="s">
        <v>143</v>
      </c>
      <c r="P615" s="12" t="s">
        <v>125</v>
      </c>
      <c r="Q615" s="7" t="str">
        <f t="shared" si="28"/>
        <v>(1968,49,'1968.12.07',29,32,75,77,83,0),</v>
      </c>
      <c r="R615" s="7" t="str">
        <f t="shared" si="30"/>
        <v>(1968,49,'1968.12.07',29,32,75,77,83),</v>
      </c>
    </row>
    <row r="616" spans="1:18" x14ac:dyDescent="0.25">
      <c r="A616" s="7" t="s">
        <v>1976</v>
      </c>
      <c r="B616" s="8" t="s">
        <v>105</v>
      </c>
      <c r="C616" s="10">
        <f t="shared" si="29"/>
        <v>25186</v>
      </c>
      <c r="D616" t="s">
        <v>11</v>
      </c>
      <c r="E616" t="s">
        <v>12</v>
      </c>
      <c r="F616" t="s">
        <v>11</v>
      </c>
      <c r="G616" t="s">
        <v>12</v>
      </c>
      <c r="H616" t="s">
        <v>11</v>
      </c>
      <c r="I616" t="s">
        <v>12</v>
      </c>
      <c r="J616" t="s">
        <v>11</v>
      </c>
      <c r="K616" t="s">
        <v>12</v>
      </c>
      <c r="L616" s="12" t="s">
        <v>46</v>
      </c>
      <c r="M616" s="12" t="s">
        <v>13</v>
      </c>
      <c r="N616" s="12" t="s">
        <v>169</v>
      </c>
      <c r="O616" s="12" t="s">
        <v>23</v>
      </c>
      <c r="P616" s="12" t="s">
        <v>47</v>
      </c>
      <c r="Q616" s="7" t="str">
        <f t="shared" si="28"/>
        <v>(1968,50,'1968.12.14',37,41,58,60,69,0),</v>
      </c>
      <c r="R616" s="7" t="str">
        <f t="shared" si="30"/>
        <v>(1968,50,'1968.12.14',37,41,58,60,69),</v>
      </c>
    </row>
    <row r="617" spans="1:18" x14ac:dyDescent="0.25">
      <c r="A617" s="7" t="s">
        <v>1976</v>
      </c>
      <c r="B617" s="8" t="s">
        <v>122</v>
      </c>
      <c r="C617" s="10">
        <f t="shared" si="29"/>
        <v>25193</v>
      </c>
      <c r="D617" t="s">
        <v>11</v>
      </c>
      <c r="E617" t="s">
        <v>12</v>
      </c>
      <c r="F617" t="s">
        <v>11</v>
      </c>
      <c r="G617" t="s">
        <v>12</v>
      </c>
      <c r="H617" t="s">
        <v>11</v>
      </c>
      <c r="I617" t="s">
        <v>12</v>
      </c>
      <c r="J617" t="s">
        <v>11</v>
      </c>
      <c r="K617" t="s">
        <v>12</v>
      </c>
      <c r="L617" s="12" t="s">
        <v>127</v>
      </c>
      <c r="M617" s="12" t="s">
        <v>115</v>
      </c>
      <c r="N617" s="12" t="s">
        <v>98</v>
      </c>
      <c r="O617" s="12" t="s">
        <v>45</v>
      </c>
      <c r="P617" s="12" t="s">
        <v>186</v>
      </c>
      <c r="Q617" s="7" t="str">
        <f t="shared" si="28"/>
        <v>(1968,51,'1968.12.21',14,20,42,43,90,0),</v>
      </c>
      <c r="R617" s="7" t="str">
        <f t="shared" si="30"/>
        <v>(1968,51,'1968.12.21',14,20,42,43,90),</v>
      </c>
    </row>
    <row r="618" spans="1:18" x14ac:dyDescent="0.25">
      <c r="A618" s="7" t="s">
        <v>1976</v>
      </c>
      <c r="B618" s="8" t="s">
        <v>99</v>
      </c>
      <c r="C618" s="10">
        <f t="shared" si="29"/>
        <v>25200</v>
      </c>
      <c r="D618" t="s">
        <v>11</v>
      </c>
      <c r="E618" t="s">
        <v>12</v>
      </c>
      <c r="F618" t="s">
        <v>11</v>
      </c>
      <c r="G618" t="s">
        <v>12</v>
      </c>
      <c r="H618" t="s">
        <v>11</v>
      </c>
      <c r="I618" t="s">
        <v>12</v>
      </c>
      <c r="J618" t="s">
        <v>11</v>
      </c>
      <c r="K618" t="s">
        <v>12</v>
      </c>
      <c r="L618" s="12" t="s">
        <v>62</v>
      </c>
      <c r="M618" s="12" t="s">
        <v>47</v>
      </c>
      <c r="N618" s="12" t="s">
        <v>200</v>
      </c>
      <c r="O618" s="12" t="s">
        <v>73</v>
      </c>
      <c r="P618" s="12" t="s">
        <v>269</v>
      </c>
      <c r="Q618" s="7" t="str">
        <f t="shared" si="28"/>
        <v>(1968,52,'1968.12.28',10,69,70,76,87,0),</v>
      </c>
      <c r="R618" s="7" t="str">
        <f t="shared" si="30"/>
        <v>(1968,52,'1968.12.28',10,69,70,76,87),</v>
      </c>
    </row>
    <row r="619" spans="1:18" x14ac:dyDescent="0.25">
      <c r="A619" s="7" t="s">
        <v>5864</v>
      </c>
      <c r="B619" s="8" t="s">
        <v>108</v>
      </c>
      <c r="C619" s="10">
        <f t="shared" si="29"/>
        <v>25207</v>
      </c>
      <c r="D619" t="s">
        <v>11</v>
      </c>
      <c r="E619" t="s">
        <v>12</v>
      </c>
      <c r="F619" t="s">
        <v>11</v>
      </c>
      <c r="G619" t="s">
        <v>12</v>
      </c>
      <c r="H619" t="s">
        <v>11</v>
      </c>
      <c r="I619" t="s">
        <v>12</v>
      </c>
      <c r="J619" t="s">
        <v>11</v>
      </c>
      <c r="K619" t="s">
        <v>12</v>
      </c>
      <c r="L619" s="12" t="s">
        <v>198</v>
      </c>
      <c r="M619" s="12" t="s">
        <v>105</v>
      </c>
      <c r="N619" s="12" t="s">
        <v>72</v>
      </c>
      <c r="O619" s="12" t="s">
        <v>106</v>
      </c>
      <c r="P619" s="12" t="s">
        <v>63</v>
      </c>
      <c r="Q619" s="7" t="str">
        <f t="shared" si="28"/>
        <v>(1969,1,'1969.01.04',9,50,67,75,78,0),</v>
      </c>
      <c r="R619" s="7" t="str">
        <f t="shared" si="30"/>
        <v>(1969,1,'1969.01.04',9,50,67,75,78),</v>
      </c>
    </row>
    <row r="620" spans="1:18" x14ac:dyDescent="0.25">
      <c r="A620" s="7" t="s">
        <v>5864</v>
      </c>
      <c r="B620" s="8" t="s">
        <v>207</v>
      </c>
      <c r="C620" s="10">
        <f t="shared" si="29"/>
        <v>25214</v>
      </c>
      <c r="D620" t="s">
        <v>11</v>
      </c>
      <c r="E620" t="s">
        <v>12</v>
      </c>
      <c r="F620" t="s">
        <v>11</v>
      </c>
      <c r="G620" t="s">
        <v>12</v>
      </c>
      <c r="H620" t="s">
        <v>11</v>
      </c>
      <c r="I620" t="s">
        <v>12</v>
      </c>
      <c r="J620" t="s">
        <v>11</v>
      </c>
      <c r="K620" t="s">
        <v>12</v>
      </c>
      <c r="L620" s="12" t="s">
        <v>207</v>
      </c>
      <c r="M620" s="12" t="s">
        <v>32</v>
      </c>
      <c r="N620" s="12" t="s">
        <v>20</v>
      </c>
      <c r="O620" s="12" t="s">
        <v>46</v>
      </c>
      <c r="P620" s="12" t="s">
        <v>10</v>
      </c>
      <c r="Q620" s="7" t="str">
        <f t="shared" si="28"/>
        <v>(1969,2,'1969.01.11',2,22,33,37,40,0),</v>
      </c>
      <c r="R620" s="7" t="str">
        <f t="shared" si="30"/>
        <v>(1969,2,'1969.01.11',2,22,33,37,40),</v>
      </c>
    </row>
    <row r="621" spans="1:18" x14ac:dyDescent="0.25">
      <c r="A621" s="7" t="s">
        <v>5864</v>
      </c>
      <c r="B621" s="8" t="s">
        <v>42</v>
      </c>
      <c r="C621" s="10">
        <f t="shared" si="29"/>
        <v>25221</v>
      </c>
      <c r="D621" t="s">
        <v>11</v>
      </c>
      <c r="E621" t="s">
        <v>12</v>
      </c>
      <c r="F621" t="s">
        <v>11</v>
      </c>
      <c r="G621" t="s">
        <v>12</v>
      </c>
      <c r="H621" t="s">
        <v>11</v>
      </c>
      <c r="I621" t="s">
        <v>12</v>
      </c>
      <c r="J621" t="s">
        <v>11</v>
      </c>
      <c r="K621" t="s">
        <v>12</v>
      </c>
      <c r="L621" s="12" t="s">
        <v>207</v>
      </c>
      <c r="M621" s="12" t="s">
        <v>42</v>
      </c>
      <c r="N621" s="12" t="s">
        <v>124</v>
      </c>
      <c r="O621" s="12" t="s">
        <v>248</v>
      </c>
      <c r="P621" s="12" t="s">
        <v>233</v>
      </c>
      <c r="Q621" s="7" t="str">
        <f t="shared" si="28"/>
        <v>(1969,3,'1969.01.18',2,3,62,63,66,0),</v>
      </c>
      <c r="R621" s="7" t="str">
        <f t="shared" si="30"/>
        <v>(1969,3,'1969.01.18',2,3,62,63,66),</v>
      </c>
    </row>
    <row r="622" spans="1:18" x14ac:dyDescent="0.25">
      <c r="A622" s="7" t="s">
        <v>5864</v>
      </c>
      <c r="B622" s="8" t="s">
        <v>168</v>
      </c>
      <c r="C622" s="10">
        <f t="shared" si="29"/>
        <v>25228</v>
      </c>
      <c r="D622" t="s">
        <v>11</v>
      </c>
      <c r="E622" t="s">
        <v>12</v>
      </c>
      <c r="F622" t="s">
        <v>11</v>
      </c>
      <c r="G622" t="s">
        <v>12</v>
      </c>
      <c r="H622" t="s">
        <v>11</v>
      </c>
      <c r="I622" t="s">
        <v>12</v>
      </c>
      <c r="J622" t="s">
        <v>11</v>
      </c>
      <c r="K622" t="s">
        <v>12</v>
      </c>
      <c r="L622" s="12" t="s">
        <v>115</v>
      </c>
      <c r="M622" s="12" t="s">
        <v>91</v>
      </c>
      <c r="N622" s="12" t="s">
        <v>143</v>
      </c>
      <c r="O622" s="12" t="s">
        <v>125</v>
      </c>
      <c r="P622" s="12" t="s">
        <v>308</v>
      </c>
      <c r="Q622" s="7" t="str">
        <f t="shared" si="28"/>
        <v>(1969,4,'1969.01.25',20,61,77,83,86,0),</v>
      </c>
      <c r="R622" s="7" t="str">
        <f t="shared" si="30"/>
        <v>(1969,4,'1969.01.25',20,61,77,83,86),</v>
      </c>
    </row>
    <row r="623" spans="1:18" x14ac:dyDescent="0.25">
      <c r="A623" s="7" t="s">
        <v>5864</v>
      </c>
      <c r="B623" s="8" t="s">
        <v>89</v>
      </c>
      <c r="C623" s="10">
        <f t="shared" si="29"/>
        <v>25235</v>
      </c>
      <c r="D623" t="s">
        <v>11</v>
      </c>
      <c r="E623" t="s">
        <v>12</v>
      </c>
      <c r="F623" t="s">
        <v>11</v>
      </c>
      <c r="G623" t="s">
        <v>12</v>
      </c>
      <c r="H623" t="s">
        <v>11</v>
      </c>
      <c r="I623" t="s">
        <v>12</v>
      </c>
      <c r="J623" t="s">
        <v>11</v>
      </c>
      <c r="K623" t="s">
        <v>12</v>
      </c>
      <c r="L623" s="12" t="s">
        <v>126</v>
      </c>
      <c r="M623" s="12" t="s">
        <v>22</v>
      </c>
      <c r="N623" s="12" t="s">
        <v>248</v>
      </c>
      <c r="O623" s="12" t="s">
        <v>201</v>
      </c>
      <c r="P623" s="12" t="s">
        <v>245</v>
      </c>
      <c r="Q623" s="7" t="str">
        <f t="shared" si="28"/>
        <v>(1969,5,'1969.02.01',28,48,63,72,74,0),</v>
      </c>
      <c r="R623" s="7" t="str">
        <f t="shared" si="30"/>
        <v>(1969,5,'1969.02.01',28,48,63,72,74),</v>
      </c>
    </row>
    <row r="624" spans="1:18" x14ac:dyDescent="0.25">
      <c r="A624" s="7" t="s">
        <v>5864</v>
      </c>
      <c r="B624" s="8" t="s">
        <v>270</v>
      </c>
      <c r="C624" s="10">
        <f t="shared" si="29"/>
        <v>25242</v>
      </c>
      <c r="D624" t="s">
        <v>11</v>
      </c>
      <c r="E624" t="s">
        <v>12</v>
      </c>
      <c r="F624" t="s">
        <v>11</v>
      </c>
      <c r="G624" t="s">
        <v>12</v>
      </c>
      <c r="H624" t="s">
        <v>11</v>
      </c>
      <c r="I624" t="s">
        <v>12</v>
      </c>
      <c r="J624" t="s">
        <v>11</v>
      </c>
      <c r="K624" t="s">
        <v>12</v>
      </c>
      <c r="L624" s="12" t="s">
        <v>207</v>
      </c>
      <c r="M624" s="12" t="s">
        <v>98</v>
      </c>
      <c r="N624" s="12" t="s">
        <v>200</v>
      </c>
      <c r="O624" s="12" t="s">
        <v>56</v>
      </c>
      <c r="P624" s="12" t="s">
        <v>622</v>
      </c>
      <c r="Q624" s="7" t="str">
        <f t="shared" si="28"/>
        <v>(1969,6,'1969.02.08',2,42,70,71,82,0),</v>
      </c>
      <c r="R624" s="7" t="str">
        <f t="shared" si="30"/>
        <v>(1969,6,'1969.02.08',2,42,70,71,82),</v>
      </c>
    </row>
    <row r="625" spans="1:18" x14ac:dyDescent="0.25">
      <c r="A625" s="7" t="s">
        <v>5864</v>
      </c>
      <c r="B625" s="8" t="s">
        <v>53</v>
      </c>
      <c r="C625" s="10">
        <f t="shared" si="29"/>
        <v>25249</v>
      </c>
      <c r="D625" t="s">
        <v>11</v>
      </c>
      <c r="E625" t="s">
        <v>12</v>
      </c>
      <c r="F625" t="s">
        <v>11</v>
      </c>
      <c r="G625" t="s">
        <v>12</v>
      </c>
      <c r="H625" t="s">
        <v>11</v>
      </c>
      <c r="I625" t="s">
        <v>12</v>
      </c>
      <c r="J625" t="s">
        <v>11</v>
      </c>
      <c r="K625" t="s">
        <v>12</v>
      </c>
      <c r="L625" s="12" t="s">
        <v>71</v>
      </c>
      <c r="M625" s="12" t="s">
        <v>46</v>
      </c>
      <c r="N625" s="12" t="s">
        <v>10</v>
      </c>
      <c r="O625" s="12" t="s">
        <v>81</v>
      </c>
      <c r="P625" s="12" t="s">
        <v>56</v>
      </c>
      <c r="Q625" s="7" t="str">
        <f t="shared" si="28"/>
        <v>(1969,7,'1969.02.15',31,37,40,47,71,0),</v>
      </c>
      <c r="R625" s="7" t="str">
        <f t="shared" si="30"/>
        <v>(1969,7,'1969.02.15',31,37,40,47,71),</v>
      </c>
    </row>
    <row r="626" spans="1:18" x14ac:dyDescent="0.25">
      <c r="A626" s="7" t="s">
        <v>5864</v>
      </c>
      <c r="B626" s="8" t="s">
        <v>232</v>
      </c>
      <c r="C626" s="10">
        <f t="shared" si="29"/>
        <v>25256</v>
      </c>
      <c r="D626" t="s">
        <v>11</v>
      </c>
      <c r="E626" t="s">
        <v>12</v>
      </c>
      <c r="F626" t="s">
        <v>11</v>
      </c>
      <c r="G626" t="s">
        <v>12</v>
      </c>
      <c r="H626" t="s">
        <v>11</v>
      </c>
      <c r="I626" t="s">
        <v>12</v>
      </c>
      <c r="J626" t="s">
        <v>11</v>
      </c>
      <c r="K626" t="s">
        <v>12</v>
      </c>
      <c r="L626" s="12" t="s">
        <v>53</v>
      </c>
      <c r="M626" s="12" t="s">
        <v>127</v>
      </c>
      <c r="N626" s="12" t="s">
        <v>47</v>
      </c>
      <c r="O626" s="12" t="s">
        <v>308</v>
      </c>
      <c r="P626" s="12" t="s">
        <v>186</v>
      </c>
      <c r="Q626" s="7" t="str">
        <f t="shared" si="28"/>
        <v>(1969,8,'1969.02.22',7,14,69,86,90,0),</v>
      </c>
      <c r="R626" s="7" t="str">
        <f t="shared" si="30"/>
        <v>(1969,8,'1969.02.22',7,14,69,86,90),</v>
      </c>
    </row>
    <row r="627" spans="1:18" x14ac:dyDescent="0.25">
      <c r="A627" s="7" t="s">
        <v>5864</v>
      </c>
      <c r="B627" s="8" t="s">
        <v>198</v>
      </c>
      <c r="C627" s="10">
        <f t="shared" si="29"/>
        <v>25263</v>
      </c>
      <c r="D627" t="s">
        <v>11</v>
      </c>
      <c r="E627" t="s">
        <v>12</v>
      </c>
      <c r="F627" t="s">
        <v>11</v>
      </c>
      <c r="G627" t="s">
        <v>12</v>
      </c>
      <c r="H627" t="s">
        <v>11</v>
      </c>
      <c r="I627" t="s">
        <v>12</v>
      </c>
      <c r="J627" t="s">
        <v>11</v>
      </c>
      <c r="K627" t="s">
        <v>12</v>
      </c>
      <c r="L627" s="12" t="s">
        <v>207</v>
      </c>
      <c r="M627" s="12" t="s">
        <v>25</v>
      </c>
      <c r="N627" s="12" t="s">
        <v>21</v>
      </c>
      <c r="O627" s="12" t="s">
        <v>105</v>
      </c>
      <c r="P627" s="12" t="s">
        <v>35</v>
      </c>
      <c r="Q627" s="7" t="str">
        <f t="shared" si="28"/>
        <v>(1969,9,'1969.03.01',2,34,36,50,65,0),</v>
      </c>
      <c r="R627" s="7" t="str">
        <f t="shared" si="30"/>
        <v>(1969,9,'1969.03.01',2,34,36,50,65),</v>
      </c>
    </row>
    <row r="628" spans="1:18" x14ac:dyDescent="0.25">
      <c r="A628" s="7" t="s">
        <v>5864</v>
      </c>
      <c r="B628" s="8" t="s">
        <v>62</v>
      </c>
      <c r="C628" s="10">
        <f t="shared" si="29"/>
        <v>25270</v>
      </c>
      <c r="D628" t="s">
        <v>11</v>
      </c>
      <c r="E628" t="s">
        <v>12</v>
      </c>
      <c r="F628" t="s">
        <v>11</v>
      </c>
      <c r="G628" t="s">
        <v>12</v>
      </c>
      <c r="H628" t="s">
        <v>11</v>
      </c>
      <c r="I628" t="s">
        <v>12</v>
      </c>
      <c r="J628" t="s">
        <v>11</v>
      </c>
      <c r="K628" t="s">
        <v>12</v>
      </c>
      <c r="L628" s="12" t="s">
        <v>24</v>
      </c>
      <c r="M628" s="12" t="s">
        <v>10</v>
      </c>
      <c r="N628" s="12" t="s">
        <v>22</v>
      </c>
      <c r="O628" s="12" t="s">
        <v>245</v>
      </c>
      <c r="P628" s="12" t="s">
        <v>468</v>
      </c>
      <c r="Q628" s="7" t="str">
        <f t="shared" si="28"/>
        <v>(1969,10,'1969.03.08',39,40,48,74,85,0),</v>
      </c>
      <c r="R628" s="7" t="str">
        <f t="shared" si="30"/>
        <v>(1969,10,'1969.03.08',39,40,48,74,85),</v>
      </c>
    </row>
    <row r="629" spans="1:18" x14ac:dyDescent="0.25">
      <c r="A629" s="7" t="s">
        <v>5864</v>
      </c>
      <c r="B629" s="8" t="s">
        <v>83</v>
      </c>
      <c r="C629" s="10">
        <f t="shared" si="29"/>
        <v>25277</v>
      </c>
      <c r="D629" t="s">
        <v>11</v>
      </c>
      <c r="E629" t="s">
        <v>12</v>
      </c>
      <c r="F629" t="s">
        <v>11</v>
      </c>
      <c r="G629" t="s">
        <v>12</v>
      </c>
      <c r="H629" t="s">
        <v>11</v>
      </c>
      <c r="I629" t="s">
        <v>12</v>
      </c>
      <c r="J629" t="s">
        <v>11</v>
      </c>
      <c r="K629" t="s">
        <v>12</v>
      </c>
      <c r="L629" s="12" t="s">
        <v>163</v>
      </c>
      <c r="M629" s="12" t="s">
        <v>20</v>
      </c>
      <c r="N629" s="12" t="s">
        <v>150</v>
      </c>
      <c r="O629" s="12" t="s">
        <v>239</v>
      </c>
      <c r="P629" s="12" t="s">
        <v>622</v>
      </c>
      <c r="Q629" s="7" t="str">
        <f t="shared" si="28"/>
        <v>(1969,11,'1969.03.15',23,33,57,73,82,0),</v>
      </c>
      <c r="R629" s="7" t="str">
        <f t="shared" si="30"/>
        <v>(1969,11,'1969.03.15',23,33,57,73,82),</v>
      </c>
    </row>
    <row r="630" spans="1:18" x14ac:dyDescent="0.25">
      <c r="A630" s="7" t="s">
        <v>5864</v>
      </c>
      <c r="B630" s="8" t="s">
        <v>31</v>
      </c>
      <c r="C630" s="10">
        <f t="shared" si="29"/>
        <v>25284</v>
      </c>
      <c r="D630" t="s">
        <v>11</v>
      </c>
      <c r="E630" t="s">
        <v>12</v>
      </c>
      <c r="F630" t="s">
        <v>11</v>
      </c>
      <c r="G630" t="s">
        <v>12</v>
      </c>
      <c r="H630" t="s">
        <v>11</v>
      </c>
      <c r="I630" t="s">
        <v>12</v>
      </c>
      <c r="J630" t="s">
        <v>11</v>
      </c>
      <c r="K630" t="s">
        <v>12</v>
      </c>
      <c r="L630" s="12" t="s">
        <v>20</v>
      </c>
      <c r="M630" s="12" t="s">
        <v>98</v>
      </c>
      <c r="N630" s="12" t="s">
        <v>22</v>
      </c>
      <c r="O630" s="12" t="s">
        <v>214</v>
      </c>
      <c r="P630" s="12" t="s">
        <v>151</v>
      </c>
      <c r="Q630" s="7" t="str">
        <f t="shared" si="28"/>
        <v>(1969,12,'1969.03.22',33,42,48,64,79,0),</v>
      </c>
      <c r="R630" s="7" t="str">
        <f t="shared" si="30"/>
        <v>(1969,12,'1969.03.22',33,42,48,64,79),</v>
      </c>
    </row>
    <row r="631" spans="1:18" x14ac:dyDescent="0.25">
      <c r="A631" s="7" t="s">
        <v>5864</v>
      </c>
      <c r="B631" s="8" t="s">
        <v>65</v>
      </c>
      <c r="C631" s="10">
        <f t="shared" si="29"/>
        <v>25291</v>
      </c>
      <c r="D631" t="s">
        <v>11</v>
      </c>
      <c r="E631" t="s">
        <v>12</v>
      </c>
      <c r="F631" t="s">
        <v>11</v>
      </c>
      <c r="G631" t="s">
        <v>12</v>
      </c>
      <c r="H631" t="s">
        <v>11</v>
      </c>
      <c r="I631" t="s">
        <v>12</v>
      </c>
      <c r="J631" t="s">
        <v>11</v>
      </c>
      <c r="K631" t="s">
        <v>12</v>
      </c>
      <c r="L631" s="12" t="s">
        <v>89</v>
      </c>
      <c r="M631" s="12" t="s">
        <v>192</v>
      </c>
      <c r="N631" s="12" t="s">
        <v>91</v>
      </c>
      <c r="O631" s="12" t="s">
        <v>468</v>
      </c>
      <c r="P631" s="12" t="s">
        <v>186</v>
      </c>
      <c r="Q631" s="7" t="str">
        <f t="shared" si="28"/>
        <v>(1969,13,'1969.03.29',5,46,61,85,90,0),</v>
      </c>
      <c r="R631" s="7" t="str">
        <f t="shared" si="30"/>
        <v>(1969,13,'1969.03.29',5,46,61,85,90),</v>
      </c>
    </row>
    <row r="632" spans="1:18" x14ac:dyDescent="0.25">
      <c r="A632" s="7" t="s">
        <v>5864</v>
      </c>
      <c r="B632" s="8" t="s">
        <v>127</v>
      </c>
      <c r="C632" s="10">
        <f t="shared" si="29"/>
        <v>25298</v>
      </c>
      <c r="D632" t="s">
        <v>11</v>
      </c>
      <c r="E632" t="s">
        <v>12</v>
      </c>
      <c r="F632" t="s">
        <v>11</v>
      </c>
      <c r="G632" t="s">
        <v>12</v>
      </c>
      <c r="H632" t="s">
        <v>11</v>
      </c>
      <c r="I632" t="s">
        <v>12</v>
      </c>
      <c r="J632" t="s">
        <v>11</v>
      </c>
      <c r="K632" t="s">
        <v>12</v>
      </c>
      <c r="L632" s="12" t="s">
        <v>126</v>
      </c>
      <c r="M632" s="12" t="s">
        <v>24</v>
      </c>
      <c r="N632" s="12" t="s">
        <v>13</v>
      </c>
      <c r="O632" s="12" t="s">
        <v>169</v>
      </c>
      <c r="P632" s="12" t="s">
        <v>35</v>
      </c>
      <c r="Q632" s="7" t="str">
        <f t="shared" si="28"/>
        <v>(1969,14,'1969.04.05',28,39,41,58,65,0),</v>
      </c>
      <c r="R632" s="7" t="str">
        <f t="shared" si="30"/>
        <v>(1969,14,'1969.04.05',28,39,41,58,65),</v>
      </c>
    </row>
    <row r="633" spans="1:18" x14ac:dyDescent="0.25">
      <c r="A633" s="7" t="s">
        <v>5864</v>
      </c>
      <c r="B633" s="8" t="s">
        <v>54</v>
      </c>
      <c r="C633" s="10">
        <f t="shared" si="29"/>
        <v>25305</v>
      </c>
      <c r="D633" t="s">
        <v>11</v>
      </c>
      <c r="E633" t="s">
        <v>12</v>
      </c>
      <c r="F633" t="s">
        <v>11</v>
      </c>
      <c r="G633" t="s">
        <v>12</v>
      </c>
      <c r="H633" t="s">
        <v>11</v>
      </c>
      <c r="I633" t="s">
        <v>12</v>
      </c>
      <c r="J633" t="s">
        <v>11</v>
      </c>
      <c r="K633" t="s">
        <v>12</v>
      </c>
      <c r="L633" s="12" t="s">
        <v>108</v>
      </c>
      <c r="M633" s="12" t="s">
        <v>44</v>
      </c>
      <c r="N633" s="12" t="s">
        <v>73</v>
      </c>
      <c r="O633" s="12" t="s">
        <v>308</v>
      </c>
      <c r="P633" s="12" t="s">
        <v>269</v>
      </c>
      <c r="Q633" s="7" t="str">
        <f t="shared" si="28"/>
        <v>(1969,15,'1969.04.12',1,21,76,86,87,0),</v>
      </c>
      <c r="R633" s="7" t="str">
        <f t="shared" si="30"/>
        <v>(1969,15,'1969.04.12',1,21,76,86,87),</v>
      </c>
    </row>
    <row r="634" spans="1:18" x14ac:dyDescent="0.25">
      <c r="A634" s="7" t="s">
        <v>5864</v>
      </c>
      <c r="B634" s="8" t="s">
        <v>43</v>
      </c>
      <c r="C634" s="10">
        <f t="shared" si="29"/>
        <v>25312</v>
      </c>
      <c r="D634" t="s">
        <v>11</v>
      </c>
      <c r="E634" t="s">
        <v>12</v>
      </c>
      <c r="F634" t="s">
        <v>11</v>
      </c>
      <c r="G634" t="s">
        <v>12</v>
      </c>
      <c r="H634" t="s">
        <v>11</v>
      </c>
      <c r="I634" t="s">
        <v>12</v>
      </c>
      <c r="J634" t="s">
        <v>11</v>
      </c>
      <c r="K634" t="s">
        <v>12</v>
      </c>
      <c r="L634" s="12" t="s">
        <v>33</v>
      </c>
      <c r="M634" s="12" t="s">
        <v>169</v>
      </c>
      <c r="N634" s="12" t="s">
        <v>248</v>
      </c>
      <c r="O634" s="12" t="s">
        <v>73</v>
      </c>
      <c r="P634" s="12" t="s">
        <v>269</v>
      </c>
      <c r="Q634" s="7" t="str">
        <f t="shared" si="28"/>
        <v>(1969,16,'1969.04.19',24,58,63,76,87,0),</v>
      </c>
      <c r="R634" s="7" t="str">
        <f t="shared" si="30"/>
        <v>(1969,16,'1969.04.19',24,58,63,76,87),</v>
      </c>
    </row>
    <row r="635" spans="1:18" x14ac:dyDescent="0.25">
      <c r="A635" s="7" t="s">
        <v>5864</v>
      </c>
      <c r="B635" s="8" t="s">
        <v>90</v>
      </c>
      <c r="C635" s="10">
        <f t="shared" si="29"/>
        <v>25319</v>
      </c>
      <c r="D635" t="s">
        <v>11</v>
      </c>
      <c r="E635" t="s">
        <v>12</v>
      </c>
      <c r="F635" t="s">
        <v>11</v>
      </c>
      <c r="G635" t="s">
        <v>12</v>
      </c>
      <c r="H635" t="s">
        <v>11</v>
      </c>
      <c r="I635" t="s">
        <v>12</v>
      </c>
      <c r="J635" t="s">
        <v>11</v>
      </c>
      <c r="K635" t="s">
        <v>12</v>
      </c>
      <c r="L635" s="12" t="s">
        <v>22</v>
      </c>
      <c r="M635" s="12" t="s">
        <v>122</v>
      </c>
      <c r="N635" s="12" t="s">
        <v>169</v>
      </c>
      <c r="O635" s="12" t="s">
        <v>35</v>
      </c>
      <c r="P635" s="12" t="s">
        <v>47</v>
      </c>
      <c r="Q635" s="7" t="str">
        <f t="shared" si="28"/>
        <v>(1969,17,'1969.04.26',48,51,58,65,69,0),</v>
      </c>
      <c r="R635" s="7" t="str">
        <f t="shared" si="30"/>
        <v>(1969,17,'1969.04.26',48,51,58,65,69),</v>
      </c>
    </row>
    <row r="636" spans="1:18" x14ac:dyDescent="0.25">
      <c r="A636" s="7" t="s">
        <v>5864</v>
      </c>
      <c r="B636" s="8" t="s">
        <v>19</v>
      </c>
      <c r="C636" s="10">
        <f t="shared" si="29"/>
        <v>25326</v>
      </c>
      <c r="D636" t="s">
        <v>11</v>
      </c>
      <c r="E636" t="s">
        <v>12</v>
      </c>
      <c r="F636" t="s">
        <v>11</v>
      </c>
      <c r="G636" t="s">
        <v>12</v>
      </c>
      <c r="H636" t="s">
        <v>11</v>
      </c>
      <c r="I636" t="s">
        <v>12</v>
      </c>
      <c r="J636" t="s">
        <v>11</v>
      </c>
      <c r="K636" t="s">
        <v>12</v>
      </c>
      <c r="L636" s="12" t="s">
        <v>168</v>
      </c>
      <c r="M636" s="12" t="s">
        <v>13</v>
      </c>
      <c r="N636" s="12" t="s">
        <v>105</v>
      </c>
      <c r="O636" s="12" t="s">
        <v>56</v>
      </c>
      <c r="P636" s="12" t="s">
        <v>308</v>
      </c>
      <c r="Q636" s="7" t="str">
        <f t="shared" si="28"/>
        <v>(1969,18,'1969.05.03',4,41,50,71,86,0),</v>
      </c>
      <c r="R636" s="7" t="str">
        <f t="shared" si="30"/>
        <v>(1969,18,'1969.05.03',4,41,50,71,86),</v>
      </c>
    </row>
    <row r="637" spans="1:18" x14ac:dyDescent="0.25">
      <c r="A637" s="7" t="s">
        <v>5864</v>
      </c>
      <c r="B637" s="8" t="s">
        <v>55</v>
      </c>
      <c r="C637" s="10">
        <f t="shared" si="29"/>
        <v>25333</v>
      </c>
      <c r="D637" t="s">
        <v>11</v>
      </c>
      <c r="E637" t="s">
        <v>12</v>
      </c>
      <c r="F637" t="s">
        <v>11</v>
      </c>
      <c r="G637" t="s">
        <v>12</v>
      </c>
      <c r="H637" t="s">
        <v>11</v>
      </c>
      <c r="I637" t="s">
        <v>12</v>
      </c>
      <c r="J637" t="s">
        <v>11</v>
      </c>
      <c r="K637" t="s">
        <v>12</v>
      </c>
      <c r="L637" s="12" t="s">
        <v>107</v>
      </c>
      <c r="M637" s="12" t="s">
        <v>123</v>
      </c>
      <c r="N637" s="12" t="s">
        <v>82</v>
      </c>
      <c r="O637" s="12" t="s">
        <v>246</v>
      </c>
      <c r="P637" s="12" t="s">
        <v>468</v>
      </c>
      <c r="Q637" s="7" t="str">
        <f t="shared" si="28"/>
        <v>(1969,19,'1969.05.10',30,54,59,84,85,0),</v>
      </c>
      <c r="R637" s="7" t="str">
        <f t="shared" si="30"/>
        <v>(1969,19,'1969.05.10',30,54,59,84,85),</v>
      </c>
    </row>
    <row r="638" spans="1:18" x14ac:dyDescent="0.25">
      <c r="A638" s="7" t="s">
        <v>5864</v>
      </c>
      <c r="B638" s="8" t="s">
        <v>115</v>
      </c>
      <c r="C638" s="10">
        <f t="shared" si="29"/>
        <v>25340</v>
      </c>
      <c r="D638" t="s">
        <v>11</v>
      </c>
      <c r="E638" t="s">
        <v>12</v>
      </c>
      <c r="F638" t="s">
        <v>11</v>
      </c>
      <c r="G638" t="s">
        <v>12</v>
      </c>
      <c r="H638" t="s">
        <v>11</v>
      </c>
      <c r="I638" t="s">
        <v>12</v>
      </c>
      <c r="J638" t="s">
        <v>11</v>
      </c>
      <c r="K638" t="s">
        <v>12</v>
      </c>
      <c r="L638" s="12" t="s">
        <v>270</v>
      </c>
      <c r="M638" s="12" t="s">
        <v>44</v>
      </c>
      <c r="N638" s="12" t="s">
        <v>152</v>
      </c>
      <c r="O638" s="12" t="s">
        <v>23</v>
      </c>
      <c r="P638" s="12" t="s">
        <v>35</v>
      </c>
      <c r="Q638" s="7" t="str">
        <f t="shared" si="28"/>
        <v>(1969,20,'1969.05.17',6,21,25,60,65,0),</v>
      </c>
      <c r="R638" s="7" t="str">
        <f t="shared" si="30"/>
        <v>(1969,20,'1969.05.17',6,21,25,60,65),</v>
      </c>
    </row>
    <row r="639" spans="1:18" x14ac:dyDescent="0.25">
      <c r="A639" s="7" t="s">
        <v>5864</v>
      </c>
      <c r="B639" s="8" t="s">
        <v>44</v>
      </c>
      <c r="C639" s="10">
        <f t="shared" si="29"/>
        <v>25347</v>
      </c>
      <c r="D639" t="s">
        <v>11</v>
      </c>
      <c r="E639" t="s">
        <v>12</v>
      </c>
      <c r="F639" t="s">
        <v>11</v>
      </c>
      <c r="G639" t="s">
        <v>12</v>
      </c>
      <c r="H639" t="s">
        <v>11</v>
      </c>
      <c r="I639" t="s">
        <v>12</v>
      </c>
      <c r="J639" t="s">
        <v>11</v>
      </c>
      <c r="K639" t="s">
        <v>12</v>
      </c>
      <c r="L639" s="12" t="s">
        <v>126</v>
      </c>
      <c r="M639" s="12" t="s">
        <v>192</v>
      </c>
      <c r="N639" s="12" t="s">
        <v>91</v>
      </c>
      <c r="O639" s="12" t="s">
        <v>248</v>
      </c>
      <c r="P639" s="12" t="s">
        <v>186</v>
      </c>
      <c r="Q639" s="7" t="str">
        <f t="shared" si="28"/>
        <v>(1969,21,'1969.05.24',28,46,61,63,90,0),</v>
      </c>
      <c r="R639" s="7" t="str">
        <f t="shared" si="30"/>
        <v>(1969,21,'1969.05.24',28,46,61,63,90),</v>
      </c>
    </row>
    <row r="640" spans="1:18" x14ac:dyDescent="0.25">
      <c r="A640" s="7" t="s">
        <v>5864</v>
      </c>
      <c r="B640" s="8" t="s">
        <v>32</v>
      </c>
      <c r="C640" s="10">
        <f t="shared" si="29"/>
        <v>25354</v>
      </c>
      <c r="D640" t="s">
        <v>11</v>
      </c>
      <c r="E640" t="s">
        <v>12</v>
      </c>
      <c r="F640" t="s">
        <v>11</v>
      </c>
      <c r="G640" t="s">
        <v>12</v>
      </c>
      <c r="H640" t="s">
        <v>11</v>
      </c>
      <c r="I640" t="s">
        <v>12</v>
      </c>
      <c r="J640" t="s">
        <v>11</v>
      </c>
      <c r="K640" t="s">
        <v>12</v>
      </c>
      <c r="L640" s="12" t="s">
        <v>168</v>
      </c>
      <c r="M640" s="12" t="s">
        <v>19</v>
      </c>
      <c r="N640" s="12" t="s">
        <v>46</v>
      </c>
      <c r="O640" s="12" t="s">
        <v>143</v>
      </c>
      <c r="P640" s="12" t="s">
        <v>186</v>
      </c>
      <c r="Q640" s="7" t="str">
        <f t="shared" si="28"/>
        <v>(1969,22,'1969.05.31',4,18,37,77,90,0),</v>
      </c>
      <c r="R640" s="7" t="str">
        <f t="shared" si="30"/>
        <v>(1969,22,'1969.05.31',4,18,37,77,90),</v>
      </c>
    </row>
    <row r="641" spans="1:18" x14ac:dyDescent="0.25">
      <c r="A641" s="7" t="s">
        <v>5864</v>
      </c>
      <c r="B641" s="8" t="s">
        <v>163</v>
      </c>
      <c r="C641" s="10">
        <f t="shared" si="29"/>
        <v>25361</v>
      </c>
      <c r="D641" t="s">
        <v>11</v>
      </c>
      <c r="E641" t="s">
        <v>12</v>
      </c>
      <c r="F641" t="s">
        <v>11</v>
      </c>
      <c r="G641" t="s">
        <v>12</v>
      </c>
      <c r="H641" t="s">
        <v>11</v>
      </c>
      <c r="I641" t="s">
        <v>12</v>
      </c>
      <c r="J641" t="s">
        <v>11</v>
      </c>
      <c r="K641" t="s">
        <v>12</v>
      </c>
      <c r="L641" s="12" t="s">
        <v>42</v>
      </c>
      <c r="M641" s="12" t="s">
        <v>135</v>
      </c>
      <c r="N641" s="12" t="s">
        <v>199</v>
      </c>
      <c r="O641" s="12" t="s">
        <v>91</v>
      </c>
      <c r="P641" s="12" t="s">
        <v>63</v>
      </c>
      <c r="Q641" s="7" t="str">
        <f t="shared" si="28"/>
        <v>(1969,23,'1969.06.07',3,27,53,61,78,0),</v>
      </c>
      <c r="R641" s="7" t="str">
        <f t="shared" si="30"/>
        <v>(1969,23,'1969.06.07',3,27,53,61,78),</v>
      </c>
    </row>
    <row r="642" spans="1:18" x14ac:dyDescent="0.25">
      <c r="A642" s="7" t="s">
        <v>5864</v>
      </c>
      <c r="B642" s="8" t="s">
        <v>33</v>
      </c>
      <c r="C642" s="10">
        <f t="shared" si="29"/>
        <v>25368</v>
      </c>
      <c r="D642" t="s">
        <v>11</v>
      </c>
      <c r="E642" t="s">
        <v>12</v>
      </c>
      <c r="F642" t="s">
        <v>11</v>
      </c>
      <c r="G642" t="s">
        <v>12</v>
      </c>
      <c r="H642" t="s">
        <v>11</v>
      </c>
      <c r="I642" t="s">
        <v>12</v>
      </c>
      <c r="J642" t="s">
        <v>11</v>
      </c>
      <c r="K642" t="s">
        <v>12</v>
      </c>
      <c r="L642" s="12" t="s">
        <v>42</v>
      </c>
      <c r="M642" s="12" t="s">
        <v>25</v>
      </c>
      <c r="N642" s="12" t="s">
        <v>45</v>
      </c>
      <c r="O642" s="12" t="s">
        <v>150</v>
      </c>
      <c r="P642" s="12" t="s">
        <v>82</v>
      </c>
      <c r="Q642" s="7" t="str">
        <f t="shared" ref="Q642:Q705" si="31">"("&amp;A642&amp;","&amp;B642&amp;",'"&amp;TEXT(C642,"éééé.hh.nn")&amp;"',"&amp;L642&amp;","&amp;M642&amp;","&amp;N642&amp;","&amp;O642&amp;","&amp;P642&amp;",0)"&amp;IF(P643&lt;&gt;0,",","")</f>
        <v>(1969,24,'1969.06.14',3,34,43,57,59,0),</v>
      </c>
      <c r="R642" s="7" t="str">
        <f t="shared" si="30"/>
        <v>(1969,24,'1969.06.14',3,34,43,57,59),</v>
      </c>
    </row>
    <row r="643" spans="1:18" x14ac:dyDescent="0.25">
      <c r="A643" s="7" t="s">
        <v>5864</v>
      </c>
      <c r="B643" s="8" t="s">
        <v>152</v>
      </c>
      <c r="C643" s="10">
        <f t="shared" ref="C643:C706" si="32">+C642+7</f>
        <v>25375</v>
      </c>
      <c r="D643" t="s">
        <v>11</v>
      </c>
      <c r="E643" t="s">
        <v>12</v>
      </c>
      <c r="F643" t="s">
        <v>11</v>
      </c>
      <c r="G643" t="s">
        <v>12</v>
      </c>
      <c r="H643" t="s">
        <v>11</v>
      </c>
      <c r="I643" t="s">
        <v>12</v>
      </c>
      <c r="J643" t="s">
        <v>11</v>
      </c>
      <c r="K643" t="s">
        <v>12</v>
      </c>
      <c r="L643" s="12" t="s">
        <v>19</v>
      </c>
      <c r="M643" s="12" t="s">
        <v>71</v>
      </c>
      <c r="N643" s="12" t="s">
        <v>10</v>
      </c>
      <c r="O643" s="12" t="s">
        <v>34</v>
      </c>
      <c r="P643" s="12" t="s">
        <v>201</v>
      </c>
      <c r="Q643" s="7" t="str">
        <f t="shared" si="31"/>
        <v>(1969,25,'1969.06.21',18,31,40,49,72,0),</v>
      </c>
      <c r="R643" s="7" t="str">
        <f t="shared" ref="R643:R706" si="33">IF(TRIM(P643)="","","("&amp;A643&amp;","&amp;B643&amp;",'"&amp;TEXT(C643,"éééé.hh.nn")&amp;"',"&amp;L643&amp;","&amp;M643&amp;","&amp;N643&amp;","&amp;O643&amp;","&amp;P643&amp;")"&amp;IF(P644=0,";",","))</f>
        <v>(1969,25,'1969.06.21',18,31,40,49,72),</v>
      </c>
    </row>
    <row r="644" spans="1:18" x14ac:dyDescent="0.25">
      <c r="A644" s="7" t="s">
        <v>5864</v>
      </c>
      <c r="B644" s="8" t="s">
        <v>74</v>
      </c>
      <c r="C644" s="10">
        <f t="shared" si="32"/>
        <v>25382</v>
      </c>
      <c r="D644" t="s">
        <v>11</v>
      </c>
      <c r="E644" t="s">
        <v>12</v>
      </c>
      <c r="F644" t="s">
        <v>11</v>
      </c>
      <c r="G644" t="s">
        <v>12</v>
      </c>
      <c r="H644" t="s">
        <v>11</v>
      </c>
      <c r="I644" t="s">
        <v>12</v>
      </c>
      <c r="J644" t="s">
        <v>11</v>
      </c>
      <c r="K644" t="s">
        <v>12</v>
      </c>
      <c r="L644" s="12" t="s">
        <v>232</v>
      </c>
      <c r="M644" s="12" t="s">
        <v>31</v>
      </c>
      <c r="N644" s="12" t="s">
        <v>80</v>
      </c>
      <c r="O644" s="12" t="s">
        <v>46</v>
      </c>
      <c r="P644" s="12" t="s">
        <v>81</v>
      </c>
      <c r="Q644" s="7" t="str">
        <f t="shared" si="31"/>
        <v>(1969,26,'1969.06.28',8,12,32,37,47,0),</v>
      </c>
      <c r="R644" s="7" t="str">
        <f t="shared" si="33"/>
        <v>(1969,26,'1969.06.28',8,12,32,37,47),</v>
      </c>
    </row>
    <row r="645" spans="1:18" x14ac:dyDescent="0.25">
      <c r="A645" s="7" t="s">
        <v>5864</v>
      </c>
      <c r="B645" s="8" t="s">
        <v>135</v>
      </c>
      <c r="C645" s="10">
        <f t="shared" si="32"/>
        <v>25389</v>
      </c>
      <c r="D645" t="s">
        <v>11</v>
      </c>
      <c r="E645" t="s">
        <v>12</v>
      </c>
      <c r="F645" t="s">
        <v>11</v>
      </c>
      <c r="G645" t="s">
        <v>12</v>
      </c>
      <c r="H645" t="s">
        <v>11</v>
      </c>
      <c r="I645" t="s">
        <v>12</v>
      </c>
      <c r="J645" t="s">
        <v>11</v>
      </c>
      <c r="K645" t="s">
        <v>12</v>
      </c>
      <c r="L645" s="12" t="s">
        <v>43</v>
      </c>
      <c r="M645" s="12" t="s">
        <v>64</v>
      </c>
      <c r="N645" s="12" t="s">
        <v>150</v>
      </c>
      <c r="O645" s="12" t="s">
        <v>200</v>
      </c>
      <c r="P645" s="12" t="s">
        <v>245</v>
      </c>
      <c r="Q645" s="7" t="str">
        <f t="shared" si="31"/>
        <v>(1969,27,'1969.07.05',16,35,57,70,74,0),</v>
      </c>
      <c r="R645" s="7" t="str">
        <f t="shared" si="33"/>
        <v>(1969,27,'1969.07.05',16,35,57,70,74),</v>
      </c>
    </row>
    <row r="646" spans="1:18" x14ac:dyDescent="0.25">
      <c r="A646" s="7" t="s">
        <v>5864</v>
      </c>
      <c r="B646" s="8" t="s">
        <v>126</v>
      </c>
      <c r="C646" s="10">
        <f t="shared" si="32"/>
        <v>25396</v>
      </c>
      <c r="D646" t="s">
        <v>11</v>
      </c>
      <c r="E646" t="s">
        <v>12</v>
      </c>
      <c r="F646" t="s">
        <v>11</v>
      </c>
      <c r="G646" t="s">
        <v>12</v>
      </c>
      <c r="H646" t="s">
        <v>11</v>
      </c>
      <c r="I646" t="s">
        <v>12</v>
      </c>
      <c r="J646" t="s">
        <v>11</v>
      </c>
      <c r="K646" t="s">
        <v>12</v>
      </c>
      <c r="L646" s="12" t="s">
        <v>43</v>
      </c>
      <c r="M646" s="12" t="s">
        <v>36</v>
      </c>
      <c r="N646" s="12" t="s">
        <v>105</v>
      </c>
      <c r="O646" s="12" t="s">
        <v>122</v>
      </c>
      <c r="P646" s="12" t="s">
        <v>246</v>
      </c>
      <c r="Q646" s="7" t="str">
        <f t="shared" si="31"/>
        <v>(1969,28,'1969.07.12',16,38,50,51,84,0),</v>
      </c>
      <c r="R646" s="7" t="str">
        <f t="shared" si="33"/>
        <v>(1969,28,'1969.07.12',16,38,50,51,84),</v>
      </c>
    </row>
    <row r="647" spans="1:18" x14ac:dyDescent="0.25">
      <c r="A647" s="7" t="s">
        <v>5864</v>
      </c>
      <c r="B647" s="8" t="s">
        <v>116</v>
      </c>
      <c r="C647" s="10">
        <f t="shared" si="32"/>
        <v>25403</v>
      </c>
      <c r="D647" t="s">
        <v>11</v>
      </c>
      <c r="E647" t="s">
        <v>12</v>
      </c>
      <c r="F647" t="s">
        <v>11</v>
      </c>
      <c r="G647" t="s">
        <v>12</v>
      </c>
      <c r="H647" t="s">
        <v>11</v>
      </c>
      <c r="I647" t="s">
        <v>12</v>
      </c>
      <c r="J647" t="s">
        <v>11</v>
      </c>
      <c r="K647" t="s">
        <v>12</v>
      </c>
      <c r="L647" s="12" t="s">
        <v>116</v>
      </c>
      <c r="M647" s="12" t="s">
        <v>10</v>
      </c>
      <c r="N647" s="12" t="s">
        <v>122</v>
      </c>
      <c r="O647" s="12" t="s">
        <v>134</v>
      </c>
      <c r="P647" s="12" t="s">
        <v>245</v>
      </c>
      <c r="Q647" s="7" t="str">
        <f t="shared" si="31"/>
        <v>(1969,29,'1969.07.19',29,40,51,56,74,0),</v>
      </c>
      <c r="R647" s="7" t="str">
        <f t="shared" si="33"/>
        <v>(1969,29,'1969.07.19',29,40,51,56,74),</v>
      </c>
    </row>
    <row r="648" spans="1:18" x14ac:dyDescent="0.25">
      <c r="A648" s="7" t="s">
        <v>5864</v>
      </c>
      <c r="B648" s="8" t="s">
        <v>107</v>
      </c>
      <c r="C648" s="10">
        <f t="shared" si="32"/>
        <v>25410</v>
      </c>
      <c r="D648" t="s">
        <v>11</v>
      </c>
      <c r="E648" t="s">
        <v>12</v>
      </c>
      <c r="F648" t="s">
        <v>11</v>
      </c>
      <c r="G648" t="s">
        <v>12</v>
      </c>
      <c r="H648" t="s">
        <v>11</v>
      </c>
      <c r="I648" t="s">
        <v>12</v>
      </c>
      <c r="J648" t="s">
        <v>11</v>
      </c>
      <c r="K648" t="s">
        <v>12</v>
      </c>
      <c r="L648" s="12" t="s">
        <v>44</v>
      </c>
      <c r="M648" s="12" t="s">
        <v>150</v>
      </c>
      <c r="N648" s="12" t="s">
        <v>47</v>
      </c>
      <c r="O648" s="12" t="s">
        <v>468</v>
      </c>
      <c r="P648" s="12" t="s">
        <v>308</v>
      </c>
      <c r="Q648" s="7" t="str">
        <f t="shared" si="31"/>
        <v>(1969,30,'1969.07.26',21,57,69,85,86,0),</v>
      </c>
      <c r="R648" s="7" t="str">
        <f t="shared" si="33"/>
        <v>(1969,30,'1969.07.26',21,57,69,85,86),</v>
      </c>
    </row>
    <row r="649" spans="1:18" x14ac:dyDescent="0.25">
      <c r="A649" s="7" t="s">
        <v>5864</v>
      </c>
      <c r="B649" s="8" t="s">
        <v>71</v>
      </c>
      <c r="C649" s="10">
        <f t="shared" si="32"/>
        <v>25417</v>
      </c>
      <c r="D649" t="s">
        <v>11</v>
      </c>
      <c r="E649" t="s">
        <v>12</v>
      </c>
      <c r="F649" t="s">
        <v>11</v>
      </c>
      <c r="G649" t="s">
        <v>12</v>
      </c>
      <c r="H649" t="s">
        <v>11</v>
      </c>
      <c r="I649" t="s">
        <v>12</v>
      </c>
      <c r="J649" t="s">
        <v>11</v>
      </c>
      <c r="K649" t="s">
        <v>12</v>
      </c>
      <c r="L649" s="12" t="s">
        <v>65</v>
      </c>
      <c r="M649" s="12" t="s">
        <v>107</v>
      </c>
      <c r="N649" s="12" t="s">
        <v>24</v>
      </c>
      <c r="O649" s="12" t="s">
        <v>81</v>
      </c>
      <c r="P649" s="12" t="s">
        <v>143</v>
      </c>
      <c r="Q649" s="7" t="str">
        <f t="shared" si="31"/>
        <v>(1969,31,'1969.08.02',13,30,39,47,77,0),</v>
      </c>
      <c r="R649" s="7" t="str">
        <f t="shared" si="33"/>
        <v>(1969,31,'1969.08.02',13,30,39,47,77),</v>
      </c>
    </row>
    <row r="650" spans="1:18" x14ac:dyDescent="0.25">
      <c r="A650" s="7" t="s">
        <v>5864</v>
      </c>
      <c r="B650" s="8" t="s">
        <v>80</v>
      </c>
      <c r="C650" s="10">
        <f t="shared" si="32"/>
        <v>25424</v>
      </c>
      <c r="D650" t="s">
        <v>11</v>
      </c>
      <c r="E650" t="s">
        <v>12</v>
      </c>
      <c r="F650" t="s">
        <v>11</v>
      </c>
      <c r="G650" t="s">
        <v>12</v>
      </c>
      <c r="H650" t="s">
        <v>11</v>
      </c>
      <c r="I650" t="s">
        <v>12</v>
      </c>
      <c r="J650" t="s">
        <v>11</v>
      </c>
      <c r="K650" t="s">
        <v>12</v>
      </c>
      <c r="L650" s="12" t="s">
        <v>90</v>
      </c>
      <c r="M650" s="12" t="s">
        <v>44</v>
      </c>
      <c r="N650" s="12" t="s">
        <v>34</v>
      </c>
      <c r="O650" s="12" t="s">
        <v>248</v>
      </c>
      <c r="P650" s="12" t="s">
        <v>301</v>
      </c>
      <c r="Q650" s="7" t="str">
        <f t="shared" si="31"/>
        <v>(1969,32,'1969.08.09',17,21,49,63,80,0),</v>
      </c>
      <c r="R650" s="7" t="str">
        <f t="shared" si="33"/>
        <v>(1969,32,'1969.08.09',17,21,49,63,80),</v>
      </c>
    </row>
    <row r="651" spans="1:18" x14ac:dyDescent="0.25">
      <c r="A651" s="7" t="s">
        <v>5864</v>
      </c>
      <c r="B651" s="8" t="s">
        <v>20</v>
      </c>
      <c r="C651" s="10">
        <f t="shared" si="32"/>
        <v>25431</v>
      </c>
      <c r="D651" t="s">
        <v>11</v>
      </c>
      <c r="E651" t="s">
        <v>12</v>
      </c>
      <c r="F651" t="s">
        <v>11</v>
      </c>
      <c r="G651" t="s">
        <v>12</v>
      </c>
      <c r="H651" t="s">
        <v>11</v>
      </c>
      <c r="I651" t="s">
        <v>12</v>
      </c>
      <c r="J651" t="s">
        <v>11</v>
      </c>
      <c r="K651" t="s">
        <v>12</v>
      </c>
      <c r="L651" s="12" t="s">
        <v>232</v>
      </c>
      <c r="M651" s="12" t="s">
        <v>115</v>
      </c>
      <c r="N651" s="12" t="s">
        <v>32</v>
      </c>
      <c r="O651" s="12" t="s">
        <v>134</v>
      </c>
      <c r="P651" s="12" t="s">
        <v>379</v>
      </c>
      <c r="Q651" s="7" t="str">
        <f t="shared" si="31"/>
        <v>(1969,33,'1969.08.16',8,20,22,56,89,0),</v>
      </c>
      <c r="R651" s="7" t="str">
        <f t="shared" si="33"/>
        <v>(1969,33,'1969.08.16',8,20,22,56,89),</v>
      </c>
    </row>
    <row r="652" spans="1:18" x14ac:dyDescent="0.25">
      <c r="A652" s="7" t="s">
        <v>5864</v>
      </c>
      <c r="B652" s="8" t="s">
        <v>25</v>
      </c>
      <c r="C652" s="10">
        <f t="shared" si="32"/>
        <v>25438</v>
      </c>
      <c r="D652" t="s">
        <v>11</v>
      </c>
      <c r="E652" t="s">
        <v>12</v>
      </c>
      <c r="F652" t="s">
        <v>11</v>
      </c>
      <c r="G652" t="s">
        <v>12</v>
      </c>
      <c r="H652" t="s">
        <v>11</v>
      </c>
      <c r="I652" t="s">
        <v>12</v>
      </c>
      <c r="J652" t="s">
        <v>11</v>
      </c>
      <c r="K652" t="s">
        <v>12</v>
      </c>
      <c r="L652" s="12" t="s">
        <v>42</v>
      </c>
      <c r="M652" s="12" t="s">
        <v>83</v>
      </c>
      <c r="N652" s="12" t="s">
        <v>98</v>
      </c>
      <c r="O652" s="12" t="s">
        <v>199</v>
      </c>
      <c r="P652" s="12" t="s">
        <v>134</v>
      </c>
      <c r="Q652" s="7" t="str">
        <f t="shared" si="31"/>
        <v>(1969,34,'1969.08.23',3,11,42,53,56,0),</v>
      </c>
      <c r="R652" s="7" t="str">
        <f t="shared" si="33"/>
        <v>(1969,34,'1969.08.23',3,11,42,53,56),</v>
      </c>
    </row>
    <row r="653" spans="1:18" x14ac:dyDescent="0.25">
      <c r="A653" s="7" t="s">
        <v>5864</v>
      </c>
      <c r="B653" s="8" t="s">
        <v>64</v>
      </c>
      <c r="C653" s="10">
        <f t="shared" si="32"/>
        <v>25445</v>
      </c>
      <c r="D653" t="s">
        <v>11</v>
      </c>
      <c r="E653" t="s">
        <v>12</v>
      </c>
      <c r="F653" t="s">
        <v>11</v>
      </c>
      <c r="G653" t="s">
        <v>12</v>
      </c>
      <c r="H653" t="s">
        <v>11</v>
      </c>
      <c r="I653" t="s">
        <v>12</v>
      </c>
      <c r="J653" t="s">
        <v>11</v>
      </c>
      <c r="K653" t="s">
        <v>12</v>
      </c>
      <c r="L653" s="12" t="s">
        <v>33</v>
      </c>
      <c r="M653" s="12" t="s">
        <v>80</v>
      </c>
      <c r="N653" s="12" t="s">
        <v>10</v>
      </c>
      <c r="O653" s="12" t="s">
        <v>125</v>
      </c>
      <c r="P653" s="12" t="s">
        <v>379</v>
      </c>
      <c r="Q653" s="7" t="str">
        <f t="shared" si="31"/>
        <v>(1969,35,'1969.08.30',24,32,40,83,89,0),</v>
      </c>
      <c r="R653" s="7" t="str">
        <f t="shared" si="33"/>
        <v>(1969,35,'1969.08.30',24,32,40,83,89),</v>
      </c>
    </row>
    <row r="654" spans="1:18" x14ac:dyDescent="0.25">
      <c r="A654" s="7" t="s">
        <v>5864</v>
      </c>
      <c r="B654" s="8" t="s">
        <v>21</v>
      </c>
      <c r="C654" s="10">
        <f t="shared" si="32"/>
        <v>25452</v>
      </c>
      <c r="D654" t="s">
        <v>11</v>
      </c>
      <c r="E654" t="s">
        <v>12</v>
      </c>
      <c r="F654" t="s">
        <v>11</v>
      </c>
      <c r="G654" t="s">
        <v>12</v>
      </c>
      <c r="H654" t="s">
        <v>11</v>
      </c>
      <c r="I654" t="s">
        <v>12</v>
      </c>
      <c r="J654" t="s">
        <v>11</v>
      </c>
      <c r="K654" t="s">
        <v>12</v>
      </c>
      <c r="L654" s="12" t="s">
        <v>44</v>
      </c>
      <c r="M654" s="12" t="s">
        <v>32</v>
      </c>
      <c r="N654" s="12" t="s">
        <v>134</v>
      </c>
      <c r="O654" s="12" t="s">
        <v>246</v>
      </c>
      <c r="P654" s="12" t="s">
        <v>308</v>
      </c>
      <c r="Q654" s="7" t="str">
        <f t="shared" si="31"/>
        <v>(1969,36,'1969.09.06',21,22,56,84,86,0),</v>
      </c>
      <c r="R654" s="7" t="str">
        <f t="shared" si="33"/>
        <v>(1969,36,'1969.09.06',21,22,56,84,86),</v>
      </c>
    </row>
    <row r="655" spans="1:18" x14ac:dyDescent="0.25">
      <c r="A655" s="7" t="s">
        <v>5864</v>
      </c>
      <c r="B655" s="8" t="s">
        <v>46</v>
      </c>
      <c r="C655" s="10">
        <f t="shared" si="32"/>
        <v>25459</v>
      </c>
      <c r="D655" t="s">
        <v>11</v>
      </c>
      <c r="E655" t="s">
        <v>12</v>
      </c>
      <c r="F655" t="s">
        <v>11</v>
      </c>
      <c r="G655" t="s">
        <v>12</v>
      </c>
      <c r="H655" t="s">
        <v>11</v>
      </c>
      <c r="I655" t="s">
        <v>12</v>
      </c>
      <c r="J655" t="s">
        <v>11</v>
      </c>
      <c r="K655" t="s">
        <v>12</v>
      </c>
      <c r="L655" s="12" t="s">
        <v>42</v>
      </c>
      <c r="M655" s="12" t="s">
        <v>232</v>
      </c>
      <c r="N655" s="12" t="s">
        <v>74</v>
      </c>
      <c r="O655" s="12" t="s">
        <v>21</v>
      </c>
      <c r="P655" s="12" t="s">
        <v>35</v>
      </c>
      <c r="Q655" s="7" t="str">
        <f t="shared" si="31"/>
        <v>(1969,37,'1969.09.13',3,8,26,36,65,0),</v>
      </c>
      <c r="R655" s="7" t="str">
        <f t="shared" si="33"/>
        <v>(1969,37,'1969.09.13',3,8,26,36,65),</v>
      </c>
    </row>
    <row r="656" spans="1:18" x14ac:dyDescent="0.25">
      <c r="A656" s="7" t="s">
        <v>5864</v>
      </c>
      <c r="B656" s="8" t="s">
        <v>36</v>
      </c>
      <c r="C656" s="10">
        <f t="shared" si="32"/>
        <v>25466</v>
      </c>
      <c r="D656" t="s">
        <v>11</v>
      </c>
      <c r="E656" t="s">
        <v>12</v>
      </c>
      <c r="F656" t="s">
        <v>11</v>
      </c>
      <c r="G656" t="s">
        <v>12</v>
      </c>
      <c r="H656" t="s">
        <v>11</v>
      </c>
      <c r="I656" t="s">
        <v>12</v>
      </c>
      <c r="J656" t="s">
        <v>11</v>
      </c>
      <c r="K656" t="s">
        <v>12</v>
      </c>
      <c r="L656" s="12" t="s">
        <v>115</v>
      </c>
      <c r="M656" s="12" t="s">
        <v>33</v>
      </c>
      <c r="N656" s="12" t="s">
        <v>13</v>
      </c>
      <c r="O656" s="12" t="s">
        <v>246</v>
      </c>
      <c r="P656" s="12" t="s">
        <v>208</v>
      </c>
      <c r="Q656" s="7" t="str">
        <f t="shared" si="31"/>
        <v>(1969,38,'1969.09.20',20,24,41,84,88,0),</v>
      </c>
      <c r="R656" s="7" t="str">
        <f t="shared" si="33"/>
        <v>(1969,38,'1969.09.20',20,24,41,84,88),</v>
      </c>
    </row>
    <row r="657" spans="1:18" x14ac:dyDescent="0.25">
      <c r="A657" s="7" t="s">
        <v>5864</v>
      </c>
      <c r="B657" s="8" t="s">
        <v>24</v>
      </c>
      <c r="C657" s="10">
        <f t="shared" si="32"/>
        <v>25473</v>
      </c>
      <c r="D657" t="s">
        <v>11</v>
      </c>
      <c r="E657" t="s">
        <v>12</v>
      </c>
      <c r="F657" t="s">
        <v>11</v>
      </c>
      <c r="G657" t="s">
        <v>12</v>
      </c>
      <c r="H657" t="s">
        <v>11</v>
      </c>
      <c r="I657" t="s">
        <v>12</v>
      </c>
      <c r="J657" t="s">
        <v>11</v>
      </c>
      <c r="K657" t="s">
        <v>12</v>
      </c>
      <c r="L657" s="12" t="s">
        <v>62</v>
      </c>
      <c r="M657" s="12" t="s">
        <v>169</v>
      </c>
      <c r="N657" s="12" t="s">
        <v>23</v>
      </c>
      <c r="O657" s="12" t="s">
        <v>622</v>
      </c>
      <c r="P657" s="12" t="s">
        <v>269</v>
      </c>
      <c r="Q657" s="7" t="str">
        <f t="shared" si="31"/>
        <v>(1969,39,'1969.09.27',10,58,60,82,87,0),</v>
      </c>
      <c r="R657" s="7" t="str">
        <f t="shared" si="33"/>
        <v>(1969,39,'1969.09.27',10,58,60,82,87),</v>
      </c>
    </row>
    <row r="658" spans="1:18" x14ac:dyDescent="0.25">
      <c r="A658" s="7" t="s">
        <v>5864</v>
      </c>
      <c r="B658" s="8" t="s">
        <v>10</v>
      </c>
      <c r="C658" s="10">
        <f t="shared" si="32"/>
        <v>25480</v>
      </c>
      <c r="D658" t="s">
        <v>11</v>
      </c>
      <c r="E658" t="s">
        <v>12</v>
      </c>
      <c r="F658" t="s">
        <v>11</v>
      </c>
      <c r="G658" t="s">
        <v>12</v>
      </c>
      <c r="H658" t="s">
        <v>11</v>
      </c>
      <c r="I658" t="s">
        <v>12</v>
      </c>
      <c r="J658" t="s">
        <v>11</v>
      </c>
      <c r="K658" t="s">
        <v>12</v>
      </c>
      <c r="L658" s="12" t="s">
        <v>133</v>
      </c>
      <c r="M658" s="12" t="s">
        <v>150</v>
      </c>
      <c r="N658" s="12" t="s">
        <v>47</v>
      </c>
      <c r="O658" s="12" t="s">
        <v>308</v>
      </c>
      <c r="P658" s="12" t="s">
        <v>186</v>
      </c>
      <c r="Q658" s="7" t="str">
        <f t="shared" si="31"/>
        <v>(1969,40,'1969.10.04',45,57,69,86,90,0),</v>
      </c>
      <c r="R658" s="7" t="str">
        <f t="shared" si="33"/>
        <v>(1969,40,'1969.10.04',45,57,69,86,90),</v>
      </c>
    </row>
    <row r="659" spans="1:18" x14ac:dyDescent="0.25">
      <c r="A659" s="7" t="s">
        <v>5864</v>
      </c>
      <c r="B659" s="8" t="s">
        <v>13</v>
      </c>
      <c r="C659" s="10">
        <f t="shared" si="32"/>
        <v>25487</v>
      </c>
      <c r="D659" t="s">
        <v>11</v>
      </c>
      <c r="E659" t="s">
        <v>12</v>
      </c>
      <c r="F659" t="s">
        <v>11</v>
      </c>
      <c r="G659" t="s">
        <v>12</v>
      </c>
      <c r="H659" t="s">
        <v>11</v>
      </c>
      <c r="I659" t="s">
        <v>12</v>
      </c>
      <c r="J659" t="s">
        <v>11</v>
      </c>
      <c r="K659" t="s">
        <v>12</v>
      </c>
      <c r="L659" s="12" t="s">
        <v>33</v>
      </c>
      <c r="M659" s="12" t="s">
        <v>142</v>
      </c>
      <c r="N659" s="12" t="s">
        <v>23</v>
      </c>
      <c r="O659" s="12" t="s">
        <v>214</v>
      </c>
      <c r="P659" s="12" t="s">
        <v>151</v>
      </c>
      <c r="Q659" s="7" t="str">
        <f t="shared" si="31"/>
        <v>(1969,41,'1969.10.11',24,44,60,64,79,0),</v>
      </c>
      <c r="R659" s="7" t="str">
        <f t="shared" si="33"/>
        <v>(1969,41,'1969.10.11',24,44,60,64,79),</v>
      </c>
    </row>
    <row r="660" spans="1:18" x14ac:dyDescent="0.25">
      <c r="A660" s="7" t="s">
        <v>5864</v>
      </c>
      <c r="B660" s="8" t="s">
        <v>98</v>
      </c>
      <c r="C660" s="10">
        <f t="shared" si="32"/>
        <v>25494</v>
      </c>
      <c r="D660" t="s">
        <v>11</v>
      </c>
      <c r="E660" t="s">
        <v>12</v>
      </c>
      <c r="F660" t="s">
        <v>11</v>
      </c>
      <c r="G660" t="s">
        <v>12</v>
      </c>
      <c r="H660" t="s">
        <v>11</v>
      </c>
      <c r="I660" t="s">
        <v>12</v>
      </c>
      <c r="J660" t="s">
        <v>11</v>
      </c>
      <c r="K660" t="s">
        <v>12</v>
      </c>
      <c r="L660" s="12" t="s">
        <v>19</v>
      </c>
      <c r="M660" s="12" t="s">
        <v>55</v>
      </c>
      <c r="N660" s="12" t="s">
        <v>64</v>
      </c>
      <c r="O660" s="12" t="s">
        <v>142</v>
      </c>
      <c r="P660" s="12" t="s">
        <v>308</v>
      </c>
      <c r="Q660" s="7" t="str">
        <f t="shared" si="31"/>
        <v>(1969,42,'1969.10.18',18,19,35,44,86,0),</v>
      </c>
      <c r="R660" s="7" t="str">
        <f t="shared" si="33"/>
        <v>(1969,42,'1969.10.18',18,19,35,44,86),</v>
      </c>
    </row>
    <row r="661" spans="1:18" x14ac:dyDescent="0.25">
      <c r="A661" s="7" t="s">
        <v>5864</v>
      </c>
      <c r="B661" s="8" t="s">
        <v>45</v>
      </c>
      <c r="C661" s="10">
        <f t="shared" si="32"/>
        <v>25501</v>
      </c>
      <c r="D661" t="s">
        <v>11</v>
      </c>
      <c r="E661" t="s">
        <v>12</v>
      </c>
      <c r="F661" t="s">
        <v>11</v>
      </c>
      <c r="G661" t="s">
        <v>12</v>
      </c>
      <c r="H661" t="s">
        <v>11</v>
      </c>
      <c r="I661" t="s">
        <v>12</v>
      </c>
      <c r="J661" t="s">
        <v>11</v>
      </c>
      <c r="K661" t="s">
        <v>12</v>
      </c>
      <c r="L661" s="12" t="s">
        <v>32</v>
      </c>
      <c r="M661" s="12" t="s">
        <v>152</v>
      </c>
      <c r="N661" s="12" t="s">
        <v>82</v>
      </c>
      <c r="O661" s="12" t="s">
        <v>214</v>
      </c>
      <c r="P661" s="12" t="s">
        <v>73</v>
      </c>
      <c r="Q661" s="7" t="str">
        <f t="shared" si="31"/>
        <v>(1969,43,'1969.10.25',22,25,59,64,76,0),</v>
      </c>
      <c r="R661" s="7" t="str">
        <f t="shared" si="33"/>
        <v>(1969,43,'1969.10.25',22,25,59,64,76),</v>
      </c>
    </row>
    <row r="662" spans="1:18" x14ac:dyDescent="0.25">
      <c r="A662" s="7" t="s">
        <v>5864</v>
      </c>
      <c r="B662" s="8" t="s">
        <v>142</v>
      </c>
      <c r="C662" s="10">
        <f t="shared" si="32"/>
        <v>25508</v>
      </c>
      <c r="D662" t="s">
        <v>11</v>
      </c>
      <c r="E662" t="s">
        <v>12</v>
      </c>
      <c r="F662" t="s">
        <v>11</v>
      </c>
      <c r="G662" t="s">
        <v>12</v>
      </c>
      <c r="H662" t="s">
        <v>11</v>
      </c>
      <c r="I662" t="s">
        <v>12</v>
      </c>
      <c r="J662" t="s">
        <v>11</v>
      </c>
      <c r="K662" t="s">
        <v>12</v>
      </c>
      <c r="L662" s="12" t="s">
        <v>127</v>
      </c>
      <c r="M662" s="12" t="s">
        <v>25</v>
      </c>
      <c r="N662" s="12" t="s">
        <v>192</v>
      </c>
      <c r="O662" s="12" t="s">
        <v>150</v>
      </c>
      <c r="P662" s="12" t="s">
        <v>47</v>
      </c>
      <c r="Q662" s="7" t="str">
        <f t="shared" si="31"/>
        <v>(1969,44,'1969.11.01',14,34,46,57,69,0),</v>
      </c>
      <c r="R662" s="7" t="str">
        <f t="shared" si="33"/>
        <v>(1969,44,'1969.11.01',14,34,46,57,69),</v>
      </c>
    </row>
    <row r="663" spans="1:18" x14ac:dyDescent="0.25">
      <c r="A663" s="7" t="s">
        <v>5864</v>
      </c>
      <c r="B663" s="8" t="s">
        <v>133</v>
      </c>
      <c r="C663" s="10">
        <f t="shared" si="32"/>
        <v>25515</v>
      </c>
      <c r="D663" t="s">
        <v>11</v>
      </c>
      <c r="E663" t="s">
        <v>12</v>
      </c>
      <c r="F663" t="s">
        <v>11</v>
      </c>
      <c r="G663" t="s">
        <v>12</v>
      </c>
      <c r="H663" t="s">
        <v>11</v>
      </c>
      <c r="I663" t="s">
        <v>12</v>
      </c>
      <c r="J663" t="s">
        <v>11</v>
      </c>
      <c r="K663" t="s">
        <v>12</v>
      </c>
      <c r="L663" s="12" t="s">
        <v>53</v>
      </c>
      <c r="M663" s="12" t="s">
        <v>13</v>
      </c>
      <c r="N663" s="12" t="s">
        <v>199</v>
      </c>
      <c r="O663" s="12" t="s">
        <v>308</v>
      </c>
      <c r="P663" s="12" t="s">
        <v>208</v>
      </c>
      <c r="Q663" s="7" t="str">
        <f t="shared" si="31"/>
        <v>(1969,45,'1969.11.08',7,41,53,86,88,0),</v>
      </c>
      <c r="R663" s="7" t="str">
        <f t="shared" si="33"/>
        <v>(1969,45,'1969.11.08',7,41,53,86,88),</v>
      </c>
    </row>
    <row r="664" spans="1:18" x14ac:dyDescent="0.25">
      <c r="A664" s="7" t="s">
        <v>5864</v>
      </c>
      <c r="B664" s="8" t="s">
        <v>192</v>
      </c>
      <c r="C664" s="10">
        <f t="shared" si="32"/>
        <v>25522</v>
      </c>
      <c r="D664" t="s">
        <v>11</v>
      </c>
      <c r="E664" t="s">
        <v>12</v>
      </c>
      <c r="F664" t="s">
        <v>11</v>
      </c>
      <c r="G664" t="s">
        <v>12</v>
      </c>
      <c r="H664" t="s">
        <v>11</v>
      </c>
      <c r="I664" t="s">
        <v>12</v>
      </c>
      <c r="J664" t="s">
        <v>11</v>
      </c>
      <c r="K664" t="s">
        <v>12</v>
      </c>
      <c r="L664" s="12" t="s">
        <v>152</v>
      </c>
      <c r="M664" s="12" t="s">
        <v>74</v>
      </c>
      <c r="N664" s="12" t="s">
        <v>107</v>
      </c>
      <c r="O664" s="12" t="s">
        <v>10</v>
      </c>
      <c r="P664" s="12" t="s">
        <v>308</v>
      </c>
      <c r="Q664" s="7" t="str">
        <f t="shared" si="31"/>
        <v>(1969,46,'1969.11.15',25,26,30,40,86,0),</v>
      </c>
      <c r="R664" s="7" t="str">
        <f t="shared" si="33"/>
        <v>(1969,46,'1969.11.15',25,26,30,40,86),</v>
      </c>
    </row>
    <row r="665" spans="1:18" x14ac:dyDescent="0.25">
      <c r="A665" s="7" t="s">
        <v>5864</v>
      </c>
      <c r="B665" s="8" t="s">
        <v>81</v>
      </c>
      <c r="C665" s="10">
        <f t="shared" si="32"/>
        <v>25529</v>
      </c>
      <c r="D665" t="s">
        <v>11</v>
      </c>
      <c r="E665" t="s">
        <v>12</v>
      </c>
      <c r="F665" t="s">
        <v>11</v>
      </c>
      <c r="G665" t="s">
        <v>12</v>
      </c>
      <c r="H665" t="s">
        <v>11</v>
      </c>
      <c r="I665" t="s">
        <v>12</v>
      </c>
      <c r="J665" t="s">
        <v>11</v>
      </c>
      <c r="K665" t="s">
        <v>12</v>
      </c>
      <c r="L665" s="12" t="s">
        <v>207</v>
      </c>
      <c r="M665" s="12" t="s">
        <v>91</v>
      </c>
      <c r="N665" s="12" t="s">
        <v>47</v>
      </c>
      <c r="O665" s="12" t="s">
        <v>63</v>
      </c>
      <c r="P665" s="12" t="s">
        <v>246</v>
      </c>
      <c r="Q665" s="7" t="str">
        <f t="shared" si="31"/>
        <v>(1969,47,'1969.11.22',2,61,69,78,84,0),</v>
      </c>
      <c r="R665" s="7" t="str">
        <f t="shared" si="33"/>
        <v>(1969,47,'1969.11.22',2,61,69,78,84),</v>
      </c>
    </row>
    <row r="666" spans="1:18" x14ac:dyDescent="0.25">
      <c r="A666" s="7" t="s">
        <v>5864</v>
      </c>
      <c r="B666" s="8" t="s">
        <v>22</v>
      </c>
      <c r="C666" s="10">
        <f t="shared" si="32"/>
        <v>25536</v>
      </c>
      <c r="D666" t="s">
        <v>11</v>
      </c>
      <c r="E666" t="s">
        <v>12</v>
      </c>
      <c r="F666" t="s">
        <v>11</v>
      </c>
      <c r="G666" t="s">
        <v>12</v>
      </c>
      <c r="H666" t="s">
        <v>11</v>
      </c>
      <c r="I666" t="s">
        <v>12</v>
      </c>
      <c r="J666" t="s">
        <v>11</v>
      </c>
      <c r="K666" t="s">
        <v>12</v>
      </c>
      <c r="L666" s="12" t="s">
        <v>175</v>
      </c>
      <c r="M666" s="12" t="s">
        <v>47</v>
      </c>
      <c r="N666" s="12" t="s">
        <v>201</v>
      </c>
      <c r="O666" s="12" t="s">
        <v>239</v>
      </c>
      <c r="P666" s="12" t="s">
        <v>63</v>
      </c>
      <c r="Q666" s="7" t="str">
        <f t="shared" si="31"/>
        <v>(1969,48,'1969.11.29',55,69,72,73,78,0),</v>
      </c>
      <c r="R666" s="7" t="str">
        <f t="shared" si="33"/>
        <v>(1969,48,'1969.11.29',55,69,72,73,78),</v>
      </c>
    </row>
    <row r="667" spans="1:18" x14ac:dyDescent="0.25">
      <c r="A667" s="7" t="s">
        <v>5864</v>
      </c>
      <c r="B667" s="8" t="s">
        <v>34</v>
      </c>
      <c r="C667" s="10">
        <f t="shared" si="32"/>
        <v>25543</v>
      </c>
      <c r="D667" t="s">
        <v>11</v>
      </c>
      <c r="E667" t="s">
        <v>12</v>
      </c>
      <c r="F667" t="s">
        <v>11</v>
      </c>
      <c r="G667" t="s">
        <v>12</v>
      </c>
      <c r="H667" t="s">
        <v>11</v>
      </c>
      <c r="I667" t="s">
        <v>12</v>
      </c>
      <c r="J667" t="s">
        <v>11</v>
      </c>
      <c r="K667" t="s">
        <v>12</v>
      </c>
      <c r="L667" s="12" t="s">
        <v>53</v>
      </c>
      <c r="M667" s="12" t="s">
        <v>83</v>
      </c>
      <c r="N667" s="12" t="s">
        <v>65</v>
      </c>
      <c r="O667" s="12" t="s">
        <v>73</v>
      </c>
      <c r="P667" s="12" t="s">
        <v>151</v>
      </c>
      <c r="Q667" s="7" t="str">
        <f t="shared" si="31"/>
        <v>(1969,49,'1969.12.06',7,11,13,76,79,0),</v>
      </c>
      <c r="R667" s="7" t="str">
        <f t="shared" si="33"/>
        <v>(1969,49,'1969.12.06',7,11,13,76,79),</v>
      </c>
    </row>
    <row r="668" spans="1:18" x14ac:dyDescent="0.25">
      <c r="A668" s="7" t="s">
        <v>5864</v>
      </c>
      <c r="B668" s="8" t="s">
        <v>105</v>
      </c>
      <c r="C668" s="10">
        <f t="shared" si="32"/>
        <v>25550</v>
      </c>
      <c r="D668" t="s">
        <v>11</v>
      </c>
      <c r="E668" t="s">
        <v>12</v>
      </c>
      <c r="F668" t="s">
        <v>11</v>
      </c>
      <c r="G668" t="s">
        <v>12</v>
      </c>
      <c r="H668" t="s">
        <v>11</v>
      </c>
      <c r="I668" t="s">
        <v>12</v>
      </c>
      <c r="J668" t="s">
        <v>11</v>
      </c>
      <c r="K668" t="s">
        <v>12</v>
      </c>
      <c r="L668" s="12" t="s">
        <v>25</v>
      </c>
      <c r="M668" s="12" t="s">
        <v>81</v>
      </c>
      <c r="N668" s="12" t="s">
        <v>34</v>
      </c>
      <c r="O668" s="12" t="s">
        <v>122</v>
      </c>
      <c r="P668" s="12" t="s">
        <v>134</v>
      </c>
      <c r="Q668" s="7" t="str">
        <f t="shared" si="31"/>
        <v>(1969,50,'1969.12.13',34,47,49,51,56,0),</v>
      </c>
      <c r="R668" s="7" t="str">
        <f t="shared" si="33"/>
        <v>(1969,50,'1969.12.13',34,47,49,51,56),</v>
      </c>
    </row>
    <row r="669" spans="1:18" x14ac:dyDescent="0.25">
      <c r="A669" s="7" t="s">
        <v>5864</v>
      </c>
      <c r="B669" s="8" t="s">
        <v>122</v>
      </c>
      <c r="C669" s="10">
        <f t="shared" si="32"/>
        <v>25557</v>
      </c>
      <c r="D669" t="s">
        <v>11</v>
      </c>
      <c r="E669" t="s">
        <v>12</v>
      </c>
      <c r="F669" t="s">
        <v>11</v>
      </c>
      <c r="G669" t="s">
        <v>12</v>
      </c>
      <c r="H669" t="s">
        <v>11</v>
      </c>
      <c r="I669" t="s">
        <v>12</v>
      </c>
      <c r="J669" t="s">
        <v>11</v>
      </c>
      <c r="K669" t="s">
        <v>12</v>
      </c>
      <c r="L669" s="12" t="s">
        <v>53</v>
      </c>
      <c r="M669" s="12" t="s">
        <v>81</v>
      </c>
      <c r="N669" s="12" t="s">
        <v>105</v>
      </c>
      <c r="O669" s="12" t="s">
        <v>201</v>
      </c>
      <c r="P669" s="12" t="s">
        <v>151</v>
      </c>
      <c r="Q669" s="7" t="str">
        <f t="shared" si="31"/>
        <v>(1969,51,'1969.12.20',7,47,50,72,79,0),</v>
      </c>
      <c r="R669" s="7" t="str">
        <f t="shared" si="33"/>
        <v>(1969,51,'1969.12.20',7,47,50,72,79),</v>
      </c>
    </row>
    <row r="670" spans="1:18" x14ac:dyDescent="0.25">
      <c r="A670" s="7" t="s">
        <v>5864</v>
      </c>
      <c r="B670" s="8" t="s">
        <v>99</v>
      </c>
      <c r="C670" s="10">
        <f t="shared" si="32"/>
        <v>25564</v>
      </c>
      <c r="D670" t="s">
        <v>11</v>
      </c>
      <c r="E670" t="s">
        <v>12</v>
      </c>
      <c r="F670" t="s">
        <v>11</v>
      </c>
      <c r="G670" t="s">
        <v>12</v>
      </c>
      <c r="H670" t="s">
        <v>11</v>
      </c>
      <c r="I670" t="s">
        <v>12</v>
      </c>
      <c r="J670" t="s">
        <v>11</v>
      </c>
      <c r="K670" t="s">
        <v>12</v>
      </c>
      <c r="L670" s="12" t="s">
        <v>65</v>
      </c>
      <c r="M670" s="12" t="s">
        <v>81</v>
      </c>
      <c r="N670" s="12" t="s">
        <v>233</v>
      </c>
      <c r="O670" s="12" t="s">
        <v>239</v>
      </c>
      <c r="P670" s="12" t="s">
        <v>106</v>
      </c>
      <c r="Q670" s="7" t="str">
        <f t="shared" si="31"/>
        <v>(1969,52,'1969.12.27',13,47,66,73,75,0),</v>
      </c>
      <c r="R670" s="7" t="str">
        <f t="shared" si="33"/>
        <v>(1969,52,'1969.12.27',13,47,66,73,75),</v>
      </c>
    </row>
    <row r="671" spans="1:18" x14ac:dyDescent="0.25">
      <c r="A671" s="7" t="s">
        <v>5863</v>
      </c>
      <c r="B671" s="8" t="s">
        <v>108</v>
      </c>
      <c r="C671" s="10">
        <f t="shared" si="32"/>
        <v>25571</v>
      </c>
      <c r="D671" t="s">
        <v>11</v>
      </c>
      <c r="E671" t="s">
        <v>12</v>
      </c>
      <c r="F671" t="s">
        <v>11</v>
      </c>
      <c r="G671" t="s">
        <v>12</v>
      </c>
      <c r="H671" t="s">
        <v>11</v>
      </c>
      <c r="I671" t="s">
        <v>12</v>
      </c>
      <c r="J671" t="s">
        <v>11</v>
      </c>
      <c r="K671" t="s">
        <v>12</v>
      </c>
      <c r="L671" s="12" t="s">
        <v>54</v>
      </c>
      <c r="M671" s="12" t="s">
        <v>107</v>
      </c>
      <c r="N671" s="12" t="s">
        <v>25</v>
      </c>
      <c r="O671" s="12" t="s">
        <v>142</v>
      </c>
      <c r="P671" s="12" t="s">
        <v>81</v>
      </c>
      <c r="Q671" s="7" t="str">
        <f t="shared" si="31"/>
        <v>(1970,1,'1970.01.03',15,30,34,44,47,0),</v>
      </c>
      <c r="R671" s="7" t="str">
        <f t="shared" si="33"/>
        <v>(1970,1,'1970.01.03',15,30,34,44,47),</v>
      </c>
    </row>
    <row r="672" spans="1:18" x14ac:dyDescent="0.25">
      <c r="A672" s="7" t="s">
        <v>5863</v>
      </c>
      <c r="B672" s="8" t="s">
        <v>207</v>
      </c>
      <c r="C672" s="10">
        <f t="shared" si="32"/>
        <v>25578</v>
      </c>
      <c r="D672" t="s">
        <v>11</v>
      </c>
      <c r="E672" t="s">
        <v>12</v>
      </c>
      <c r="F672" t="s">
        <v>11</v>
      </c>
      <c r="G672" t="s">
        <v>12</v>
      </c>
      <c r="H672" t="s">
        <v>11</v>
      </c>
      <c r="I672" t="s">
        <v>12</v>
      </c>
      <c r="J672" t="s">
        <v>11</v>
      </c>
      <c r="K672" t="s">
        <v>12</v>
      </c>
      <c r="L672" s="12" t="s">
        <v>31</v>
      </c>
      <c r="M672" s="12" t="s">
        <v>20</v>
      </c>
      <c r="N672" s="12" t="s">
        <v>25</v>
      </c>
      <c r="O672" s="12" t="s">
        <v>192</v>
      </c>
      <c r="P672" s="12" t="s">
        <v>269</v>
      </c>
      <c r="Q672" s="7" t="str">
        <f t="shared" si="31"/>
        <v>(1970,2,'1970.01.10',12,33,34,46,87,0),</v>
      </c>
      <c r="R672" s="7" t="str">
        <f t="shared" si="33"/>
        <v>(1970,2,'1970.01.10',12,33,34,46,87),</v>
      </c>
    </row>
    <row r="673" spans="1:18" x14ac:dyDescent="0.25">
      <c r="A673" s="7" t="s">
        <v>5863</v>
      </c>
      <c r="B673" s="8" t="s">
        <v>42</v>
      </c>
      <c r="C673" s="10">
        <f t="shared" si="32"/>
        <v>25585</v>
      </c>
      <c r="D673" t="s">
        <v>11</v>
      </c>
      <c r="E673" t="s">
        <v>12</v>
      </c>
      <c r="F673" t="s">
        <v>11</v>
      </c>
      <c r="G673" t="s">
        <v>12</v>
      </c>
      <c r="H673" t="s">
        <v>11</v>
      </c>
      <c r="I673" t="s">
        <v>12</v>
      </c>
      <c r="J673" t="s">
        <v>11</v>
      </c>
      <c r="K673" t="s">
        <v>12</v>
      </c>
      <c r="L673" s="12" t="s">
        <v>42</v>
      </c>
      <c r="M673" s="12" t="s">
        <v>43</v>
      </c>
      <c r="N673" s="12" t="s">
        <v>55</v>
      </c>
      <c r="O673" s="12" t="s">
        <v>150</v>
      </c>
      <c r="P673" s="12" t="s">
        <v>72</v>
      </c>
      <c r="Q673" s="7" t="str">
        <f t="shared" si="31"/>
        <v>(1970,3,'1970.01.17',3,16,19,57,67,0),</v>
      </c>
      <c r="R673" s="7" t="str">
        <f t="shared" si="33"/>
        <v>(1970,3,'1970.01.17',3,16,19,57,67),</v>
      </c>
    </row>
    <row r="674" spans="1:18" x14ac:dyDescent="0.25">
      <c r="A674" s="7" t="s">
        <v>5863</v>
      </c>
      <c r="B674" s="8" t="s">
        <v>168</v>
      </c>
      <c r="C674" s="10">
        <f t="shared" si="32"/>
        <v>25592</v>
      </c>
      <c r="D674" t="s">
        <v>11</v>
      </c>
      <c r="E674" t="s">
        <v>12</v>
      </c>
      <c r="F674" t="s">
        <v>11</v>
      </c>
      <c r="G674" t="s">
        <v>12</v>
      </c>
      <c r="H674" t="s">
        <v>11</v>
      </c>
      <c r="I674" t="s">
        <v>12</v>
      </c>
      <c r="J674" t="s">
        <v>11</v>
      </c>
      <c r="K674" t="s">
        <v>12</v>
      </c>
      <c r="L674" s="12" t="s">
        <v>152</v>
      </c>
      <c r="M674" s="12" t="s">
        <v>25</v>
      </c>
      <c r="N674" s="12" t="s">
        <v>192</v>
      </c>
      <c r="O674" s="12" t="s">
        <v>122</v>
      </c>
      <c r="P674" s="12" t="s">
        <v>199</v>
      </c>
      <c r="Q674" s="7" t="str">
        <f t="shared" si="31"/>
        <v>(1970,4,'1970.01.24',25,34,46,51,53,0),</v>
      </c>
      <c r="R674" s="7" t="str">
        <f t="shared" si="33"/>
        <v>(1970,4,'1970.01.24',25,34,46,51,53),</v>
      </c>
    </row>
    <row r="675" spans="1:18" x14ac:dyDescent="0.25">
      <c r="A675" s="7" t="s">
        <v>5863</v>
      </c>
      <c r="B675" s="8" t="s">
        <v>89</v>
      </c>
      <c r="C675" s="10">
        <f t="shared" si="32"/>
        <v>25599</v>
      </c>
      <c r="D675" t="s">
        <v>11</v>
      </c>
      <c r="E675" t="s">
        <v>12</v>
      </c>
      <c r="F675" t="s">
        <v>11</v>
      </c>
      <c r="G675" t="s">
        <v>12</v>
      </c>
      <c r="H675" t="s">
        <v>11</v>
      </c>
      <c r="I675" t="s">
        <v>12</v>
      </c>
      <c r="J675" t="s">
        <v>11</v>
      </c>
      <c r="K675" t="s">
        <v>12</v>
      </c>
      <c r="L675" s="12" t="s">
        <v>74</v>
      </c>
      <c r="M675" s="12" t="s">
        <v>199</v>
      </c>
      <c r="N675" s="12" t="s">
        <v>91</v>
      </c>
      <c r="O675" s="12" t="s">
        <v>200</v>
      </c>
      <c r="P675" s="12" t="s">
        <v>125</v>
      </c>
      <c r="Q675" s="7" t="str">
        <f t="shared" si="31"/>
        <v>(1970,5,'1970.01.31',26,53,61,70,83,0),</v>
      </c>
      <c r="R675" s="7" t="str">
        <f t="shared" si="33"/>
        <v>(1970,5,'1970.01.31',26,53,61,70,83),</v>
      </c>
    </row>
    <row r="676" spans="1:18" x14ac:dyDescent="0.25">
      <c r="A676" s="7" t="s">
        <v>5863</v>
      </c>
      <c r="B676" s="8" t="s">
        <v>270</v>
      </c>
      <c r="C676" s="10">
        <f t="shared" si="32"/>
        <v>25606</v>
      </c>
      <c r="D676" t="s">
        <v>11</v>
      </c>
      <c r="E676" t="s">
        <v>12</v>
      </c>
      <c r="F676" t="s">
        <v>11</v>
      </c>
      <c r="G676" t="s">
        <v>12</v>
      </c>
      <c r="H676" t="s">
        <v>11</v>
      </c>
      <c r="I676" t="s">
        <v>12</v>
      </c>
      <c r="J676" t="s">
        <v>11</v>
      </c>
      <c r="K676" t="s">
        <v>12</v>
      </c>
      <c r="L676" s="12" t="s">
        <v>42</v>
      </c>
      <c r="M676" s="12" t="s">
        <v>24</v>
      </c>
      <c r="N676" s="12" t="s">
        <v>47</v>
      </c>
      <c r="O676" s="12" t="s">
        <v>73</v>
      </c>
      <c r="P676" s="12" t="s">
        <v>215</v>
      </c>
      <c r="Q676" s="7" t="str">
        <f t="shared" si="31"/>
        <v>(1970,6,'1970.02.07',3,39,69,76,81,0),</v>
      </c>
      <c r="R676" s="7" t="str">
        <f t="shared" si="33"/>
        <v>(1970,6,'1970.02.07',3,39,69,76,81),</v>
      </c>
    </row>
    <row r="677" spans="1:18" x14ac:dyDescent="0.25">
      <c r="A677" s="7" t="s">
        <v>5863</v>
      </c>
      <c r="B677" s="8" t="s">
        <v>53</v>
      </c>
      <c r="C677" s="10">
        <f t="shared" si="32"/>
        <v>25613</v>
      </c>
      <c r="D677" t="s">
        <v>11</v>
      </c>
      <c r="E677" t="s">
        <v>12</v>
      </c>
      <c r="F677" t="s">
        <v>11</v>
      </c>
      <c r="G677" t="s">
        <v>12</v>
      </c>
      <c r="H677" t="s">
        <v>11</v>
      </c>
      <c r="I677" t="s">
        <v>12</v>
      </c>
      <c r="J677" t="s">
        <v>11</v>
      </c>
      <c r="K677" t="s">
        <v>12</v>
      </c>
      <c r="L677" s="12" t="s">
        <v>152</v>
      </c>
      <c r="M677" s="12" t="s">
        <v>25</v>
      </c>
      <c r="N677" s="12" t="s">
        <v>34</v>
      </c>
      <c r="O677" s="12" t="s">
        <v>92</v>
      </c>
      <c r="P677" s="12" t="s">
        <v>106</v>
      </c>
      <c r="Q677" s="7" t="str">
        <f t="shared" si="31"/>
        <v>(1970,7,'1970.02.14',25,34,49,68,75,0),</v>
      </c>
      <c r="R677" s="7" t="str">
        <f t="shared" si="33"/>
        <v>(1970,7,'1970.02.14',25,34,49,68,75),</v>
      </c>
    </row>
    <row r="678" spans="1:18" x14ac:dyDescent="0.25">
      <c r="A678" s="7" t="s">
        <v>5863</v>
      </c>
      <c r="B678" s="8" t="s">
        <v>232</v>
      </c>
      <c r="C678" s="10">
        <f t="shared" si="32"/>
        <v>25620</v>
      </c>
      <c r="D678" t="s">
        <v>11</v>
      </c>
      <c r="E678" t="s">
        <v>12</v>
      </c>
      <c r="F678" t="s">
        <v>11</v>
      </c>
      <c r="G678" t="s">
        <v>12</v>
      </c>
      <c r="H678" t="s">
        <v>11</v>
      </c>
      <c r="I678" t="s">
        <v>12</v>
      </c>
      <c r="J678" t="s">
        <v>11</v>
      </c>
      <c r="K678" t="s">
        <v>12</v>
      </c>
      <c r="L678" s="12" t="s">
        <v>270</v>
      </c>
      <c r="M678" s="12" t="s">
        <v>83</v>
      </c>
      <c r="N678" s="12" t="s">
        <v>55</v>
      </c>
      <c r="O678" s="12" t="s">
        <v>152</v>
      </c>
      <c r="P678" s="12" t="s">
        <v>73</v>
      </c>
      <c r="Q678" s="7" t="str">
        <f t="shared" si="31"/>
        <v>(1970,8,'1970.02.21',6,11,19,25,76,0),</v>
      </c>
      <c r="R678" s="7" t="str">
        <f t="shared" si="33"/>
        <v>(1970,8,'1970.02.21',6,11,19,25,76),</v>
      </c>
    </row>
    <row r="679" spans="1:18" x14ac:dyDescent="0.25">
      <c r="A679" s="7" t="s">
        <v>5863</v>
      </c>
      <c r="B679" s="8" t="s">
        <v>198</v>
      </c>
      <c r="C679" s="10">
        <f t="shared" si="32"/>
        <v>25627</v>
      </c>
      <c r="D679" t="s">
        <v>11</v>
      </c>
      <c r="E679" t="s">
        <v>12</v>
      </c>
      <c r="F679" t="s">
        <v>11</v>
      </c>
      <c r="G679" t="s">
        <v>12</v>
      </c>
      <c r="H679" t="s">
        <v>11</v>
      </c>
      <c r="I679" t="s">
        <v>12</v>
      </c>
      <c r="J679" t="s">
        <v>11</v>
      </c>
      <c r="K679" t="s">
        <v>12</v>
      </c>
      <c r="L679" s="12" t="s">
        <v>116</v>
      </c>
      <c r="M679" s="12" t="s">
        <v>25</v>
      </c>
      <c r="N679" s="12" t="s">
        <v>142</v>
      </c>
      <c r="O679" s="12" t="s">
        <v>245</v>
      </c>
      <c r="P679" s="12" t="s">
        <v>215</v>
      </c>
      <c r="Q679" s="7" t="str">
        <f t="shared" si="31"/>
        <v>(1970,9,'1970.02.28',29,34,44,74,81,0),</v>
      </c>
      <c r="R679" s="7" t="str">
        <f t="shared" si="33"/>
        <v>(1970,9,'1970.02.28',29,34,44,74,81),</v>
      </c>
    </row>
    <row r="680" spans="1:18" x14ac:dyDescent="0.25">
      <c r="A680" s="7" t="s">
        <v>5863</v>
      </c>
      <c r="B680" s="8" t="s">
        <v>62</v>
      </c>
      <c r="C680" s="10">
        <f t="shared" si="32"/>
        <v>25634</v>
      </c>
      <c r="D680" t="s">
        <v>11</v>
      </c>
      <c r="E680" t="s">
        <v>12</v>
      </c>
      <c r="F680" t="s">
        <v>11</v>
      </c>
      <c r="G680" t="s">
        <v>12</v>
      </c>
      <c r="H680" t="s">
        <v>11</v>
      </c>
      <c r="I680" t="s">
        <v>12</v>
      </c>
      <c r="J680" t="s">
        <v>11</v>
      </c>
      <c r="K680" t="s">
        <v>12</v>
      </c>
      <c r="L680" s="12" t="s">
        <v>62</v>
      </c>
      <c r="M680" s="12" t="s">
        <v>55</v>
      </c>
      <c r="N680" s="12" t="s">
        <v>71</v>
      </c>
      <c r="O680" s="12" t="s">
        <v>239</v>
      </c>
      <c r="P680" s="12" t="s">
        <v>151</v>
      </c>
      <c r="Q680" s="7" t="str">
        <f t="shared" si="31"/>
        <v>(1970,10,'1970.03.07',10,19,31,73,79,0),</v>
      </c>
      <c r="R680" s="7" t="str">
        <f t="shared" si="33"/>
        <v>(1970,10,'1970.03.07',10,19,31,73,79),</v>
      </c>
    </row>
    <row r="681" spans="1:18" x14ac:dyDescent="0.25">
      <c r="A681" s="7" t="s">
        <v>5863</v>
      </c>
      <c r="B681" s="8" t="s">
        <v>83</v>
      </c>
      <c r="C681" s="10">
        <f t="shared" si="32"/>
        <v>25641</v>
      </c>
      <c r="D681" t="s">
        <v>11</v>
      </c>
      <c r="E681" t="s">
        <v>12</v>
      </c>
      <c r="F681" t="s">
        <v>11</v>
      </c>
      <c r="G681" t="s">
        <v>12</v>
      </c>
      <c r="H681" t="s">
        <v>11</v>
      </c>
      <c r="I681" t="s">
        <v>12</v>
      </c>
      <c r="J681" t="s">
        <v>11</v>
      </c>
      <c r="K681" t="s">
        <v>12</v>
      </c>
      <c r="L681" s="12" t="s">
        <v>62</v>
      </c>
      <c r="M681" s="12" t="s">
        <v>19</v>
      </c>
      <c r="N681" s="12" t="s">
        <v>150</v>
      </c>
      <c r="O681" s="12" t="s">
        <v>214</v>
      </c>
      <c r="P681" s="12" t="s">
        <v>301</v>
      </c>
      <c r="Q681" s="7" t="str">
        <f t="shared" si="31"/>
        <v>(1970,11,'1970.03.14',10,18,57,64,80,0),</v>
      </c>
      <c r="R681" s="7" t="str">
        <f t="shared" si="33"/>
        <v>(1970,11,'1970.03.14',10,18,57,64,80),</v>
      </c>
    </row>
    <row r="682" spans="1:18" x14ac:dyDescent="0.25">
      <c r="A682" s="7" t="s">
        <v>5863</v>
      </c>
      <c r="B682" s="8" t="s">
        <v>31</v>
      </c>
      <c r="C682" s="10">
        <f t="shared" si="32"/>
        <v>25648</v>
      </c>
      <c r="D682" t="s">
        <v>11</v>
      </c>
      <c r="E682" t="s">
        <v>12</v>
      </c>
      <c r="F682" t="s">
        <v>11</v>
      </c>
      <c r="G682" t="s">
        <v>12</v>
      </c>
      <c r="H682" t="s">
        <v>11</v>
      </c>
      <c r="I682" t="s">
        <v>12</v>
      </c>
      <c r="J682" t="s">
        <v>11</v>
      </c>
      <c r="K682" t="s">
        <v>12</v>
      </c>
      <c r="L682" s="12" t="s">
        <v>44</v>
      </c>
      <c r="M682" s="12" t="s">
        <v>33</v>
      </c>
      <c r="N682" s="12" t="s">
        <v>98</v>
      </c>
      <c r="O682" s="12" t="s">
        <v>150</v>
      </c>
      <c r="P682" s="12" t="s">
        <v>233</v>
      </c>
      <c r="Q682" s="7" t="str">
        <f t="shared" si="31"/>
        <v>(1970,12,'1970.03.21',21,24,42,57,66,0),</v>
      </c>
      <c r="R682" s="7" t="str">
        <f t="shared" si="33"/>
        <v>(1970,12,'1970.03.21',21,24,42,57,66),</v>
      </c>
    </row>
    <row r="683" spans="1:18" x14ac:dyDescent="0.25">
      <c r="A683" s="7" t="s">
        <v>5863</v>
      </c>
      <c r="B683" s="8" t="s">
        <v>65</v>
      </c>
      <c r="C683" s="10">
        <f t="shared" si="32"/>
        <v>25655</v>
      </c>
      <c r="D683" t="s">
        <v>11</v>
      </c>
      <c r="E683" t="s">
        <v>12</v>
      </c>
      <c r="F683" t="s">
        <v>11</v>
      </c>
      <c r="G683" t="s">
        <v>12</v>
      </c>
      <c r="H683" t="s">
        <v>11</v>
      </c>
      <c r="I683" t="s">
        <v>12</v>
      </c>
      <c r="J683" t="s">
        <v>11</v>
      </c>
      <c r="K683" t="s">
        <v>12</v>
      </c>
      <c r="L683" s="12" t="s">
        <v>115</v>
      </c>
      <c r="M683" s="12" t="s">
        <v>44</v>
      </c>
      <c r="N683" s="12" t="s">
        <v>116</v>
      </c>
      <c r="O683" s="12" t="s">
        <v>21</v>
      </c>
      <c r="P683" s="12" t="s">
        <v>72</v>
      </c>
      <c r="Q683" s="7" t="str">
        <f t="shared" si="31"/>
        <v>(1970,13,'1970.03.28',20,21,29,36,67,0),</v>
      </c>
      <c r="R683" s="7" t="str">
        <f t="shared" si="33"/>
        <v>(1970,13,'1970.03.28',20,21,29,36,67),</v>
      </c>
    </row>
    <row r="684" spans="1:18" x14ac:dyDescent="0.25">
      <c r="A684" s="7" t="s">
        <v>5863</v>
      </c>
      <c r="B684" s="8" t="s">
        <v>127</v>
      </c>
      <c r="C684" s="10">
        <f t="shared" si="32"/>
        <v>25662</v>
      </c>
      <c r="D684" t="s">
        <v>11</v>
      </c>
      <c r="E684" t="s">
        <v>12</v>
      </c>
      <c r="F684" t="s">
        <v>11</v>
      </c>
      <c r="G684" t="s">
        <v>12</v>
      </c>
      <c r="H684" t="s">
        <v>11</v>
      </c>
      <c r="I684" t="s">
        <v>12</v>
      </c>
      <c r="J684" t="s">
        <v>11</v>
      </c>
      <c r="K684" t="s">
        <v>12</v>
      </c>
      <c r="L684" s="12" t="s">
        <v>168</v>
      </c>
      <c r="M684" s="12" t="s">
        <v>98</v>
      </c>
      <c r="N684" s="12" t="s">
        <v>142</v>
      </c>
      <c r="O684" s="12" t="s">
        <v>201</v>
      </c>
      <c r="P684" s="12" t="s">
        <v>215</v>
      </c>
      <c r="Q684" s="7" t="str">
        <f t="shared" si="31"/>
        <v>(1970,14,'1970.04.04',4,42,44,72,81,0),</v>
      </c>
      <c r="R684" s="7" t="str">
        <f t="shared" si="33"/>
        <v>(1970,14,'1970.04.04',4,42,44,72,81),</v>
      </c>
    </row>
    <row r="685" spans="1:18" x14ac:dyDescent="0.25">
      <c r="A685" s="7" t="s">
        <v>5863</v>
      </c>
      <c r="B685" s="8" t="s">
        <v>54</v>
      </c>
      <c r="C685" s="10">
        <f t="shared" si="32"/>
        <v>25669</v>
      </c>
      <c r="D685" t="s">
        <v>11</v>
      </c>
      <c r="E685" t="s">
        <v>12</v>
      </c>
      <c r="F685" t="s">
        <v>11</v>
      </c>
      <c r="G685" t="s">
        <v>12</v>
      </c>
      <c r="H685" t="s">
        <v>11</v>
      </c>
      <c r="I685" t="s">
        <v>12</v>
      </c>
      <c r="J685" t="s">
        <v>11</v>
      </c>
      <c r="K685" t="s">
        <v>12</v>
      </c>
      <c r="L685" s="12" t="s">
        <v>175</v>
      </c>
      <c r="M685" s="12" t="s">
        <v>201</v>
      </c>
      <c r="N685" s="12" t="s">
        <v>239</v>
      </c>
      <c r="O685" s="12" t="s">
        <v>143</v>
      </c>
      <c r="P685" s="12" t="s">
        <v>269</v>
      </c>
      <c r="Q685" s="7" t="str">
        <f t="shared" si="31"/>
        <v>(1970,15,'1970.04.11',55,72,73,77,87,0),</v>
      </c>
      <c r="R685" s="7" t="str">
        <f t="shared" si="33"/>
        <v>(1970,15,'1970.04.11',55,72,73,77,87),</v>
      </c>
    </row>
    <row r="686" spans="1:18" x14ac:dyDescent="0.25">
      <c r="A686" s="7" t="s">
        <v>5863</v>
      </c>
      <c r="B686" s="8" t="s">
        <v>43</v>
      </c>
      <c r="C686" s="10">
        <f t="shared" si="32"/>
        <v>25676</v>
      </c>
      <c r="D686" t="s">
        <v>11</v>
      </c>
      <c r="E686" t="s">
        <v>12</v>
      </c>
      <c r="F686" t="s">
        <v>11</v>
      </c>
      <c r="G686" t="s">
        <v>12</v>
      </c>
      <c r="H686" t="s">
        <v>11</v>
      </c>
      <c r="I686" t="s">
        <v>12</v>
      </c>
      <c r="J686" t="s">
        <v>11</v>
      </c>
      <c r="K686" t="s">
        <v>12</v>
      </c>
      <c r="L686" s="12" t="s">
        <v>83</v>
      </c>
      <c r="M686" s="12" t="s">
        <v>65</v>
      </c>
      <c r="N686" s="12" t="s">
        <v>10</v>
      </c>
      <c r="O686" s="12" t="s">
        <v>175</v>
      </c>
      <c r="P686" s="12" t="s">
        <v>134</v>
      </c>
      <c r="Q686" s="7" t="str">
        <f t="shared" si="31"/>
        <v>(1970,16,'1970.04.18',11,13,40,55,56,0),</v>
      </c>
      <c r="R686" s="7" t="str">
        <f t="shared" si="33"/>
        <v>(1970,16,'1970.04.18',11,13,40,55,56),</v>
      </c>
    </row>
    <row r="687" spans="1:18" x14ac:dyDescent="0.25">
      <c r="A687" s="7" t="s">
        <v>5863</v>
      </c>
      <c r="B687" s="8" t="s">
        <v>90</v>
      </c>
      <c r="C687" s="10">
        <f t="shared" si="32"/>
        <v>25683</v>
      </c>
      <c r="D687" t="s">
        <v>11</v>
      </c>
      <c r="E687" t="s">
        <v>12</v>
      </c>
      <c r="F687" t="s">
        <v>11</v>
      </c>
      <c r="G687" t="s">
        <v>12</v>
      </c>
      <c r="H687" t="s">
        <v>11</v>
      </c>
      <c r="I687" t="s">
        <v>12</v>
      </c>
      <c r="J687" t="s">
        <v>11</v>
      </c>
      <c r="K687" t="s">
        <v>12</v>
      </c>
      <c r="L687" s="12" t="s">
        <v>142</v>
      </c>
      <c r="M687" s="12" t="s">
        <v>133</v>
      </c>
      <c r="N687" s="12" t="s">
        <v>34</v>
      </c>
      <c r="O687" s="12" t="s">
        <v>134</v>
      </c>
      <c r="P687" s="12" t="s">
        <v>186</v>
      </c>
      <c r="Q687" s="7" t="str">
        <f t="shared" si="31"/>
        <v>(1970,17,'1970.04.25',44,45,49,56,90,0),</v>
      </c>
      <c r="R687" s="7" t="str">
        <f t="shared" si="33"/>
        <v>(1970,17,'1970.04.25',44,45,49,56,90),</v>
      </c>
    </row>
    <row r="688" spans="1:18" x14ac:dyDescent="0.25">
      <c r="A688" s="7" t="s">
        <v>5863</v>
      </c>
      <c r="B688" s="8" t="s">
        <v>19</v>
      </c>
      <c r="C688" s="10">
        <f t="shared" si="32"/>
        <v>25690</v>
      </c>
      <c r="D688" t="s">
        <v>11</v>
      </c>
      <c r="E688" t="s">
        <v>12</v>
      </c>
      <c r="F688" t="s">
        <v>11</v>
      </c>
      <c r="G688" t="s">
        <v>12</v>
      </c>
      <c r="H688" t="s">
        <v>11</v>
      </c>
      <c r="I688" t="s">
        <v>12</v>
      </c>
      <c r="J688" t="s">
        <v>11</v>
      </c>
      <c r="K688" t="s">
        <v>12</v>
      </c>
      <c r="L688" s="12" t="s">
        <v>168</v>
      </c>
      <c r="M688" s="12" t="s">
        <v>124</v>
      </c>
      <c r="N688" s="12" t="s">
        <v>239</v>
      </c>
      <c r="O688" s="12" t="s">
        <v>151</v>
      </c>
      <c r="P688" s="12" t="s">
        <v>246</v>
      </c>
      <c r="Q688" s="7" t="str">
        <f t="shared" si="31"/>
        <v>(1970,18,'1970.05.02',4,62,73,79,84,0),</v>
      </c>
      <c r="R688" s="7" t="str">
        <f t="shared" si="33"/>
        <v>(1970,18,'1970.05.02',4,62,73,79,84),</v>
      </c>
    </row>
    <row r="689" spans="1:18" x14ac:dyDescent="0.25">
      <c r="A689" s="7" t="s">
        <v>5863</v>
      </c>
      <c r="B689" s="8" t="s">
        <v>55</v>
      </c>
      <c r="C689" s="10">
        <f t="shared" si="32"/>
        <v>25697</v>
      </c>
      <c r="D689" t="s">
        <v>11</v>
      </c>
      <c r="E689" t="s">
        <v>12</v>
      </c>
      <c r="F689" t="s">
        <v>11</v>
      </c>
      <c r="G689" t="s">
        <v>12</v>
      </c>
      <c r="H689" t="s">
        <v>11</v>
      </c>
      <c r="I689" t="s">
        <v>12</v>
      </c>
      <c r="J689" t="s">
        <v>11</v>
      </c>
      <c r="K689" t="s">
        <v>12</v>
      </c>
      <c r="L689" s="12" t="s">
        <v>232</v>
      </c>
      <c r="M689" s="12" t="s">
        <v>81</v>
      </c>
      <c r="N689" s="12" t="s">
        <v>35</v>
      </c>
      <c r="O689" s="12" t="s">
        <v>143</v>
      </c>
      <c r="P689" s="12" t="s">
        <v>208</v>
      </c>
      <c r="Q689" s="7" t="str">
        <f t="shared" si="31"/>
        <v>(1970,19,'1970.05.09',8,47,65,77,88,0),</v>
      </c>
      <c r="R689" s="7" t="str">
        <f t="shared" si="33"/>
        <v>(1970,19,'1970.05.09',8,47,65,77,88),</v>
      </c>
    </row>
    <row r="690" spans="1:18" x14ac:dyDescent="0.25">
      <c r="A690" s="7" t="s">
        <v>5863</v>
      </c>
      <c r="B690" s="8" t="s">
        <v>115</v>
      </c>
      <c r="C690" s="10">
        <f t="shared" si="32"/>
        <v>25704</v>
      </c>
      <c r="D690" t="s">
        <v>11</v>
      </c>
      <c r="E690" t="s">
        <v>12</v>
      </c>
      <c r="F690" t="s">
        <v>11</v>
      </c>
      <c r="G690" t="s">
        <v>12</v>
      </c>
      <c r="H690" t="s">
        <v>11</v>
      </c>
      <c r="I690" t="s">
        <v>12</v>
      </c>
      <c r="J690" t="s">
        <v>11</v>
      </c>
      <c r="K690" t="s">
        <v>12</v>
      </c>
      <c r="L690" s="12" t="s">
        <v>42</v>
      </c>
      <c r="M690" s="12" t="s">
        <v>65</v>
      </c>
      <c r="N690" s="12" t="s">
        <v>54</v>
      </c>
      <c r="O690" s="12" t="s">
        <v>134</v>
      </c>
      <c r="P690" s="12" t="s">
        <v>106</v>
      </c>
      <c r="Q690" s="7" t="str">
        <f t="shared" si="31"/>
        <v>(1970,20,'1970.05.16',3,13,15,56,75,0),</v>
      </c>
      <c r="R690" s="7" t="str">
        <f t="shared" si="33"/>
        <v>(1970,20,'1970.05.16',3,13,15,56,75),</v>
      </c>
    </row>
    <row r="691" spans="1:18" x14ac:dyDescent="0.25">
      <c r="A691" s="7" t="s">
        <v>5863</v>
      </c>
      <c r="B691" s="8" t="s">
        <v>44</v>
      </c>
      <c r="C691" s="10">
        <f t="shared" si="32"/>
        <v>25711</v>
      </c>
      <c r="D691" t="s">
        <v>11</v>
      </c>
      <c r="E691" t="s">
        <v>12</v>
      </c>
      <c r="F691" t="s">
        <v>11</v>
      </c>
      <c r="G691" t="s">
        <v>12</v>
      </c>
      <c r="H691" t="s">
        <v>11</v>
      </c>
      <c r="I691" t="s">
        <v>12</v>
      </c>
      <c r="J691" t="s">
        <v>11</v>
      </c>
      <c r="K691" t="s">
        <v>12</v>
      </c>
      <c r="L691" s="12" t="s">
        <v>270</v>
      </c>
      <c r="M691" s="12" t="s">
        <v>20</v>
      </c>
      <c r="N691" s="12" t="s">
        <v>239</v>
      </c>
      <c r="O691" s="12" t="s">
        <v>73</v>
      </c>
      <c r="P691" s="12" t="s">
        <v>269</v>
      </c>
      <c r="Q691" s="7" t="str">
        <f t="shared" si="31"/>
        <v>(1970,21,'1970.05.23',6,33,73,76,87,0),</v>
      </c>
      <c r="R691" s="7" t="str">
        <f t="shared" si="33"/>
        <v>(1970,21,'1970.05.23',6,33,73,76,87),</v>
      </c>
    </row>
    <row r="692" spans="1:18" x14ac:dyDescent="0.25">
      <c r="A692" s="7" t="s">
        <v>5863</v>
      </c>
      <c r="B692" s="8" t="s">
        <v>32</v>
      </c>
      <c r="C692" s="10">
        <f t="shared" si="32"/>
        <v>25718</v>
      </c>
      <c r="D692" t="s">
        <v>11</v>
      </c>
      <c r="E692" t="s">
        <v>12</v>
      </c>
      <c r="F692" t="s">
        <v>11</v>
      </c>
      <c r="G692" t="s">
        <v>12</v>
      </c>
      <c r="H692" t="s">
        <v>11</v>
      </c>
      <c r="I692" t="s">
        <v>12</v>
      </c>
      <c r="J692" t="s">
        <v>11</v>
      </c>
      <c r="K692" t="s">
        <v>12</v>
      </c>
      <c r="L692" s="12" t="s">
        <v>232</v>
      </c>
      <c r="M692" s="12" t="s">
        <v>34</v>
      </c>
      <c r="N692" s="12" t="s">
        <v>199</v>
      </c>
      <c r="O692" s="12" t="s">
        <v>214</v>
      </c>
      <c r="P692" s="12" t="s">
        <v>63</v>
      </c>
      <c r="Q692" s="7" t="str">
        <f t="shared" si="31"/>
        <v>(1970,22,'1970.05.30',8,49,53,64,78,0),</v>
      </c>
      <c r="R692" s="7" t="str">
        <f t="shared" si="33"/>
        <v>(1970,22,'1970.05.30',8,49,53,64,78),</v>
      </c>
    </row>
    <row r="693" spans="1:18" x14ac:dyDescent="0.25">
      <c r="A693" s="7" t="s">
        <v>5863</v>
      </c>
      <c r="B693" s="8" t="s">
        <v>163</v>
      </c>
      <c r="C693" s="10">
        <f t="shared" si="32"/>
        <v>25725</v>
      </c>
      <c r="D693" t="s">
        <v>11</v>
      </c>
      <c r="E693" t="s">
        <v>12</v>
      </c>
      <c r="F693" t="s">
        <v>11</v>
      </c>
      <c r="G693" t="s">
        <v>12</v>
      </c>
      <c r="H693" t="s">
        <v>11</v>
      </c>
      <c r="I693" t="s">
        <v>12</v>
      </c>
      <c r="J693" t="s">
        <v>11</v>
      </c>
      <c r="K693" t="s">
        <v>12</v>
      </c>
      <c r="L693" s="12" t="s">
        <v>89</v>
      </c>
      <c r="M693" s="12" t="s">
        <v>90</v>
      </c>
      <c r="N693" s="12" t="s">
        <v>143</v>
      </c>
      <c r="O693" s="12" t="s">
        <v>308</v>
      </c>
      <c r="P693" s="12" t="s">
        <v>379</v>
      </c>
      <c r="Q693" s="7" t="str">
        <f t="shared" si="31"/>
        <v>(1970,23,'1970.06.06',5,17,77,86,89,0),</v>
      </c>
      <c r="R693" s="7" t="str">
        <f t="shared" si="33"/>
        <v>(1970,23,'1970.06.06',5,17,77,86,89),</v>
      </c>
    </row>
    <row r="694" spans="1:18" x14ac:dyDescent="0.25">
      <c r="A694" s="7" t="s">
        <v>5863</v>
      </c>
      <c r="B694" s="8" t="s">
        <v>33</v>
      </c>
      <c r="C694" s="10">
        <f t="shared" si="32"/>
        <v>25732</v>
      </c>
      <c r="D694" t="s">
        <v>11</v>
      </c>
      <c r="E694" t="s">
        <v>12</v>
      </c>
      <c r="F694" t="s">
        <v>11</v>
      </c>
      <c r="G694" t="s">
        <v>12</v>
      </c>
      <c r="H694" t="s">
        <v>11</v>
      </c>
      <c r="I694" t="s">
        <v>12</v>
      </c>
      <c r="J694" t="s">
        <v>11</v>
      </c>
      <c r="K694" t="s">
        <v>12</v>
      </c>
      <c r="L694" s="12" t="s">
        <v>31</v>
      </c>
      <c r="M694" s="12" t="s">
        <v>54</v>
      </c>
      <c r="N694" s="12" t="s">
        <v>98</v>
      </c>
      <c r="O694" s="12" t="s">
        <v>133</v>
      </c>
      <c r="P694" s="12" t="s">
        <v>269</v>
      </c>
      <c r="Q694" s="7" t="str">
        <f t="shared" si="31"/>
        <v>(1970,24,'1970.06.13',12,15,42,45,87,0),</v>
      </c>
      <c r="R694" s="7" t="str">
        <f t="shared" si="33"/>
        <v>(1970,24,'1970.06.13',12,15,42,45,87),</v>
      </c>
    </row>
    <row r="695" spans="1:18" x14ac:dyDescent="0.25">
      <c r="A695" s="7" t="s">
        <v>5863</v>
      </c>
      <c r="B695" s="8" t="s">
        <v>152</v>
      </c>
      <c r="C695" s="10">
        <f t="shared" si="32"/>
        <v>25739</v>
      </c>
      <c r="D695" t="s">
        <v>11</v>
      </c>
      <c r="E695" t="s">
        <v>12</v>
      </c>
      <c r="F695" t="s">
        <v>11</v>
      </c>
      <c r="G695" t="s">
        <v>12</v>
      </c>
      <c r="H695" t="s">
        <v>11</v>
      </c>
      <c r="I695" t="s">
        <v>12</v>
      </c>
      <c r="J695" t="s">
        <v>11</v>
      </c>
      <c r="K695" t="s">
        <v>12</v>
      </c>
      <c r="L695" s="12" t="s">
        <v>42</v>
      </c>
      <c r="M695" s="12" t="s">
        <v>25</v>
      </c>
      <c r="N695" s="12" t="s">
        <v>36</v>
      </c>
      <c r="O695" s="12" t="s">
        <v>10</v>
      </c>
      <c r="P695" s="12" t="s">
        <v>35</v>
      </c>
      <c r="Q695" s="7" t="str">
        <f t="shared" si="31"/>
        <v>(1970,25,'1970.06.20',3,34,38,40,65,0),</v>
      </c>
      <c r="R695" s="7" t="str">
        <f t="shared" si="33"/>
        <v>(1970,25,'1970.06.20',3,34,38,40,65),</v>
      </c>
    </row>
    <row r="696" spans="1:18" x14ac:dyDescent="0.25">
      <c r="A696" s="7" t="s">
        <v>5863</v>
      </c>
      <c r="B696" s="8" t="s">
        <v>74</v>
      </c>
      <c r="C696" s="10">
        <f t="shared" si="32"/>
        <v>25746</v>
      </c>
      <c r="D696" t="s">
        <v>11</v>
      </c>
      <c r="E696" t="s">
        <v>12</v>
      </c>
      <c r="F696" t="s">
        <v>11</v>
      </c>
      <c r="G696" t="s">
        <v>12</v>
      </c>
      <c r="H696" t="s">
        <v>11</v>
      </c>
      <c r="I696" t="s">
        <v>12</v>
      </c>
      <c r="J696" t="s">
        <v>11</v>
      </c>
      <c r="K696" t="s">
        <v>12</v>
      </c>
      <c r="L696" s="12" t="s">
        <v>83</v>
      </c>
      <c r="M696" s="12" t="s">
        <v>64</v>
      </c>
      <c r="N696" s="12" t="s">
        <v>122</v>
      </c>
      <c r="O696" s="12" t="s">
        <v>199</v>
      </c>
      <c r="P696" s="12" t="s">
        <v>186</v>
      </c>
      <c r="Q696" s="7" t="str">
        <f t="shared" si="31"/>
        <v>(1970,26,'1970.06.27',11,35,51,53,90,0),</v>
      </c>
      <c r="R696" s="7" t="str">
        <f t="shared" si="33"/>
        <v>(1970,26,'1970.06.27',11,35,51,53,90),</v>
      </c>
    </row>
    <row r="697" spans="1:18" x14ac:dyDescent="0.25">
      <c r="A697" s="7" t="s">
        <v>5863</v>
      </c>
      <c r="B697" s="8" t="s">
        <v>135</v>
      </c>
      <c r="C697" s="10">
        <f t="shared" si="32"/>
        <v>25753</v>
      </c>
      <c r="D697" t="s">
        <v>11</v>
      </c>
      <c r="E697" t="s">
        <v>12</v>
      </c>
      <c r="F697" t="s">
        <v>11</v>
      </c>
      <c r="G697" t="s">
        <v>12</v>
      </c>
      <c r="H697" t="s">
        <v>11</v>
      </c>
      <c r="I697" t="s">
        <v>12</v>
      </c>
      <c r="J697" t="s">
        <v>11</v>
      </c>
      <c r="K697" t="s">
        <v>12</v>
      </c>
      <c r="L697" s="12" t="s">
        <v>24</v>
      </c>
      <c r="M697" s="12" t="s">
        <v>105</v>
      </c>
      <c r="N697" s="12" t="s">
        <v>122</v>
      </c>
      <c r="O697" s="12" t="s">
        <v>82</v>
      </c>
      <c r="P697" s="12" t="s">
        <v>201</v>
      </c>
      <c r="Q697" s="7" t="str">
        <f t="shared" si="31"/>
        <v>(1970,27,'1970.07.04',39,50,51,59,72,0),</v>
      </c>
      <c r="R697" s="7" t="str">
        <f t="shared" si="33"/>
        <v>(1970,27,'1970.07.04',39,50,51,59,72),</v>
      </c>
    </row>
    <row r="698" spans="1:18" x14ac:dyDescent="0.25">
      <c r="A698" s="7" t="s">
        <v>5863</v>
      </c>
      <c r="B698" s="8" t="s">
        <v>126</v>
      </c>
      <c r="C698" s="10">
        <f t="shared" si="32"/>
        <v>25760</v>
      </c>
      <c r="D698" t="s">
        <v>11</v>
      </c>
      <c r="E698" t="s">
        <v>12</v>
      </c>
      <c r="F698" t="s">
        <v>11</v>
      </c>
      <c r="G698" t="s">
        <v>12</v>
      </c>
      <c r="H698" t="s">
        <v>11</v>
      </c>
      <c r="I698" t="s">
        <v>12</v>
      </c>
      <c r="J698" t="s">
        <v>11</v>
      </c>
      <c r="K698" t="s">
        <v>12</v>
      </c>
      <c r="L698" s="12" t="s">
        <v>108</v>
      </c>
      <c r="M698" s="12" t="s">
        <v>152</v>
      </c>
      <c r="N698" s="12" t="s">
        <v>124</v>
      </c>
      <c r="O698" s="12" t="s">
        <v>200</v>
      </c>
      <c r="P698" s="12" t="s">
        <v>239</v>
      </c>
      <c r="Q698" s="7" t="str">
        <f t="shared" si="31"/>
        <v>(1970,28,'1970.07.11',1,25,62,70,73,0),</v>
      </c>
      <c r="R698" s="7" t="str">
        <f t="shared" si="33"/>
        <v>(1970,28,'1970.07.11',1,25,62,70,73),</v>
      </c>
    </row>
    <row r="699" spans="1:18" x14ac:dyDescent="0.25">
      <c r="A699" s="7" t="s">
        <v>5863</v>
      </c>
      <c r="B699" s="8" t="s">
        <v>116</v>
      </c>
      <c r="C699" s="10">
        <f t="shared" si="32"/>
        <v>25767</v>
      </c>
      <c r="D699" t="s">
        <v>11</v>
      </c>
      <c r="E699" t="s">
        <v>12</v>
      </c>
      <c r="F699" t="s">
        <v>11</v>
      </c>
      <c r="G699" t="s">
        <v>12</v>
      </c>
      <c r="H699" t="s">
        <v>11</v>
      </c>
      <c r="I699" t="s">
        <v>12</v>
      </c>
      <c r="J699" t="s">
        <v>11</v>
      </c>
      <c r="K699" t="s">
        <v>12</v>
      </c>
      <c r="L699" s="12" t="s">
        <v>142</v>
      </c>
      <c r="M699" s="12" t="s">
        <v>81</v>
      </c>
      <c r="N699" s="12" t="s">
        <v>22</v>
      </c>
      <c r="O699" s="12" t="s">
        <v>175</v>
      </c>
      <c r="P699" s="12" t="s">
        <v>23</v>
      </c>
      <c r="Q699" s="7" t="str">
        <f t="shared" si="31"/>
        <v>(1970,29,'1970.07.18',44,47,48,55,60,0),</v>
      </c>
      <c r="R699" s="7" t="str">
        <f t="shared" si="33"/>
        <v>(1970,29,'1970.07.18',44,47,48,55,60),</v>
      </c>
    </row>
    <row r="700" spans="1:18" x14ac:dyDescent="0.25">
      <c r="A700" s="7" t="s">
        <v>5863</v>
      </c>
      <c r="B700" s="8" t="s">
        <v>107</v>
      </c>
      <c r="C700" s="10">
        <f t="shared" si="32"/>
        <v>25774</v>
      </c>
      <c r="D700" t="s">
        <v>11</v>
      </c>
      <c r="E700" t="s">
        <v>12</v>
      </c>
      <c r="F700" t="s">
        <v>11</v>
      </c>
      <c r="G700" t="s">
        <v>12</v>
      </c>
      <c r="H700" t="s">
        <v>11</v>
      </c>
      <c r="I700" t="s">
        <v>12</v>
      </c>
      <c r="J700" t="s">
        <v>11</v>
      </c>
      <c r="K700" t="s">
        <v>12</v>
      </c>
      <c r="L700" s="12" t="s">
        <v>42</v>
      </c>
      <c r="M700" s="12" t="s">
        <v>62</v>
      </c>
      <c r="N700" s="12" t="s">
        <v>163</v>
      </c>
      <c r="O700" s="12" t="s">
        <v>246</v>
      </c>
      <c r="P700" s="12" t="s">
        <v>269</v>
      </c>
      <c r="Q700" s="7" t="str">
        <f t="shared" si="31"/>
        <v>(1970,30,'1970.07.25',3,10,23,84,87,0),</v>
      </c>
      <c r="R700" s="7" t="str">
        <f t="shared" si="33"/>
        <v>(1970,30,'1970.07.25',3,10,23,84,87),</v>
      </c>
    </row>
    <row r="701" spans="1:18" x14ac:dyDescent="0.25">
      <c r="A701" s="7" t="s">
        <v>5863</v>
      </c>
      <c r="B701" s="8" t="s">
        <v>71</v>
      </c>
      <c r="C701" s="10">
        <f t="shared" si="32"/>
        <v>25781</v>
      </c>
      <c r="D701" t="s">
        <v>11</v>
      </c>
      <c r="E701" t="s">
        <v>12</v>
      </c>
      <c r="F701" t="s">
        <v>11</v>
      </c>
      <c r="G701" t="s">
        <v>12</v>
      </c>
      <c r="H701" t="s">
        <v>11</v>
      </c>
      <c r="I701" t="s">
        <v>12</v>
      </c>
      <c r="J701" t="s">
        <v>11</v>
      </c>
      <c r="K701" t="s">
        <v>12</v>
      </c>
      <c r="L701" s="12" t="s">
        <v>55</v>
      </c>
      <c r="M701" s="12" t="s">
        <v>163</v>
      </c>
      <c r="N701" s="12" t="s">
        <v>152</v>
      </c>
      <c r="O701" s="12" t="s">
        <v>199</v>
      </c>
      <c r="P701" s="12" t="s">
        <v>151</v>
      </c>
      <c r="Q701" s="7" t="str">
        <f t="shared" si="31"/>
        <v>(1970,31,'1970.08.01',19,23,25,53,79,0),</v>
      </c>
      <c r="R701" s="7" t="str">
        <f t="shared" si="33"/>
        <v>(1970,31,'1970.08.01',19,23,25,53,79),</v>
      </c>
    </row>
    <row r="702" spans="1:18" x14ac:dyDescent="0.25">
      <c r="A702" s="7" t="s">
        <v>5863</v>
      </c>
      <c r="B702" s="8" t="s">
        <v>80</v>
      </c>
      <c r="C702" s="10">
        <f t="shared" si="32"/>
        <v>25788</v>
      </c>
      <c r="D702" t="s">
        <v>11</v>
      </c>
      <c r="E702" t="s">
        <v>12</v>
      </c>
      <c r="F702" t="s">
        <v>11</v>
      </c>
      <c r="G702" t="s">
        <v>12</v>
      </c>
      <c r="H702" t="s">
        <v>11</v>
      </c>
      <c r="I702" t="s">
        <v>12</v>
      </c>
      <c r="J702" t="s">
        <v>11</v>
      </c>
      <c r="K702" t="s">
        <v>12</v>
      </c>
      <c r="L702" s="12" t="s">
        <v>89</v>
      </c>
      <c r="M702" s="12" t="s">
        <v>31</v>
      </c>
      <c r="N702" s="12" t="s">
        <v>124</v>
      </c>
      <c r="O702" s="12" t="s">
        <v>106</v>
      </c>
      <c r="P702" s="12" t="s">
        <v>186</v>
      </c>
      <c r="Q702" s="7" t="str">
        <f t="shared" si="31"/>
        <v>(1970,32,'1970.08.08',5,12,62,75,90,0),</v>
      </c>
      <c r="R702" s="7" t="str">
        <f t="shared" si="33"/>
        <v>(1970,32,'1970.08.08',5,12,62,75,90),</v>
      </c>
    </row>
    <row r="703" spans="1:18" x14ac:dyDescent="0.25">
      <c r="A703" s="7" t="s">
        <v>5863</v>
      </c>
      <c r="B703" s="8" t="s">
        <v>20</v>
      </c>
      <c r="C703" s="10">
        <f t="shared" si="32"/>
        <v>25795</v>
      </c>
      <c r="D703" t="s">
        <v>11</v>
      </c>
      <c r="E703" t="s">
        <v>12</v>
      </c>
      <c r="F703" t="s">
        <v>11</v>
      </c>
      <c r="G703" t="s">
        <v>12</v>
      </c>
      <c r="H703" t="s">
        <v>11</v>
      </c>
      <c r="I703" t="s">
        <v>12</v>
      </c>
      <c r="J703" t="s">
        <v>11</v>
      </c>
      <c r="K703" t="s">
        <v>12</v>
      </c>
      <c r="L703" s="12" t="s">
        <v>207</v>
      </c>
      <c r="M703" s="12" t="s">
        <v>31</v>
      </c>
      <c r="N703" s="12" t="s">
        <v>126</v>
      </c>
      <c r="O703" s="12" t="s">
        <v>248</v>
      </c>
      <c r="P703" s="12" t="s">
        <v>151</v>
      </c>
      <c r="Q703" s="7" t="str">
        <f t="shared" si="31"/>
        <v>(1970,33,'1970.08.15',2,12,28,63,79,0),</v>
      </c>
      <c r="R703" s="7" t="str">
        <f t="shared" si="33"/>
        <v>(1970,33,'1970.08.15',2,12,28,63,79),</v>
      </c>
    </row>
    <row r="704" spans="1:18" x14ac:dyDescent="0.25">
      <c r="A704" s="7" t="s">
        <v>5863</v>
      </c>
      <c r="B704" s="8" t="s">
        <v>25</v>
      </c>
      <c r="C704" s="10">
        <f t="shared" si="32"/>
        <v>25802</v>
      </c>
      <c r="D704" t="s">
        <v>11</v>
      </c>
      <c r="E704" t="s">
        <v>12</v>
      </c>
      <c r="F704" t="s">
        <v>11</v>
      </c>
      <c r="G704" t="s">
        <v>12</v>
      </c>
      <c r="H704" t="s">
        <v>11</v>
      </c>
      <c r="I704" t="s">
        <v>12</v>
      </c>
      <c r="J704" t="s">
        <v>11</v>
      </c>
      <c r="K704" t="s">
        <v>12</v>
      </c>
      <c r="L704" s="12" t="s">
        <v>32</v>
      </c>
      <c r="M704" s="12" t="s">
        <v>107</v>
      </c>
      <c r="N704" s="12" t="s">
        <v>20</v>
      </c>
      <c r="O704" s="12" t="s">
        <v>21</v>
      </c>
      <c r="P704" s="12" t="s">
        <v>186</v>
      </c>
      <c r="Q704" s="7" t="str">
        <f t="shared" si="31"/>
        <v>(1970,34,'1970.08.22',22,30,33,36,90,0),</v>
      </c>
      <c r="R704" s="7" t="str">
        <f t="shared" si="33"/>
        <v>(1970,34,'1970.08.22',22,30,33,36,90),</v>
      </c>
    </row>
    <row r="705" spans="1:18" x14ac:dyDescent="0.25">
      <c r="A705" s="7" t="s">
        <v>5863</v>
      </c>
      <c r="B705" s="8" t="s">
        <v>64</v>
      </c>
      <c r="C705" s="10">
        <f t="shared" si="32"/>
        <v>25809</v>
      </c>
      <c r="D705" t="s">
        <v>11</v>
      </c>
      <c r="E705" t="s">
        <v>12</v>
      </c>
      <c r="F705" t="s">
        <v>11</v>
      </c>
      <c r="G705" t="s">
        <v>12</v>
      </c>
      <c r="H705" t="s">
        <v>11</v>
      </c>
      <c r="I705" t="s">
        <v>12</v>
      </c>
      <c r="J705" t="s">
        <v>11</v>
      </c>
      <c r="K705" t="s">
        <v>12</v>
      </c>
      <c r="L705" s="12" t="s">
        <v>168</v>
      </c>
      <c r="M705" s="12" t="s">
        <v>53</v>
      </c>
      <c r="N705" s="12" t="s">
        <v>152</v>
      </c>
      <c r="O705" s="12" t="s">
        <v>200</v>
      </c>
      <c r="P705" s="12" t="s">
        <v>63</v>
      </c>
      <c r="Q705" s="7" t="str">
        <f t="shared" si="31"/>
        <v>(1970,35,'1970.08.29',4,7,25,70,78,0),</v>
      </c>
      <c r="R705" s="7" t="str">
        <f t="shared" si="33"/>
        <v>(1970,35,'1970.08.29',4,7,25,70,78),</v>
      </c>
    </row>
    <row r="706" spans="1:18" x14ac:dyDescent="0.25">
      <c r="A706" s="7" t="s">
        <v>5863</v>
      </c>
      <c r="B706" s="8" t="s">
        <v>21</v>
      </c>
      <c r="C706" s="10">
        <f t="shared" si="32"/>
        <v>25816</v>
      </c>
      <c r="D706" t="s">
        <v>11</v>
      </c>
      <c r="E706" t="s">
        <v>12</v>
      </c>
      <c r="F706" t="s">
        <v>11</v>
      </c>
      <c r="G706" t="s">
        <v>12</v>
      </c>
      <c r="H706" t="s">
        <v>11</v>
      </c>
      <c r="I706" t="s">
        <v>12</v>
      </c>
      <c r="J706" t="s">
        <v>11</v>
      </c>
      <c r="K706" t="s">
        <v>12</v>
      </c>
      <c r="L706" s="12" t="s">
        <v>127</v>
      </c>
      <c r="M706" s="12" t="s">
        <v>33</v>
      </c>
      <c r="N706" s="12" t="s">
        <v>107</v>
      </c>
      <c r="O706" s="12" t="s">
        <v>169</v>
      </c>
      <c r="P706" s="12" t="s">
        <v>91</v>
      </c>
      <c r="Q706" s="7" t="str">
        <f t="shared" ref="Q706:Q769" si="34">"("&amp;A706&amp;","&amp;B706&amp;",'"&amp;TEXT(C706,"éééé.hh.nn")&amp;"',"&amp;L706&amp;","&amp;M706&amp;","&amp;N706&amp;","&amp;O706&amp;","&amp;P706&amp;",0)"&amp;IF(P707&lt;&gt;0,",","")</f>
        <v>(1970,36,'1970.09.05',14,24,30,58,61,0),</v>
      </c>
      <c r="R706" s="7" t="str">
        <f t="shared" si="33"/>
        <v>(1970,36,'1970.09.05',14,24,30,58,61),</v>
      </c>
    </row>
    <row r="707" spans="1:18" x14ac:dyDescent="0.25">
      <c r="A707" s="7" t="s">
        <v>5863</v>
      </c>
      <c r="B707" s="8" t="s">
        <v>46</v>
      </c>
      <c r="C707" s="10">
        <f t="shared" ref="C707:C770" si="35">+C706+7</f>
        <v>25823</v>
      </c>
      <c r="D707" t="s">
        <v>11</v>
      </c>
      <c r="E707" t="s">
        <v>12</v>
      </c>
      <c r="F707" t="s">
        <v>11</v>
      </c>
      <c r="G707" t="s">
        <v>12</v>
      </c>
      <c r="H707" t="s">
        <v>11</v>
      </c>
      <c r="I707" t="s">
        <v>12</v>
      </c>
      <c r="J707" t="s">
        <v>11</v>
      </c>
      <c r="K707" t="s">
        <v>12</v>
      </c>
      <c r="L707" s="12" t="s">
        <v>54</v>
      </c>
      <c r="M707" s="12" t="s">
        <v>43</v>
      </c>
      <c r="N707" s="12" t="s">
        <v>20</v>
      </c>
      <c r="O707" s="12" t="s">
        <v>124</v>
      </c>
      <c r="P707" s="12" t="s">
        <v>63</v>
      </c>
      <c r="Q707" s="7" t="str">
        <f t="shared" si="34"/>
        <v>(1970,37,'1970.09.12',15,16,33,62,78,0),</v>
      </c>
      <c r="R707" s="7" t="str">
        <f t="shared" ref="R707:R770" si="36">IF(TRIM(P707)="","","("&amp;A707&amp;","&amp;B707&amp;",'"&amp;TEXT(C707,"éééé.hh.nn")&amp;"',"&amp;L707&amp;","&amp;M707&amp;","&amp;N707&amp;","&amp;O707&amp;","&amp;P707&amp;")"&amp;IF(P708=0,";",","))</f>
        <v>(1970,37,'1970.09.12',15,16,33,62,78),</v>
      </c>
    </row>
    <row r="708" spans="1:18" x14ac:dyDescent="0.25">
      <c r="A708" s="7" t="s">
        <v>5863</v>
      </c>
      <c r="B708" s="8" t="s">
        <v>36</v>
      </c>
      <c r="C708" s="10">
        <f t="shared" si="35"/>
        <v>25830</v>
      </c>
      <c r="D708" t="s">
        <v>11</v>
      </c>
      <c r="E708" t="s">
        <v>12</v>
      </c>
      <c r="F708" t="s">
        <v>11</v>
      </c>
      <c r="G708" t="s">
        <v>12</v>
      </c>
      <c r="H708" t="s">
        <v>11</v>
      </c>
      <c r="I708" t="s">
        <v>12</v>
      </c>
      <c r="J708" t="s">
        <v>11</v>
      </c>
      <c r="K708" t="s">
        <v>12</v>
      </c>
      <c r="L708" s="12" t="s">
        <v>108</v>
      </c>
      <c r="M708" s="12" t="s">
        <v>142</v>
      </c>
      <c r="N708" s="12" t="s">
        <v>175</v>
      </c>
      <c r="O708" s="12" t="s">
        <v>91</v>
      </c>
      <c r="P708" s="12" t="s">
        <v>233</v>
      </c>
      <c r="Q708" s="7" t="str">
        <f t="shared" si="34"/>
        <v>(1970,38,'1970.09.19',1,44,55,61,66,0),</v>
      </c>
      <c r="R708" s="7" t="str">
        <f t="shared" si="36"/>
        <v>(1970,38,'1970.09.19',1,44,55,61,66),</v>
      </c>
    </row>
    <row r="709" spans="1:18" x14ac:dyDescent="0.25">
      <c r="A709" s="7" t="s">
        <v>5863</v>
      </c>
      <c r="B709" s="8" t="s">
        <v>24</v>
      </c>
      <c r="C709" s="10">
        <f t="shared" si="35"/>
        <v>25837</v>
      </c>
      <c r="D709" t="s">
        <v>11</v>
      </c>
      <c r="E709" t="s">
        <v>12</v>
      </c>
      <c r="F709" t="s">
        <v>11</v>
      </c>
      <c r="G709" t="s">
        <v>12</v>
      </c>
      <c r="H709" t="s">
        <v>11</v>
      </c>
      <c r="I709" t="s">
        <v>12</v>
      </c>
      <c r="J709" t="s">
        <v>11</v>
      </c>
      <c r="K709" t="s">
        <v>12</v>
      </c>
      <c r="L709" s="12" t="s">
        <v>74</v>
      </c>
      <c r="M709" s="12" t="s">
        <v>80</v>
      </c>
      <c r="N709" s="12" t="s">
        <v>134</v>
      </c>
      <c r="O709" s="12" t="s">
        <v>214</v>
      </c>
      <c r="P709" s="12" t="s">
        <v>308</v>
      </c>
      <c r="Q709" s="7" t="str">
        <f t="shared" si="34"/>
        <v>(1970,39,'1970.09.26',26,32,56,64,86,0),</v>
      </c>
      <c r="R709" s="7" t="str">
        <f t="shared" si="36"/>
        <v>(1970,39,'1970.09.26',26,32,56,64,86),</v>
      </c>
    </row>
    <row r="710" spans="1:18" x14ac:dyDescent="0.25">
      <c r="A710" s="7" t="s">
        <v>5863</v>
      </c>
      <c r="B710" s="8" t="s">
        <v>10</v>
      </c>
      <c r="C710" s="10">
        <f t="shared" si="35"/>
        <v>25844</v>
      </c>
      <c r="D710" t="s">
        <v>11</v>
      </c>
      <c r="E710" t="s">
        <v>12</v>
      </c>
      <c r="F710" t="s">
        <v>11</v>
      </c>
      <c r="G710" t="s">
        <v>12</v>
      </c>
      <c r="H710" t="s">
        <v>11</v>
      </c>
      <c r="I710" t="s">
        <v>12</v>
      </c>
      <c r="J710" t="s">
        <v>11</v>
      </c>
      <c r="K710" t="s">
        <v>12</v>
      </c>
      <c r="L710" s="12" t="s">
        <v>152</v>
      </c>
      <c r="M710" s="12" t="s">
        <v>20</v>
      </c>
      <c r="N710" s="12" t="s">
        <v>46</v>
      </c>
      <c r="O710" s="12" t="s">
        <v>192</v>
      </c>
      <c r="P710" s="12" t="s">
        <v>35</v>
      </c>
      <c r="Q710" s="7" t="str">
        <f t="shared" si="34"/>
        <v>(1970,40,'1970.10.03',25,33,37,46,65,0),</v>
      </c>
      <c r="R710" s="7" t="str">
        <f t="shared" si="36"/>
        <v>(1970,40,'1970.10.03',25,33,37,46,65),</v>
      </c>
    </row>
    <row r="711" spans="1:18" x14ac:dyDescent="0.25">
      <c r="A711" s="7" t="s">
        <v>5863</v>
      </c>
      <c r="B711" s="8" t="s">
        <v>13</v>
      </c>
      <c r="C711" s="10">
        <f t="shared" si="35"/>
        <v>25851</v>
      </c>
      <c r="D711" t="s">
        <v>11</v>
      </c>
      <c r="E711" t="s">
        <v>12</v>
      </c>
      <c r="F711" t="s">
        <v>11</v>
      </c>
      <c r="G711" t="s">
        <v>12</v>
      </c>
      <c r="H711" t="s">
        <v>11</v>
      </c>
      <c r="I711" t="s">
        <v>12</v>
      </c>
      <c r="J711" t="s">
        <v>11</v>
      </c>
      <c r="K711" t="s">
        <v>12</v>
      </c>
      <c r="L711" s="12" t="s">
        <v>43</v>
      </c>
      <c r="M711" s="12" t="s">
        <v>13</v>
      </c>
      <c r="N711" s="12" t="s">
        <v>35</v>
      </c>
      <c r="O711" s="12" t="s">
        <v>301</v>
      </c>
      <c r="P711" s="12" t="s">
        <v>622</v>
      </c>
      <c r="Q711" s="7" t="str">
        <f t="shared" si="34"/>
        <v>(1970,41,'1970.10.10',16,41,65,80,82,0),</v>
      </c>
      <c r="R711" s="7" t="str">
        <f t="shared" si="36"/>
        <v>(1970,41,'1970.10.10',16,41,65,80,82),</v>
      </c>
    </row>
    <row r="712" spans="1:18" x14ac:dyDescent="0.25">
      <c r="A712" s="7" t="s">
        <v>5863</v>
      </c>
      <c r="B712" s="8" t="s">
        <v>98</v>
      </c>
      <c r="C712" s="10">
        <f t="shared" si="35"/>
        <v>25858</v>
      </c>
      <c r="D712" t="s">
        <v>11</v>
      </c>
      <c r="E712" t="s">
        <v>12</v>
      </c>
      <c r="F712" t="s">
        <v>11</v>
      </c>
      <c r="G712" t="s">
        <v>12</v>
      </c>
      <c r="H712" t="s">
        <v>11</v>
      </c>
      <c r="I712" t="s">
        <v>12</v>
      </c>
      <c r="J712" t="s">
        <v>11</v>
      </c>
      <c r="K712" t="s">
        <v>12</v>
      </c>
      <c r="L712" s="12" t="s">
        <v>168</v>
      </c>
      <c r="M712" s="12" t="s">
        <v>62</v>
      </c>
      <c r="N712" s="12" t="s">
        <v>24</v>
      </c>
      <c r="O712" s="12" t="s">
        <v>142</v>
      </c>
      <c r="P712" s="12" t="s">
        <v>73</v>
      </c>
      <c r="Q712" s="7" t="str">
        <f t="shared" si="34"/>
        <v>(1970,42,'1970.10.17',4,10,39,44,76,0),</v>
      </c>
      <c r="R712" s="7" t="str">
        <f t="shared" si="36"/>
        <v>(1970,42,'1970.10.17',4,10,39,44,76),</v>
      </c>
    </row>
    <row r="713" spans="1:18" x14ac:dyDescent="0.25">
      <c r="A713" s="7" t="s">
        <v>5863</v>
      </c>
      <c r="B713" s="8" t="s">
        <v>45</v>
      </c>
      <c r="C713" s="10">
        <f t="shared" si="35"/>
        <v>25865</v>
      </c>
      <c r="D713" t="s">
        <v>11</v>
      </c>
      <c r="E713" t="s">
        <v>12</v>
      </c>
      <c r="F713" t="s">
        <v>11</v>
      </c>
      <c r="G713" t="s">
        <v>12</v>
      </c>
      <c r="H713" t="s">
        <v>11</v>
      </c>
      <c r="I713" t="s">
        <v>12</v>
      </c>
      <c r="J713" t="s">
        <v>11</v>
      </c>
      <c r="K713" t="s">
        <v>12</v>
      </c>
      <c r="L713" s="12" t="s">
        <v>65</v>
      </c>
      <c r="M713" s="12" t="s">
        <v>142</v>
      </c>
      <c r="N713" s="12" t="s">
        <v>248</v>
      </c>
      <c r="O713" s="12" t="s">
        <v>468</v>
      </c>
      <c r="P713" s="12" t="s">
        <v>308</v>
      </c>
      <c r="Q713" s="7" t="str">
        <f t="shared" si="34"/>
        <v>(1970,43,'1970.10.24',13,44,63,85,86,0),</v>
      </c>
      <c r="R713" s="7" t="str">
        <f t="shared" si="36"/>
        <v>(1970,43,'1970.10.24',13,44,63,85,86),</v>
      </c>
    </row>
    <row r="714" spans="1:18" x14ac:dyDescent="0.25">
      <c r="A714" s="7" t="s">
        <v>5863</v>
      </c>
      <c r="B714" s="8" t="s">
        <v>142</v>
      </c>
      <c r="C714" s="10">
        <f t="shared" si="35"/>
        <v>25872</v>
      </c>
      <c r="D714" t="s">
        <v>11</v>
      </c>
      <c r="E714" t="s">
        <v>12</v>
      </c>
      <c r="F714" t="s">
        <v>11</v>
      </c>
      <c r="G714" t="s">
        <v>12</v>
      </c>
      <c r="H714" t="s">
        <v>11</v>
      </c>
      <c r="I714" t="s">
        <v>12</v>
      </c>
      <c r="J714" t="s">
        <v>11</v>
      </c>
      <c r="K714" t="s">
        <v>12</v>
      </c>
      <c r="L714" s="12" t="s">
        <v>19</v>
      </c>
      <c r="M714" s="12" t="s">
        <v>33</v>
      </c>
      <c r="N714" s="12" t="s">
        <v>135</v>
      </c>
      <c r="O714" s="12" t="s">
        <v>192</v>
      </c>
      <c r="P714" s="12" t="s">
        <v>91</v>
      </c>
      <c r="Q714" s="7" t="str">
        <f t="shared" si="34"/>
        <v>(1970,44,'1970.10.31',18,24,27,46,61,0),</v>
      </c>
      <c r="R714" s="7" t="str">
        <f t="shared" si="36"/>
        <v>(1970,44,'1970.10.31',18,24,27,46,61),</v>
      </c>
    </row>
    <row r="715" spans="1:18" x14ac:dyDescent="0.25">
      <c r="A715" s="7" t="s">
        <v>5863</v>
      </c>
      <c r="B715" s="8" t="s">
        <v>133</v>
      </c>
      <c r="C715" s="10">
        <f t="shared" si="35"/>
        <v>25879</v>
      </c>
      <c r="D715" t="s">
        <v>11</v>
      </c>
      <c r="E715" t="s">
        <v>12</v>
      </c>
      <c r="F715" t="s">
        <v>11</v>
      </c>
      <c r="G715" t="s">
        <v>12</v>
      </c>
      <c r="H715" t="s">
        <v>11</v>
      </c>
      <c r="I715" t="s">
        <v>12</v>
      </c>
      <c r="J715" t="s">
        <v>11</v>
      </c>
      <c r="K715" t="s">
        <v>12</v>
      </c>
      <c r="L715" s="12" t="s">
        <v>115</v>
      </c>
      <c r="M715" s="12" t="s">
        <v>34</v>
      </c>
      <c r="N715" s="12" t="s">
        <v>105</v>
      </c>
      <c r="O715" s="12" t="s">
        <v>151</v>
      </c>
      <c r="P715" s="12" t="s">
        <v>246</v>
      </c>
      <c r="Q715" s="7" t="str">
        <f t="shared" si="34"/>
        <v>(1970,45,'1970.11.07',20,49,50,79,84,0),</v>
      </c>
      <c r="R715" s="7" t="str">
        <f t="shared" si="36"/>
        <v>(1970,45,'1970.11.07',20,49,50,79,84),</v>
      </c>
    </row>
    <row r="716" spans="1:18" x14ac:dyDescent="0.25">
      <c r="A716" s="7" t="s">
        <v>5863</v>
      </c>
      <c r="B716" s="8" t="s">
        <v>192</v>
      </c>
      <c r="C716" s="10">
        <f t="shared" si="35"/>
        <v>25886</v>
      </c>
      <c r="D716" t="s">
        <v>11</v>
      </c>
      <c r="E716" t="s">
        <v>12</v>
      </c>
      <c r="F716" t="s">
        <v>11</v>
      </c>
      <c r="G716" t="s">
        <v>12</v>
      </c>
      <c r="H716" t="s">
        <v>11</v>
      </c>
      <c r="I716" t="s">
        <v>12</v>
      </c>
      <c r="J716" t="s">
        <v>11</v>
      </c>
      <c r="K716" t="s">
        <v>12</v>
      </c>
      <c r="L716" s="12" t="s">
        <v>55</v>
      </c>
      <c r="M716" s="12" t="s">
        <v>36</v>
      </c>
      <c r="N716" s="12" t="s">
        <v>45</v>
      </c>
      <c r="O716" s="12" t="s">
        <v>248</v>
      </c>
      <c r="P716" s="12" t="s">
        <v>186</v>
      </c>
      <c r="Q716" s="7" t="str">
        <f t="shared" si="34"/>
        <v>(1970,46,'1970.11.14',19,38,43,63,90,0),</v>
      </c>
      <c r="R716" s="7" t="str">
        <f t="shared" si="36"/>
        <v>(1970,46,'1970.11.14',19,38,43,63,90),</v>
      </c>
    </row>
    <row r="717" spans="1:18" x14ac:dyDescent="0.25">
      <c r="A717" s="7" t="s">
        <v>5863</v>
      </c>
      <c r="B717" s="8" t="s">
        <v>81</v>
      </c>
      <c r="C717" s="10">
        <f t="shared" si="35"/>
        <v>25893</v>
      </c>
      <c r="D717" t="s">
        <v>11</v>
      </c>
      <c r="E717" t="s">
        <v>12</v>
      </c>
      <c r="F717" t="s">
        <v>11</v>
      </c>
      <c r="G717" t="s">
        <v>12</v>
      </c>
      <c r="H717" t="s">
        <v>11</v>
      </c>
      <c r="I717" t="s">
        <v>12</v>
      </c>
      <c r="J717" t="s">
        <v>11</v>
      </c>
      <c r="K717" t="s">
        <v>12</v>
      </c>
      <c r="L717" s="12" t="s">
        <v>32</v>
      </c>
      <c r="M717" s="12" t="s">
        <v>33</v>
      </c>
      <c r="N717" s="12" t="s">
        <v>116</v>
      </c>
      <c r="O717" s="12" t="s">
        <v>245</v>
      </c>
      <c r="P717" s="12" t="s">
        <v>622</v>
      </c>
      <c r="Q717" s="7" t="str">
        <f t="shared" si="34"/>
        <v>(1970,47,'1970.11.21',22,24,29,74,82,0),</v>
      </c>
      <c r="R717" s="7" t="str">
        <f t="shared" si="36"/>
        <v>(1970,47,'1970.11.21',22,24,29,74,82),</v>
      </c>
    </row>
    <row r="718" spans="1:18" x14ac:dyDescent="0.25">
      <c r="A718" s="7" t="s">
        <v>5863</v>
      </c>
      <c r="B718" s="8" t="s">
        <v>22</v>
      </c>
      <c r="C718" s="10">
        <f t="shared" si="35"/>
        <v>25900</v>
      </c>
      <c r="D718" t="s">
        <v>11</v>
      </c>
      <c r="E718" t="s">
        <v>12</v>
      </c>
      <c r="F718" t="s">
        <v>11</v>
      </c>
      <c r="G718" t="s">
        <v>12</v>
      </c>
      <c r="H718" t="s">
        <v>11</v>
      </c>
      <c r="I718" t="s">
        <v>12</v>
      </c>
      <c r="J718" t="s">
        <v>11</v>
      </c>
      <c r="K718" t="s">
        <v>12</v>
      </c>
      <c r="L718" s="12" t="s">
        <v>62</v>
      </c>
      <c r="M718" s="12" t="s">
        <v>90</v>
      </c>
      <c r="N718" s="12" t="s">
        <v>55</v>
      </c>
      <c r="O718" s="12" t="s">
        <v>163</v>
      </c>
      <c r="P718" s="12" t="s">
        <v>81</v>
      </c>
      <c r="Q718" s="7" t="str">
        <f t="shared" si="34"/>
        <v>(1970,48,'1970.11.28',10,17,19,23,47,0),</v>
      </c>
      <c r="R718" s="7" t="str">
        <f t="shared" si="36"/>
        <v>(1970,48,'1970.11.28',10,17,19,23,47),</v>
      </c>
    </row>
    <row r="719" spans="1:18" x14ac:dyDescent="0.25">
      <c r="A719" s="7" t="s">
        <v>5863</v>
      </c>
      <c r="B719" s="8" t="s">
        <v>34</v>
      </c>
      <c r="C719" s="10">
        <f t="shared" si="35"/>
        <v>25907</v>
      </c>
      <c r="D719" t="s">
        <v>11</v>
      </c>
      <c r="E719" t="s">
        <v>12</v>
      </c>
      <c r="F719" t="s">
        <v>11</v>
      </c>
      <c r="G719" t="s">
        <v>12</v>
      </c>
      <c r="H719" t="s">
        <v>11</v>
      </c>
      <c r="I719" t="s">
        <v>12</v>
      </c>
      <c r="J719" t="s">
        <v>11</v>
      </c>
      <c r="K719" t="s">
        <v>12</v>
      </c>
      <c r="L719" s="12" t="s">
        <v>232</v>
      </c>
      <c r="M719" s="12" t="s">
        <v>71</v>
      </c>
      <c r="N719" s="12" t="s">
        <v>46</v>
      </c>
      <c r="O719" s="12" t="s">
        <v>91</v>
      </c>
      <c r="P719" s="12" t="s">
        <v>201</v>
      </c>
      <c r="Q719" s="7" t="str">
        <f t="shared" si="34"/>
        <v>(1970,49,'1970.12.05',8,31,37,61,72,0),</v>
      </c>
      <c r="R719" s="7" t="str">
        <f t="shared" si="36"/>
        <v>(1970,49,'1970.12.05',8,31,37,61,72),</v>
      </c>
    </row>
    <row r="720" spans="1:18" x14ac:dyDescent="0.25">
      <c r="A720" s="7" t="s">
        <v>5863</v>
      </c>
      <c r="B720" s="8" t="s">
        <v>105</v>
      </c>
      <c r="C720" s="10">
        <f t="shared" si="35"/>
        <v>25914</v>
      </c>
      <c r="D720" t="s">
        <v>11</v>
      </c>
      <c r="E720" t="s">
        <v>12</v>
      </c>
      <c r="F720" t="s">
        <v>11</v>
      </c>
      <c r="G720" t="s">
        <v>12</v>
      </c>
      <c r="H720" t="s">
        <v>11</v>
      </c>
      <c r="I720" t="s">
        <v>12</v>
      </c>
      <c r="J720" t="s">
        <v>11</v>
      </c>
      <c r="K720" t="s">
        <v>12</v>
      </c>
      <c r="L720" s="12" t="s">
        <v>135</v>
      </c>
      <c r="M720" s="12" t="s">
        <v>10</v>
      </c>
      <c r="N720" s="12" t="s">
        <v>175</v>
      </c>
      <c r="O720" s="12" t="s">
        <v>35</v>
      </c>
      <c r="P720" s="12" t="s">
        <v>200</v>
      </c>
      <c r="Q720" s="7" t="str">
        <f t="shared" si="34"/>
        <v>(1970,50,'1970.12.12',27,40,55,65,70,0),</v>
      </c>
      <c r="R720" s="7" t="str">
        <f t="shared" si="36"/>
        <v>(1970,50,'1970.12.12',27,40,55,65,70),</v>
      </c>
    </row>
    <row r="721" spans="1:18" x14ac:dyDescent="0.25">
      <c r="A721" s="7" t="s">
        <v>5863</v>
      </c>
      <c r="B721" s="8" t="s">
        <v>122</v>
      </c>
      <c r="C721" s="10">
        <f t="shared" si="35"/>
        <v>25921</v>
      </c>
      <c r="D721" t="s">
        <v>11</v>
      </c>
      <c r="E721" t="s">
        <v>12</v>
      </c>
      <c r="F721" t="s">
        <v>11</v>
      </c>
      <c r="G721" t="s">
        <v>12</v>
      </c>
      <c r="H721" t="s">
        <v>11</v>
      </c>
      <c r="I721" t="s">
        <v>12</v>
      </c>
      <c r="J721" t="s">
        <v>11</v>
      </c>
      <c r="K721" t="s">
        <v>12</v>
      </c>
      <c r="L721" s="12" t="s">
        <v>83</v>
      </c>
      <c r="M721" s="12" t="s">
        <v>163</v>
      </c>
      <c r="N721" s="12" t="s">
        <v>46</v>
      </c>
      <c r="O721" s="12" t="s">
        <v>24</v>
      </c>
      <c r="P721" s="12" t="s">
        <v>214</v>
      </c>
      <c r="Q721" s="7" t="str">
        <f t="shared" si="34"/>
        <v>(1970,51,'1970.12.19',11,23,37,39,64,0),</v>
      </c>
      <c r="R721" s="7" t="str">
        <f t="shared" si="36"/>
        <v>(1970,51,'1970.12.19',11,23,37,39,64),</v>
      </c>
    </row>
    <row r="722" spans="1:18" x14ac:dyDescent="0.25">
      <c r="A722" s="7" t="s">
        <v>5863</v>
      </c>
      <c r="B722" s="8" t="s">
        <v>99</v>
      </c>
      <c r="C722" s="10">
        <f t="shared" si="35"/>
        <v>25928</v>
      </c>
      <c r="D722" t="s">
        <v>11</v>
      </c>
      <c r="E722" t="s">
        <v>12</v>
      </c>
      <c r="F722" t="s">
        <v>11</v>
      </c>
      <c r="G722" t="s">
        <v>12</v>
      </c>
      <c r="H722" t="s">
        <v>11</v>
      </c>
      <c r="I722" t="s">
        <v>12</v>
      </c>
      <c r="J722" t="s">
        <v>11</v>
      </c>
      <c r="K722" t="s">
        <v>12</v>
      </c>
      <c r="L722" s="12" t="s">
        <v>163</v>
      </c>
      <c r="M722" s="12" t="s">
        <v>126</v>
      </c>
      <c r="N722" s="12" t="s">
        <v>46</v>
      </c>
      <c r="O722" s="12" t="s">
        <v>123</v>
      </c>
      <c r="P722" s="12" t="s">
        <v>73</v>
      </c>
      <c r="Q722" s="7" t="str">
        <f t="shared" si="34"/>
        <v>(1970,52,'1970.12.26',23,28,37,54,76,0),</v>
      </c>
      <c r="R722" s="7" t="str">
        <f t="shared" si="36"/>
        <v>(1970,52,'1970.12.26',23,28,37,54,76),</v>
      </c>
    </row>
    <row r="723" spans="1:18" x14ac:dyDescent="0.25">
      <c r="A723" s="7" t="s">
        <v>2301</v>
      </c>
      <c r="B723" s="8" t="s">
        <v>108</v>
      </c>
      <c r="C723" s="10">
        <f t="shared" si="35"/>
        <v>25935</v>
      </c>
      <c r="D723" t="s">
        <v>11</v>
      </c>
      <c r="E723" t="s">
        <v>12</v>
      </c>
      <c r="F723" t="s">
        <v>11</v>
      </c>
      <c r="G723" t="s">
        <v>12</v>
      </c>
      <c r="H723" t="s">
        <v>11</v>
      </c>
      <c r="I723" t="s">
        <v>12</v>
      </c>
      <c r="J723" t="s">
        <v>11</v>
      </c>
      <c r="K723" t="s">
        <v>12</v>
      </c>
      <c r="L723" s="12" t="s">
        <v>116</v>
      </c>
      <c r="M723" s="12" t="s">
        <v>142</v>
      </c>
      <c r="N723" s="12" t="s">
        <v>22</v>
      </c>
      <c r="O723" s="12" t="s">
        <v>201</v>
      </c>
      <c r="P723" s="12" t="s">
        <v>208</v>
      </c>
      <c r="Q723" s="7" t="str">
        <f t="shared" si="34"/>
        <v>(1971,1,'1971.01.02',29,44,48,72,88,0),</v>
      </c>
      <c r="R723" s="7" t="str">
        <f t="shared" si="36"/>
        <v>(1971,1,'1971.01.02',29,44,48,72,88),</v>
      </c>
    </row>
    <row r="724" spans="1:18" x14ac:dyDescent="0.25">
      <c r="A724" s="7" t="s">
        <v>2301</v>
      </c>
      <c r="B724" s="8" t="s">
        <v>207</v>
      </c>
      <c r="C724" s="10">
        <f t="shared" si="35"/>
        <v>25942</v>
      </c>
      <c r="D724" t="s">
        <v>11</v>
      </c>
      <c r="E724" t="s">
        <v>12</v>
      </c>
      <c r="F724" t="s">
        <v>11</v>
      </c>
      <c r="G724" t="s">
        <v>12</v>
      </c>
      <c r="H724" t="s">
        <v>11</v>
      </c>
      <c r="I724" t="s">
        <v>12</v>
      </c>
      <c r="J724" t="s">
        <v>11</v>
      </c>
      <c r="K724" t="s">
        <v>12</v>
      </c>
      <c r="L724" s="12" t="s">
        <v>116</v>
      </c>
      <c r="M724" s="12" t="s">
        <v>46</v>
      </c>
      <c r="N724" s="12" t="s">
        <v>245</v>
      </c>
      <c r="O724" s="12" t="s">
        <v>215</v>
      </c>
      <c r="P724" s="12" t="s">
        <v>269</v>
      </c>
      <c r="Q724" s="7" t="str">
        <f t="shared" si="34"/>
        <v>(1971,2,'1971.01.09',29,37,74,81,87,0),</v>
      </c>
      <c r="R724" s="7" t="str">
        <f t="shared" si="36"/>
        <v>(1971,2,'1971.01.09',29,37,74,81,87),</v>
      </c>
    </row>
    <row r="725" spans="1:18" x14ac:dyDescent="0.25">
      <c r="A725" s="7" t="s">
        <v>2301</v>
      </c>
      <c r="B725" s="8" t="s">
        <v>42</v>
      </c>
      <c r="C725" s="10">
        <f t="shared" si="35"/>
        <v>25949</v>
      </c>
      <c r="D725" t="s">
        <v>11</v>
      </c>
      <c r="E725" t="s">
        <v>12</v>
      </c>
      <c r="F725" t="s">
        <v>11</v>
      </c>
      <c r="G725" t="s">
        <v>12</v>
      </c>
      <c r="H725" t="s">
        <v>11</v>
      </c>
      <c r="I725" t="s">
        <v>12</v>
      </c>
      <c r="J725" t="s">
        <v>11</v>
      </c>
      <c r="K725" t="s">
        <v>12</v>
      </c>
      <c r="L725" s="12" t="s">
        <v>270</v>
      </c>
      <c r="M725" s="12" t="s">
        <v>31</v>
      </c>
      <c r="N725" s="12" t="s">
        <v>80</v>
      </c>
      <c r="O725" s="12" t="s">
        <v>25</v>
      </c>
      <c r="P725" s="12" t="s">
        <v>301</v>
      </c>
      <c r="Q725" s="7" t="str">
        <f t="shared" si="34"/>
        <v>(1971,3,'1971.01.16',6,12,32,34,80,0),</v>
      </c>
      <c r="R725" s="7" t="str">
        <f t="shared" si="36"/>
        <v>(1971,3,'1971.01.16',6,12,32,34,80),</v>
      </c>
    </row>
    <row r="726" spans="1:18" x14ac:dyDescent="0.25">
      <c r="A726" s="7" t="s">
        <v>2301</v>
      </c>
      <c r="B726" s="8" t="s">
        <v>168</v>
      </c>
      <c r="C726" s="10">
        <f t="shared" si="35"/>
        <v>25956</v>
      </c>
      <c r="D726" t="s">
        <v>11</v>
      </c>
      <c r="E726" t="s">
        <v>12</v>
      </c>
      <c r="F726" t="s">
        <v>11</v>
      </c>
      <c r="G726" t="s">
        <v>12</v>
      </c>
      <c r="H726" t="s">
        <v>11</v>
      </c>
      <c r="I726" t="s">
        <v>12</v>
      </c>
      <c r="J726" t="s">
        <v>11</v>
      </c>
      <c r="K726" t="s">
        <v>12</v>
      </c>
      <c r="L726" s="12" t="s">
        <v>207</v>
      </c>
      <c r="M726" s="12" t="s">
        <v>20</v>
      </c>
      <c r="N726" s="12" t="s">
        <v>22</v>
      </c>
      <c r="O726" s="12" t="s">
        <v>99</v>
      </c>
      <c r="P726" s="12" t="s">
        <v>123</v>
      </c>
      <c r="Q726" s="7" t="str">
        <f t="shared" si="34"/>
        <v>(1971,4,'1971.01.23',2,33,48,52,54,0),</v>
      </c>
      <c r="R726" s="7" t="str">
        <f t="shared" si="36"/>
        <v>(1971,4,'1971.01.23',2,33,48,52,54),</v>
      </c>
    </row>
    <row r="727" spans="1:18" x14ac:dyDescent="0.25">
      <c r="A727" s="7" t="s">
        <v>2301</v>
      </c>
      <c r="B727" s="8" t="s">
        <v>89</v>
      </c>
      <c r="C727" s="10">
        <f t="shared" si="35"/>
        <v>25963</v>
      </c>
      <c r="D727" t="s">
        <v>11</v>
      </c>
      <c r="E727" t="s">
        <v>12</v>
      </c>
      <c r="F727" t="s">
        <v>11</v>
      </c>
      <c r="G727" t="s">
        <v>12</v>
      </c>
      <c r="H727" t="s">
        <v>11</v>
      </c>
      <c r="I727" t="s">
        <v>12</v>
      </c>
      <c r="J727" t="s">
        <v>11</v>
      </c>
      <c r="K727" t="s">
        <v>12</v>
      </c>
      <c r="L727" s="12" t="s">
        <v>53</v>
      </c>
      <c r="M727" s="12" t="s">
        <v>152</v>
      </c>
      <c r="N727" s="12" t="s">
        <v>13</v>
      </c>
      <c r="O727" s="12" t="s">
        <v>22</v>
      </c>
      <c r="P727" s="12" t="s">
        <v>134</v>
      </c>
      <c r="Q727" s="7" t="str">
        <f t="shared" si="34"/>
        <v>(1971,5,'1971.01.30',7,25,41,48,56,0),</v>
      </c>
      <c r="R727" s="7" t="str">
        <f t="shared" si="36"/>
        <v>(1971,5,'1971.01.30',7,25,41,48,56),</v>
      </c>
    </row>
    <row r="728" spans="1:18" x14ac:dyDescent="0.25">
      <c r="A728" s="7" t="s">
        <v>2301</v>
      </c>
      <c r="B728" s="8" t="s">
        <v>270</v>
      </c>
      <c r="C728" s="10">
        <f t="shared" si="35"/>
        <v>25970</v>
      </c>
      <c r="D728" t="s">
        <v>11</v>
      </c>
      <c r="E728" t="s">
        <v>12</v>
      </c>
      <c r="F728" t="s">
        <v>11</v>
      </c>
      <c r="G728" t="s">
        <v>12</v>
      </c>
      <c r="H728" t="s">
        <v>11</v>
      </c>
      <c r="I728" t="s">
        <v>12</v>
      </c>
      <c r="J728" t="s">
        <v>11</v>
      </c>
      <c r="K728" t="s">
        <v>12</v>
      </c>
      <c r="L728" s="12" t="s">
        <v>53</v>
      </c>
      <c r="M728" s="12" t="s">
        <v>25</v>
      </c>
      <c r="N728" s="12" t="s">
        <v>99</v>
      </c>
      <c r="O728" s="12" t="s">
        <v>199</v>
      </c>
      <c r="P728" s="12" t="s">
        <v>301</v>
      </c>
      <c r="Q728" s="7" t="str">
        <f t="shared" si="34"/>
        <v>(1971,6,'1971.02.06',7,34,52,53,80,0),</v>
      </c>
      <c r="R728" s="7" t="str">
        <f t="shared" si="36"/>
        <v>(1971,6,'1971.02.06',7,34,52,53,80),</v>
      </c>
    </row>
    <row r="729" spans="1:18" x14ac:dyDescent="0.25">
      <c r="A729" s="7" t="s">
        <v>2301</v>
      </c>
      <c r="B729" s="8" t="s">
        <v>53</v>
      </c>
      <c r="C729" s="10">
        <f t="shared" si="35"/>
        <v>25977</v>
      </c>
      <c r="D729" t="s">
        <v>11</v>
      </c>
      <c r="E729" t="s">
        <v>12</v>
      </c>
      <c r="F729" t="s">
        <v>11</v>
      </c>
      <c r="G729" t="s">
        <v>12</v>
      </c>
      <c r="H729" t="s">
        <v>11</v>
      </c>
      <c r="I729" t="s">
        <v>12</v>
      </c>
      <c r="J729" t="s">
        <v>11</v>
      </c>
      <c r="K729" t="s">
        <v>12</v>
      </c>
      <c r="L729" s="12" t="s">
        <v>163</v>
      </c>
      <c r="M729" s="12" t="s">
        <v>98</v>
      </c>
      <c r="N729" s="12" t="s">
        <v>133</v>
      </c>
      <c r="O729" s="12" t="s">
        <v>246</v>
      </c>
      <c r="P729" s="12" t="s">
        <v>379</v>
      </c>
      <c r="Q729" s="7" t="str">
        <f t="shared" si="34"/>
        <v>(1971,7,'1971.02.13',23,42,45,84,89,0),</v>
      </c>
      <c r="R729" s="7" t="str">
        <f t="shared" si="36"/>
        <v>(1971,7,'1971.02.13',23,42,45,84,89),</v>
      </c>
    </row>
    <row r="730" spans="1:18" x14ac:dyDescent="0.25">
      <c r="A730" s="7" t="s">
        <v>2301</v>
      </c>
      <c r="B730" s="8" t="s">
        <v>232</v>
      </c>
      <c r="C730" s="10">
        <f t="shared" si="35"/>
        <v>25984</v>
      </c>
      <c r="D730" t="s">
        <v>11</v>
      </c>
      <c r="E730" t="s">
        <v>12</v>
      </c>
      <c r="F730" t="s">
        <v>11</v>
      </c>
      <c r="G730" t="s">
        <v>12</v>
      </c>
      <c r="H730" t="s">
        <v>11</v>
      </c>
      <c r="I730" t="s">
        <v>12</v>
      </c>
      <c r="J730" t="s">
        <v>11</v>
      </c>
      <c r="K730" t="s">
        <v>12</v>
      </c>
      <c r="L730" s="12" t="s">
        <v>168</v>
      </c>
      <c r="M730" s="12" t="s">
        <v>163</v>
      </c>
      <c r="N730" s="12" t="s">
        <v>124</v>
      </c>
      <c r="O730" s="12" t="s">
        <v>143</v>
      </c>
      <c r="P730" s="12" t="s">
        <v>215</v>
      </c>
      <c r="Q730" s="7" t="str">
        <f t="shared" si="34"/>
        <v>(1971,8,'1971.02.20',4,23,62,77,81,0),</v>
      </c>
      <c r="R730" s="7" t="str">
        <f t="shared" si="36"/>
        <v>(1971,8,'1971.02.20',4,23,62,77,81),</v>
      </c>
    </row>
    <row r="731" spans="1:18" x14ac:dyDescent="0.25">
      <c r="A731" s="7" t="s">
        <v>2301</v>
      </c>
      <c r="B731" s="8" t="s">
        <v>198</v>
      </c>
      <c r="C731" s="10">
        <f t="shared" si="35"/>
        <v>25991</v>
      </c>
      <c r="D731" t="s">
        <v>11</v>
      </c>
      <c r="E731" t="s">
        <v>12</v>
      </c>
      <c r="F731" t="s">
        <v>11</v>
      </c>
      <c r="G731" t="s">
        <v>12</v>
      </c>
      <c r="H731" t="s">
        <v>11</v>
      </c>
      <c r="I731" t="s">
        <v>12</v>
      </c>
      <c r="J731" t="s">
        <v>11</v>
      </c>
      <c r="K731" t="s">
        <v>12</v>
      </c>
      <c r="L731" s="12" t="s">
        <v>36</v>
      </c>
      <c r="M731" s="12" t="s">
        <v>150</v>
      </c>
      <c r="N731" s="12" t="s">
        <v>91</v>
      </c>
      <c r="O731" s="12" t="s">
        <v>72</v>
      </c>
      <c r="P731" s="12" t="s">
        <v>47</v>
      </c>
      <c r="Q731" s="7" t="str">
        <f t="shared" si="34"/>
        <v>(1971,9,'1971.02.27',38,57,61,67,69,0),</v>
      </c>
      <c r="R731" s="7" t="str">
        <f t="shared" si="36"/>
        <v>(1971,9,'1971.02.27',38,57,61,67,69),</v>
      </c>
    </row>
    <row r="732" spans="1:18" x14ac:dyDescent="0.25">
      <c r="A732" s="7" t="s">
        <v>2301</v>
      </c>
      <c r="B732" s="8" t="s">
        <v>62</v>
      </c>
      <c r="C732" s="10">
        <f t="shared" si="35"/>
        <v>25998</v>
      </c>
      <c r="D732" t="s">
        <v>11</v>
      </c>
      <c r="E732" t="s">
        <v>12</v>
      </c>
      <c r="F732" t="s">
        <v>11</v>
      </c>
      <c r="G732" t="s">
        <v>12</v>
      </c>
      <c r="H732" t="s">
        <v>11</v>
      </c>
      <c r="I732" t="s">
        <v>12</v>
      </c>
      <c r="J732" t="s">
        <v>11</v>
      </c>
      <c r="K732" t="s">
        <v>12</v>
      </c>
      <c r="L732" s="12" t="s">
        <v>90</v>
      </c>
      <c r="M732" s="12" t="s">
        <v>123</v>
      </c>
      <c r="N732" s="12" t="s">
        <v>239</v>
      </c>
      <c r="O732" s="12" t="s">
        <v>308</v>
      </c>
      <c r="P732" s="12" t="s">
        <v>379</v>
      </c>
      <c r="Q732" s="7" t="str">
        <f t="shared" si="34"/>
        <v>(1971,10,'1971.03.06',17,54,73,86,89,0),</v>
      </c>
      <c r="R732" s="7" t="str">
        <f t="shared" si="36"/>
        <v>(1971,10,'1971.03.06',17,54,73,86,89),</v>
      </c>
    </row>
    <row r="733" spans="1:18" x14ac:dyDescent="0.25">
      <c r="A733" s="7" t="s">
        <v>2301</v>
      </c>
      <c r="B733" s="8" t="s">
        <v>83</v>
      </c>
      <c r="C733" s="10">
        <f t="shared" si="35"/>
        <v>26005</v>
      </c>
      <c r="D733" t="s">
        <v>11</v>
      </c>
      <c r="E733" t="s">
        <v>12</v>
      </c>
      <c r="F733" t="s">
        <v>11</v>
      </c>
      <c r="G733" t="s">
        <v>12</v>
      </c>
      <c r="H733" t="s">
        <v>11</v>
      </c>
      <c r="I733" t="s">
        <v>12</v>
      </c>
      <c r="J733" t="s">
        <v>11</v>
      </c>
      <c r="K733" t="s">
        <v>12</v>
      </c>
      <c r="L733" s="12" t="s">
        <v>168</v>
      </c>
      <c r="M733" s="12" t="s">
        <v>54</v>
      </c>
      <c r="N733" s="12" t="s">
        <v>32</v>
      </c>
      <c r="O733" s="12" t="s">
        <v>64</v>
      </c>
      <c r="P733" s="12" t="s">
        <v>308</v>
      </c>
      <c r="Q733" s="7" t="str">
        <f t="shared" si="34"/>
        <v>(1971,11,'1971.03.13',4,15,22,35,86,0),</v>
      </c>
      <c r="R733" s="7" t="str">
        <f t="shared" si="36"/>
        <v>(1971,11,'1971.03.13',4,15,22,35,86),</v>
      </c>
    </row>
    <row r="734" spans="1:18" x14ac:dyDescent="0.25">
      <c r="A734" s="7" t="s">
        <v>2301</v>
      </c>
      <c r="B734" s="8" t="s">
        <v>31</v>
      </c>
      <c r="C734" s="10">
        <f t="shared" si="35"/>
        <v>26012</v>
      </c>
      <c r="D734" t="s">
        <v>11</v>
      </c>
      <c r="E734" t="s">
        <v>12</v>
      </c>
      <c r="F734" t="s">
        <v>11</v>
      </c>
      <c r="G734" t="s">
        <v>12</v>
      </c>
      <c r="H734" t="s">
        <v>11</v>
      </c>
      <c r="I734" t="s">
        <v>12</v>
      </c>
      <c r="J734" t="s">
        <v>11</v>
      </c>
      <c r="K734" t="s">
        <v>12</v>
      </c>
      <c r="L734" s="12" t="s">
        <v>127</v>
      </c>
      <c r="M734" s="12" t="s">
        <v>19</v>
      </c>
      <c r="N734" s="12" t="s">
        <v>72</v>
      </c>
      <c r="O734" s="12" t="s">
        <v>269</v>
      </c>
      <c r="P734" s="12" t="s">
        <v>208</v>
      </c>
      <c r="Q734" s="7" t="str">
        <f t="shared" si="34"/>
        <v>(1971,12,'1971.03.20',14,18,67,87,88,0),</v>
      </c>
      <c r="R734" s="7" t="str">
        <f t="shared" si="36"/>
        <v>(1971,12,'1971.03.20',14,18,67,87,88),</v>
      </c>
    </row>
    <row r="735" spans="1:18" x14ac:dyDescent="0.25">
      <c r="A735" s="7" t="s">
        <v>2301</v>
      </c>
      <c r="B735" s="8" t="s">
        <v>65</v>
      </c>
      <c r="C735" s="10">
        <f t="shared" si="35"/>
        <v>26019</v>
      </c>
      <c r="D735" t="s">
        <v>11</v>
      </c>
      <c r="E735" t="s">
        <v>12</v>
      </c>
      <c r="F735" t="s">
        <v>11</v>
      </c>
      <c r="G735" t="s">
        <v>12</v>
      </c>
      <c r="H735" t="s">
        <v>11</v>
      </c>
      <c r="I735" t="s">
        <v>12</v>
      </c>
      <c r="J735" t="s">
        <v>11</v>
      </c>
      <c r="K735" t="s">
        <v>12</v>
      </c>
      <c r="L735" s="12" t="s">
        <v>152</v>
      </c>
      <c r="M735" s="12" t="s">
        <v>21</v>
      </c>
      <c r="N735" s="12" t="s">
        <v>91</v>
      </c>
      <c r="O735" s="12" t="s">
        <v>215</v>
      </c>
      <c r="P735" s="12" t="s">
        <v>622</v>
      </c>
      <c r="Q735" s="7" t="str">
        <f t="shared" si="34"/>
        <v>(1971,13,'1971.03.27',25,36,61,81,82,0),</v>
      </c>
      <c r="R735" s="7" t="str">
        <f t="shared" si="36"/>
        <v>(1971,13,'1971.03.27',25,36,61,81,82),</v>
      </c>
    </row>
    <row r="736" spans="1:18" x14ac:dyDescent="0.25">
      <c r="A736" s="7" t="s">
        <v>2301</v>
      </c>
      <c r="B736" s="8" t="s">
        <v>127</v>
      </c>
      <c r="C736" s="10">
        <f t="shared" si="35"/>
        <v>26026</v>
      </c>
      <c r="D736" t="s">
        <v>11</v>
      </c>
      <c r="E736" t="s">
        <v>12</v>
      </c>
      <c r="F736" t="s">
        <v>11</v>
      </c>
      <c r="G736" t="s">
        <v>12</v>
      </c>
      <c r="H736" t="s">
        <v>11</v>
      </c>
      <c r="I736" t="s">
        <v>12</v>
      </c>
      <c r="J736" t="s">
        <v>11</v>
      </c>
      <c r="K736" t="s">
        <v>12</v>
      </c>
      <c r="L736" s="12" t="s">
        <v>36</v>
      </c>
      <c r="M736" s="12" t="s">
        <v>99</v>
      </c>
      <c r="N736" s="12" t="s">
        <v>169</v>
      </c>
      <c r="O736" s="12" t="s">
        <v>246</v>
      </c>
      <c r="P736" s="12" t="s">
        <v>308</v>
      </c>
      <c r="Q736" s="7" t="str">
        <f t="shared" si="34"/>
        <v>(1971,14,'1971.04.03',38,52,58,84,86,0),</v>
      </c>
      <c r="R736" s="7" t="str">
        <f t="shared" si="36"/>
        <v>(1971,14,'1971.04.03',38,52,58,84,86),</v>
      </c>
    </row>
    <row r="737" spans="1:18" x14ac:dyDescent="0.25">
      <c r="A737" s="7" t="s">
        <v>2301</v>
      </c>
      <c r="B737" s="8" t="s">
        <v>54</v>
      </c>
      <c r="C737" s="10">
        <f t="shared" si="35"/>
        <v>26033</v>
      </c>
      <c r="D737" t="s">
        <v>11</v>
      </c>
      <c r="E737" t="s">
        <v>12</v>
      </c>
      <c r="F737" t="s">
        <v>11</v>
      </c>
      <c r="G737" t="s">
        <v>12</v>
      </c>
      <c r="H737" t="s">
        <v>11</v>
      </c>
      <c r="I737" t="s">
        <v>12</v>
      </c>
      <c r="J737" t="s">
        <v>11</v>
      </c>
      <c r="K737" t="s">
        <v>12</v>
      </c>
      <c r="L737" s="12" t="s">
        <v>21</v>
      </c>
      <c r="M737" s="12" t="s">
        <v>133</v>
      </c>
      <c r="N737" s="12" t="s">
        <v>134</v>
      </c>
      <c r="O737" s="12" t="s">
        <v>73</v>
      </c>
      <c r="P737" s="12" t="s">
        <v>208</v>
      </c>
      <c r="Q737" s="7" t="str">
        <f t="shared" si="34"/>
        <v>(1971,15,'1971.04.10',36,45,56,76,88,0),</v>
      </c>
      <c r="R737" s="7" t="str">
        <f t="shared" si="36"/>
        <v>(1971,15,'1971.04.10',36,45,56,76,88),</v>
      </c>
    </row>
    <row r="738" spans="1:18" x14ac:dyDescent="0.25">
      <c r="A738" s="7" t="s">
        <v>2301</v>
      </c>
      <c r="B738" s="8" t="s">
        <v>43</v>
      </c>
      <c r="C738" s="10">
        <f t="shared" si="35"/>
        <v>26040</v>
      </c>
      <c r="D738" t="s">
        <v>11</v>
      </c>
      <c r="E738" t="s">
        <v>12</v>
      </c>
      <c r="F738" t="s">
        <v>11</v>
      </c>
      <c r="G738" t="s">
        <v>12</v>
      </c>
      <c r="H738" t="s">
        <v>11</v>
      </c>
      <c r="I738" t="s">
        <v>12</v>
      </c>
      <c r="J738" t="s">
        <v>11</v>
      </c>
      <c r="K738" t="s">
        <v>12</v>
      </c>
      <c r="L738" s="12" t="s">
        <v>90</v>
      </c>
      <c r="M738" s="12" t="s">
        <v>55</v>
      </c>
      <c r="N738" s="12" t="s">
        <v>92</v>
      </c>
      <c r="O738" s="12" t="s">
        <v>245</v>
      </c>
      <c r="P738" s="12" t="s">
        <v>468</v>
      </c>
      <c r="Q738" s="7" t="str">
        <f t="shared" si="34"/>
        <v>(1971,16,'1971.04.17',17,19,68,74,85,0),</v>
      </c>
      <c r="R738" s="7" t="str">
        <f t="shared" si="36"/>
        <v>(1971,16,'1971.04.17',17,19,68,74,85),</v>
      </c>
    </row>
    <row r="739" spans="1:18" x14ac:dyDescent="0.25">
      <c r="A739" s="7" t="s">
        <v>2301</v>
      </c>
      <c r="B739" s="8" t="s">
        <v>90</v>
      </c>
      <c r="C739" s="10">
        <f t="shared" si="35"/>
        <v>26047</v>
      </c>
      <c r="D739" t="s">
        <v>11</v>
      </c>
      <c r="E739" t="s">
        <v>12</v>
      </c>
      <c r="F739" t="s">
        <v>11</v>
      </c>
      <c r="G739" t="s">
        <v>12</v>
      </c>
      <c r="H739" t="s">
        <v>11</v>
      </c>
      <c r="I739" t="s">
        <v>12</v>
      </c>
      <c r="J739" t="s">
        <v>11</v>
      </c>
      <c r="K739" t="s">
        <v>12</v>
      </c>
      <c r="L739" s="12" t="s">
        <v>232</v>
      </c>
      <c r="M739" s="12" t="s">
        <v>116</v>
      </c>
      <c r="N739" s="12" t="s">
        <v>23</v>
      </c>
      <c r="O739" s="12" t="s">
        <v>248</v>
      </c>
      <c r="P739" s="12" t="s">
        <v>468</v>
      </c>
      <c r="Q739" s="7" t="str">
        <f t="shared" si="34"/>
        <v>(1971,17,'1971.04.24',8,29,60,63,85,0),</v>
      </c>
      <c r="R739" s="7" t="str">
        <f t="shared" si="36"/>
        <v>(1971,17,'1971.04.24',8,29,60,63,85),</v>
      </c>
    </row>
    <row r="740" spans="1:18" x14ac:dyDescent="0.25">
      <c r="A740" s="7" t="s">
        <v>2301</v>
      </c>
      <c r="B740" s="8" t="s">
        <v>19</v>
      </c>
      <c r="C740" s="10">
        <f t="shared" si="35"/>
        <v>26054</v>
      </c>
      <c r="D740" t="s">
        <v>11</v>
      </c>
      <c r="E740" t="s">
        <v>12</v>
      </c>
      <c r="F740" t="s">
        <v>11</v>
      </c>
      <c r="G740" t="s">
        <v>12</v>
      </c>
      <c r="H740" t="s">
        <v>11</v>
      </c>
      <c r="I740" t="s">
        <v>12</v>
      </c>
      <c r="J740" t="s">
        <v>11</v>
      </c>
      <c r="K740" t="s">
        <v>12</v>
      </c>
      <c r="L740" s="12" t="s">
        <v>42</v>
      </c>
      <c r="M740" s="12" t="s">
        <v>54</v>
      </c>
      <c r="N740" s="12" t="s">
        <v>44</v>
      </c>
      <c r="O740" s="12" t="s">
        <v>32</v>
      </c>
      <c r="P740" s="12" t="s">
        <v>199</v>
      </c>
      <c r="Q740" s="7" t="str">
        <f t="shared" si="34"/>
        <v>(1971,18,'1971.05.01',3,15,21,22,53,0),</v>
      </c>
      <c r="R740" s="7" t="str">
        <f t="shared" si="36"/>
        <v>(1971,18,'1971.05.01',3,15,21,22,53),</v>
      </c>
    </row>
    <row r="741" spans="1:18" x14ac:dyDescent="0.25">
      <c r="A741" s="7" t="s">
        <v>2301</v>
      </c>
      <c r="B741" s="8" t="s">
        <v>55</v>
      </c>
      <c r="C741" s="10">
        <f t="shared" si="35"/>
        <v>26061</v>
      </c>
      <c r="D741" t="s">
        <v>11</v>
      </c>
      <c r="E741" t="s">
        <v>12</v>
      </c>
      <c r="F741" t="s">
        <v>11</v>
      </c>
      <c r="G741" t="s">
        <v>12</v>
      </c>
      <c r="H741" t="s">
        <v>11</v>
      </c>
      <c r="I741" t="s">
        <v>12</v>
      </c>
      <c r="J741" t="s">
        <v>11</v>
      </c>
      <c r="K741" t="s">
        <v>12</v>
      </c>
      <c r="L741" s="12" t="s">
        <v>33</v>
      </c>
      <c r="M741" s="12" t="s">
        <v>20</v>
      </c>
      <c r="N741" s="12" t="s">
        <v>192</v>
      </c>
      <c r="O741" s="12" t="s">
        <v>91</v>
      </c>
      <c r="P741" s="12" t="s">
        <v>72</v>
      </c>
      <c r="Q741" s="7" t="str">
        <f t="shared" si="34"/>
        <v>(1971,19,'1971.05.08',24,33,46,61,67,0),</v>
      </c>
      <c r="R741" s="7" t="str">
        <f t="shared" si="36"/>
        <v>(1971,19,'1971.05.08',24,33,46,61,67),</v>
      </c>
    </row>
    <row r="742" spans="1:18" x14ac:dyDescent="0.25">
      <c r="A742" s="7" t="s">
        <v>2301</v>
      </c>
      <c r="B742" s="8" t="s">
        <v>115</v>
      </c>
      <c r="C742" s="10">
        <f t="shared" si="35"/>
        <v>26068</v>
      </c>
      <c r="D742" t="s">
        <v>11</v>
      </c>
      <c r="E742" t="s">
        <v>12</v>
      </c>
      <c r="F742" t="s">
        <v>11</v>
      </c>
      <c r="G742" t="s">
        <v>12</v>
      </c>
      <c r="H742" t="s">
        <v>11</v>
      </c>
      <c r="I742" t="s">
        <v>12</v>
      </c>
      <c r="J742" t="s">
        <v>11</v>
      </c>
      <c r="K742" t="s">
        <v>12</v>
      </c>
      <c r="L742" s="12" t="s">
        <v>64</v>
      </c>
      <c r="M742" s="12" t="s">
        <v>34</v>
      </c>
      <c r="N742" s="12" t="s">
        <v>134</v>
      </c>
      <c r="O742" s="12" t="s">
        <v>35</v>
      </c>
      <c r="P742" s="12" t="s">
        <v>106</v>
      </c>
      <c r="Q742" s="7" t="str">
        <f t="shared" si="34"/>
        <v>(1971,20,'1971.05.15',35,49,56,65,75,0),</v>
      </c>
      <c r="R742" s="7" t="str">
        <f t="shared" si="36"/>
        <v>(1971,20,'1971.05.15',35,49,56,65,75),</v>
      </c>
    </row>
    <row r="743" spans="1:18" x14ac:dyDescent="0.25">
      <c r="A743" s="7" t="s">
        <v>2301</v>
      </c>
      <c r="B743" s="8" t="s">
        <v>44</v>
      </c>
      <c r="C743" s="10">
        <f t="shared" si="35"/>
        <v>26075</v>
      </c>
      <c r="D743" t="s">
        <v>11</v>
      </c>
      <c r="E743" t="s">
        <v>12</v>
      </c>
      <c r="F743" t="s">
        <v>11</v>
      </c>
      <c r="G743" t="s">
        <v>12</v>
      </c>
      <c r="H743" t="s">
        <v>11</v>
      </c>
      <c r="I743" t="s">
        <v>12</v>
      </c>
      <c r="J743" t="s">
        <v>11</v>
      </c>
      <c r="K743" t="s">
        <v>12</v>
      </c>
      <c r="L743" s="12" t="s">
        <v>10</v>
      </c>
      <c r="M743" s="12" t="s">
        <v>45</v>
      </c>
      <c r="N743" s="12" t="s">
        <v>123</v>
      </c>
      <c r="O743" s="12" t="s">
        <v>301</v>
      </c>
      <c r="P743" s="12" t="s">
        <v>215</v>
      </c>
      <c r="Q743" s="7" t="str">
        <f t="shared" si="34"/>
        <v>(1971,21,'1971.05.22',40,43,54,80,81,0),</v>
      </c>
      <c r="R743" s="7" t="str">
        <f t="shared" si="36"/>
        <v>(1971,21,'1971.05.22',40,43,54,80,81),</v>
      </c>
    </row>
    <row r="744" spans="1:18" x14ac:dyDescent="0.25">
      <c r="A744" s="7" t="s">
        <v>2301</v>
      </c>
      <c r="B744" s="8" t="s">
        <v>32</v>
      </c>
      <c r="C744" s="10">
        <f t="shared" si="35"/>
        <v>26082</v>
      </c>
      <c r="D744" t="s">
        <v>11</v>
      </c>
      <c r="E744" t="s">
        <v>12</v>
      </c>
      <c r="F744" t="s">
        <v>11</v>
      </c>
      <c r="G744" t="s">
        <v>12</v>
      </c>
      <c r="H744" t="s">
        <v>11</v>
      </c>
      <c r="I744" t="s">
        <v>12</v>
      </c>
      <c r="J744" t="s">
        <v>11</v>
      </c>
      <c r="K744" t="s">
        <v>12</v>
      </c>
      <c r="L744" s="12" t="s">
        <v>270</v>
      </c>
      <c r="M744" s="12" t="s">
        <v>163</v>
      </c>
      <c r="N744" s="12" t="s">
        <v>135</v>
      </c>
      <c r="O744" s="12" t="s">
        <v>46</v>
      </c>
      <c r="P744" s="12" t="s">
        <v>82</v>
      </c>
      <c r="Q744" s="7" t="str">
        <f t="shared" si="34"/>
        <v>(1971,22,'1971.05.29',6,23,27,37,59,0),</v>
      </c>
      <c r="R744" s="7" t="str">
        <f t="shared" si="36"/>
        <v>(1971,22,'1971.05.29',6,23,27,37,59),</v>
      </c>
    </row>
    <row r="745" spans="1:18" x14ac:dyDescent="0.25">
      <c r="A745" s="7" t="s">
        <v>2301</v>
      </c>
      <c r="B745" s="8" t="s">
        <v>163</v>
      </c>
      <c r="C745" s="10">
        <f t="shared" si="35"/>
        <v>26089</v>
      </c>
      <c r="D745" t="s">
        <v>11</v>
      </c>
      <c r="E745" t="s">
        <v>12</v>
      </c>
      <c r="F745" t="s">
        <v>11</v>
      </c>
      <c r="G745" t="s">
        <v>12</v>
      </c>
      <c r="H745" t="s">
        <v>11</v>
      </c>
      <c r="I745" t="s">
        <v>12</v>
      </c>
      <c r="J745" t="s">
        <v>11</v>
      </c>
      <c r="K745" t="s">
        <v>12</v>
      </c>
      <c r="L745" s="12" t="s">
        <v>54</v>
      </c>
      <c r="M745" s="12" t="s">
        <v>19</v>
      </c>
      <c r="N745" s="12" t="s">
        <v>123</v>
      </c>
      <c r="O745" s="12" t="s">
        <v>82</v>
      </c>
      <c r="P745" s="12" t="s">
        <v>214</v>
      </c>
      <c r="Q745" s="7" t="str">
        <f t="shared" si="34"/>
        <v>(1971,23,'1971.06.05',15,18,54,59,64,0),</v>
      </c>
      <c r="R745" s="7" t="str">
        <f t="shared" si="36"/>
        <v>(1971,23,'1971.06.05',15,18,54,59,64),</v>
      </c>
    </row>
    <row r="746" spans="1:18" x14ac:dyDescent="0.25">
      <c r="A746" s="7" t="s">
        <v>2301</v>
      </c>
      <c r="B746" s="8" t="s">
        <v>33</v>
      </c>
      <c r="C746" s="10">
        <f t="shared" si="35"/>
        <v>26096</v>
      </c>
      <c r="D746" t="s">
        <v>11</v>
      </c>
      <c r="E746" t="s">
        <v>12</v>
      </c>
      <c r="F746" t="s">
        <v>11</v>
      </c>
      <c r="G746" t="s">
        <v>12</v>
      </c>
      <c r="H746" t="s">
        <v>11</v>
      </c>
      <c r="I746" t="s">
        <v>12</v>
      </c>
      <c r="J746" t="s">
        <v>11</v>
      </c>
      <c r="K746" t="s">
        <v>12</v>
      </c>
      <c r="L746" s="12" t="s">
        <v>163</v>
      </c>
      <c r="M746" s="12" t="s">
        <v>80</v>
      </c>
      <c r="N746" s="12" t="s">
        <v>21</v>
      </c>
      <c r="O746" s="12" t="s">
        <v>123</v>
      </c>
      <c r="P746" s="12" t="s">
        <v>269</v>
      </c>
      <c r="Q746" s="7" t="str">
        <f t="shared" si="34"/>
        <v>(1971,24,'1971.06.12',23,32,36,54,87,0),</v>
      </c>
      <c r="R746" s="7" t="str">
        <f t="shared" si="36"/>
        <v>(1971,24,'1971.06.12',23,32,36,54,87),</v>
      </c>
    </row>
    <row r="747" spans="1:18" x14ac:dyDescent="0.25">
      <c r="A747" s="7" t="s">
        <v>2301</v>
      </c>
      <c r="B747" s="8" t="s">
        <v>152</v>
      </c>
      <c r="C747" s="10">
        <f t="shared" si="35"/>
        <v>26103</v>
      </c>
      <c r="D747" t="s">
        <v>11</v>
      </c>
      <c r="E747" t="s">
        <v>12</v>
      </c>
      <c r="F747" t="s">
        <v>11</v>
      </c>
      <c r="G747" t="s">
        <v>12</v>
      </c>
      <c r="H747" t="s">
        <v>11</v>
      </c>
      <c r="I747" t="s">
        <v>12</v>
      </c>
      <c r="J747" t="s">
        <v>11</v>
      </c>
      <c r="K747" t="s">
        <v>12</v>
      </c>
      <c r="L747" s="12" t="s">
        <v>207</v>
      </c>
      <c r="M747" s="12" t="s">
        <v>74</v>
      </c>
      <c r="N747" s="12" t="s">
        <v>13</v>
      </c>
      <c r="O747" s="12" t="s">
        <v>81</v>
      </c>
      <c r="P747" s="12" t="s">
        <v>214</v>
      </c>
      <c r="Q747" s="7" t="str">
        <f t="shared" si="34"/>
        <v>(1971,25,'1971.06.19',2,26,41,47,64,0),</v>
      </c>
      <c r="R747" s="7" t="str">
        <f t="shared" si="36"/>
        <v>(1971,25,'1971.06.19',2,26,41,47,64),</v>
      </c>
    </row>
    <row r="748" spans="1:18" x14ac:dyDescent="0.25">
      <c r="A748" s="7" t="s">
        <v>2301</v>
      </c>
      <c r="B748" s="8" t="s">
        <v>74</v>
      </c>
      <c r="C748" s="10">
        <f t="shared" si="35"/>
        <v>26110</v>
      </c>
      <c r="D748" t="s">
        <v>11</v>
      </c>
      <c r="E748" t="s">
        <v>12</v>
      </c>
      <c r="F748" t="s">
        <v>11</v>
      </c>
      <c r="G748" t="s">
        <v>12</v>
      </c>
      <c r="H748" t="s">
        <v>11</v>
      </c>
      <c r="I748" t="s">
        <v>12</v>
      </c>
      <c r="J748" t="s">
        <v>11</v>
      </c>
      <c r="K748" t="s">
        <v>12</v>
      </c>
      <c r="L748" s="12" t="s">
        <v>90</v>
      </c>
      <c r="M748" s="12" t="s">
        <v>64</v>
      </c>
      <c r="N748" s="12" t="s">
        <v>169</v>
      </c>
      <c r="O748" s="12" t="s">
        <v>72</v>
      </c>
      <c r="P748" s="12" t="s">
        <v>269</v>
      </c>
      <c r="Q748" s="7" t="str">
        <f t="shared" si="34"/>
        <v>(1971,26,'1971.06.26',17,35,58,67,87,0),</v>
      </c>
      <c r="R748" s="7" t="str">
        <f t="shared" si="36"/>
        <v>(1971,26,'1971.06.26',17,35,58,67,87),</v>
      </c>
    </row>
    <row r="749" spans="1:18" x14ac:dyDescent="0.25">
      <c r="A749" s="7" t="s">
        <v>2301</v>
      </c>
      <c r="B749" s="8" t="s">
        <v>135</v>
      </c>
      <c r="C749" s="10">
        <f t="shared" si="35"/>
        <v>26117</v>
      </c>
      <c r="D749" t="s">
        <v>11</v>
      </c>
      <c r="E749" t="s">
        <v>12</v>
      </c>
      <c r="F749" t="s">
        <v>11</v>
      </c>
      <c r="G749" t="s">
        <v>12</v>
      </c>
      <c r="H749" t="s">
        <v>11</v>
      </c>
      <c r="I749" t="s">
        <v>12</v>
      </c>
      <c r="J749" t="s">
        <v>11</v>
      </c>
      <c r="K749" t="s">
        <v>12</v>
      </c>
      <c r="L749" s="12" t="s">
        <v>53</v>
      </c>
      <c r="M749" s="12" t="s">
        <v>198</v>
      </c>
      <c r="N749" s="12" t="s">
        <v>55</v>
      </c>
      <c r="O749" s="12" t="s">
        <v>34</v>
      </c>
      <c r="P749" s="12" t="s">
        <v>379</v>
      </c>
      <c r="Q749" s="7" t="str">
        <f t="shared" si="34"/>
        <v>(1971,27,'1971.07.03',7,9,19,49,89,0),</v>
      </c>
      <c r="R749" s="7" t="str">
        <f t="shared" si="36"/>
        <v>(1971,27,'1971.07.03',7,9,19,49,89),</v>
      </c>
    </row>
    <row r="750" spans="1:18" x14ac:dyDescent="0.25">
      <c r="A750" s="7" t="s">
        <v>2301</v>
      </c>
      <c r="B750" s="8" t="s">
        <v>126</v>
      </c>
      <c r="C750" s="10">
        <f t="shared" si="35"/>
        <v>26124</v>
      </c>
      <c r="D750" t="s">
        <v>11</v>
      </c>
      <c r="E750" t="s">
        <v>12</v>
      </c>
      <c r="F750" t="s">
        <v>11</v>
      </c>
      <c r="G750" t="s">
        <v>12</v>
      </c>
      <c r="H750" t="s">
        <v>11</v>
      </c>
      <c r="I750" t="s">
        <v>12</v>
      </c>
      <c r="J750" t="s">
        <v>11</v>
      </c>
      <c r="K750" t="s">
        <v>12</v>
      </c>
      <c r="L750" s="12" t="s">
        <v>207</v>
      </c>
      <c r="M750" s="12" t="s">
        <v>42</v>
      </c>
      <c r="N750" s="12" t="s">
        <v>115</v>
      </c>
      <c r="O750" s="12" t="s">
        <v>124</v>
      </c>
      <c r="P750" s="12" t="s">
        <v>233</v>
      </c>
      <c r="Q750" s="7" t="str">
        <f t="shared" si="34"/>
        <v>(1971,28,'1971.07.10',2,3,20,62,66,0),</v>
      </c>
      <c r="R750" s="7" t="str">
        <f t="shared" si="36"/>
        <v>(1971,28,'1971.07.10',2,3,20,62,66),</v>
      </c>
    </row>
    <row r="751" spans="1:18" x14ac:dyDescent="0.25">
      <c r="A751" s="7" t="s">
        <v>2301</v>
      </c>
      <c r="B751" s="8" t="s">
        <v>116</v>
      </c>
      <c r="C751" s="10">
        <f t="shared" si="35"/>
        <v>26131</v>
      </c>
      <c r="D751" t="s">
        <v>11</v>
      </c>
      <c r="E751" t="s">
        <v>12</v>
      </c>
      <c r="F751" t="s">
        <v>11</v>
      </c>
      <c r="G751" t="s">
        <v>12</v>
      </c>
      <c r="H751" t="s">
        <v>11</v>
      </c>
      <c r="I751" t="s">
        <v>12</v>
      </c>
      <c r="J751" t="s">
        <v>11</v>
      </c>
      <c r="K751" t="s">
        <v>12</v>
      </c>
      <c r="L751" s="12" t="s">
        <v>65</v>
      </c>
      <c r="M751" s="12" t="s">
        <v>99</v>
      </c>
      <c r="N751" s="12" t="s">
        <v>134</v>
      </c>
      <c r="O751" s="12" t="s">
        <v>106</v>
      </c>
      <c r="P751" s="12" t="s">
        <v>73</v>
      </c>
      <c r="Q751" s="7" t="str">
        <f t="shared" si="34"/>
        <v>(1971,29,'1971.07.17',13,52,56,75,76,0),</v>
      </c>
      <c r="R751" s="7" t="str">
        <f t="shared" si="36"/>
        <v>(1971,29,'1971.07.17',13,52,56,75,76),</v>
      </c>
    </row>
    <row r="752" spans="1:18" x14ac:dyDescent="0.25">
      <c r="A752" s="7" t="s">
        <v>2301</v>
      </c>
      <c r="B752" s="8" t="s">
        <v>107</v>
      </c>
      <c r="C752" s="10">
        <f t="shared" si="35"/>
        <v>26138</v>
      </c>
      <c r="D752" t="s">
        <v>11</v>
      </c>
      <c r="E752" t="s">
        <v>12</v>
      </c>
      <c r="F752" t="s">
        <v>11</v>
      </c>
      <c r="G752" t="s">
        <v>12</v>
      </c>
      <c r="H752" t="s">
        <v>11</v>
      </c>
      <c r="I752" t="s">
        <v>12</v>
      </c>
      <c r="J752" t="s">
        <v>11</v>
      </c>
      <c r="K752" t="s">
        <v>12</v>
      </c>
      <c r="L752" s="12" t="s">
        <v>207</v>
      </c>
      <c r="M752" s="12" t="s">
        <v>32</v>
      </c>
      <c r="N752" s="12" t="s">
        <v>81</v>
      </c>
      <c r="O752" s="12" t="s">
        <v>301</v>
      </c>
      <c r="P752" s="12" t="s">
        <v>379</v>
      </c>
      <c r="Q752" s="7" t="str">
        <f t="shared" si="34"/>
        <v>(1971,30,'1971.07.24',2,22,47,80,89,0),</v>
      </c>
      <c r="R752" s="7" t="str">
        <f t="shared" si="36"/>
        <v>(1971,30,'1971.07.24',2,22,47,80,89),</v>
      </c>
    </row>
    <row r="753" spans="1:18" x14ac:dyDescent="0.25">
      <c r="A753" s="7" t="s">
        <v>2301</v>
      </c>
      <c r="B753" s="8" t="s">
        <v>71</v>
      </c>
      <c r="C753" s="10">
        <f t="shared" si="35"/>
        <v>26145</v>
      </c>
      <c r="D753" t="s">
        <v>11</v>
      </c>
      <c r="E753" t="s">
        <v>12</v>
      </c>
      <c r="F753" t="s">
        <v>11</v>
      </c>
      <c r="G753" t="s">
        <v>12</v>
      </c>
      <c r="H753" t="s">
        <v>11</v>
      </c>
      <c r="I753" t="s">
        <v>12</v>
      </c>
      <c r="J753" t="s">
        <v>11</v>
      </c>
      <c r="K753" t="s">
        <v>12</v>
      </c>
      <c r="L753" s="12" t="s">
        <v>42</v>
      </c>
      <c r="M753" s="12" t="s">
        <v>127</v>
      </c>
      <c r="N753" s="12" t="s">
        <v>20</v>
      </c>
      <c r="O753" s="12" t="s">
        <v>99</v>
      </c>
      <c r="P753" s="12" t="s">
        <v>301</v>
      </c>
      <c r="Q753" s="7" t="str">
        <f t="shared" si="34"/>
        <v>(1971,31,'1971.07.31',3,14,33,52,80,0),</v>
      </c>
      <c r="R753" s="7" t="str">
        <f t="shared" si="36"/>
        <v>(1971,31,'1971.07.31',3,14,33,52,80),</v>
      </c>
    </row>
    <row r="754" spans="1:18" x14ac:dyDescent="0.25">
      <c r="A754" s="7" t="s">
        <v>2301</v>
      </c>
      <c r="B754" s="8" t="s">
        <v>80</v>
      </c>
      <c r="C754" s="10">
        <f t="shared" si="35"/>
        <v>26152</v>
      </c>
      <c r="D754" t="s">
        <v>11</v>
      </c>
      <c r="E754" t="s">
        <v>12</v>
      </c>
      <c r="F754" t="s">
        <v>11</v>
      </c>
      <c r="G754" t="s">
        <v>12</v>
      </c>
      <c r="H754" t="s">
        <v>11</v>
      </c>
      <c r="I754" t="s">
        <v>12</v>
      </c>
      <c r="J754" t="s">
        <v>11</v>
      </c>
      <c r="K754" t="s">
        <v>12</v>
      </c>
      <c r="L754" s="12" t="s">
        <v>270</v>
      </c>
      <c r="M754" s="12" t="s">
        <v>53</v>
      </c>
      <c r="N754" s="12" t="s">
        <v>43</v>
      </c>
      <c r="O754" s="12" t="s">
        <v>152</v>
      </c>
      <c r="P754" s="12" t="s">
        <v>63</v>
      </c>
      <c r="Q754" s="7" t="str">
        <f t="shared" si="34"/>
        <v>(1971,32,'1971.08.07',6,7,16,25,78,0),</v>
      </c>
      <c r="R754" s="7" t="str">
        <f t="shared" si="36"/>
        <v>(1971,32,'1971.08.07',6,7,16,25,78),</v>
      </c>
    </row>
    <row r="755" spans="1:18" x14ac:dyDescent="0.25">
      <c r="A755" s="7" t="s">
        <v>2301</v>
      </c>
      <c r="B755" s="8" t="s">
        <v>20</v>
      </c>
      <c r="C755" s="10">
        <f t="shared" si="35"/>
        <v>26159</v>
      </c>
      <c r="D755" t="s">
        <v>11</v>
      </c>
      <c r="E755" t="s">
        <v>12</v>
      </c>
      <c r="F755" t="s">
        <v>11</v>
      </c>
      <c r="G755" t="s">
        <v>12</v>
      </c>
      <c r="H755" t="s">
        <v>11</v>
      </c>
      <c r="I755" t="s">
        <v>12</v>
      </c>
      <c r="J755" t="s">
        <v>11</v>
      </c>
      <c r="K755" t="s">
        <v>12</v>
      </c>
      <c r="L755" s="12" t="s">
        <v>232</v>
      </c>
      <c r="M755" s="12" t="s">
        <v>105</v>
      </c>
      <c r="N755" s="12" t="s">
        <v>214</v>
      </c>
      <c r="O755" s="12" t="s">
        <v>72</v>
      </c>
      <c r="P755" s="12" t="s">
        <v>308</v>
      </c>
      <c r="Q755" s="7" t="str">
        <f t="shared" si="34"/>
        <v>(1971,33,'1971.08.14',8,50,64,67,86,0),</v>
      </c>
      <c r="R755" s="7" t="str">
        <f t="shared" si="36"/>
        <v>(1971,33,'1971.08.14',8,50,64,67,86),</v>
      </c>
    </row>
    <row r="756" spans="1:18" x14ac:dyDescent="0.25">
      <c r="A756" s="7" t="s">
        <v>2301</v>
      </c>
      <c r="B756" s="8" t="s">
        <v>25</v>
      </c>
      <c r="C756" s="10">
        <f t="shared" si="35"/>
        <v>26166</v>
      </c>
      <c r="D756" t="s">
        <v>11</v>
      </c>
      <c r="E756" t="s">
        <v>12</v>
      </c>
      <c r="F756" t="s">
        <v>11</v>
      </c>
      <c r="G756" t="s">
        <v>12</v>
      </c>
      <c r="H756" t="s">
        <v>11</v>
      </c>
      <c r="I756" t="s">
        <v>12</v>
      </c>
      <c r="J756" t="s">
        <v>11</v>
      </c>
      <c r="K756" t="s">
        <v>12</v>
      </c>
      <c r="L756" s="12" t="s">
        <v>134</v>
      </c>
      <c r="M756" s="12" t="s">
        <v>248</v>
      </c>
      <c r="N756" s="12" t="s">
        <v>143</v>
      </c>
      <c r="O756" s="12" t="s">
        <v>301</v>
      </c>
      <c r="P756" s="12" t="s">
        <v>622</v>
      </c>
      <c r="Q756" s="7" t="str">
        <f t="shared" si="34"/>
        <v>(1971,34,'1971.08.21',56,63,77,80,82,0),</v>
      </c>
      <c r="R756" s="7" t="str">
        <f t="shared" si="36"/>
        <v>(1971,34,'1971.08.21',56,63,77,80,82),</v>
      </c>
    </row>
    <row r="757" spans="1:18" x14ac:dyDescent="0.25">
      <c r="A757" s="7" t="s">
        <v>2301</v>
      </c>
      <c r="B757" s="8" t="s">
        <v>64</v>
      </c>
      <c r="C757" s="10">
        <f t="shared" si="35"/>
        <v>26173</v>
      </c>
      <c r="D757" t="s">
        <v>11</v>
      </c>
      <c r="E757" t="s">
        <v>12</v>
      </c>
      <c r="F757" t="s">
        <v>11</v>
      </c>
      <c r="G757" t="s">
        <v>12</v>
      </c>
      <c r="H757" t="s">
        <v>11</v>
      </c>
      <c r="I757" t="s">
        <v>12</v>
      </c>
      <c r="J757" t="s">
        <v>11</v>
      </c>
      <c r="K757" t="s">
        <v>12</v>
      </c>
      <c r="L757" s="12" t="s">
        <v>207</v>
      </c>
      <c r="M757" s="12" t="s">
        <v>198</v>
      </c>
      <c r="N757" s="12" t="s">
        <v>62</v>
      </c>
      <c r="O757" s="12" t="s">
        <v>55</v>
      </c>
      <c r="P757" s="12" t="s">
        <v>622</v>
      </c>
      <c r="Q757" s="7" t="str">
        <f t="shared" si="34"/>
        <v>(1971,35,'1971.08.28',2,9,10,19,82,0),</v>
      </c>
      <c r="R757" s="7" t="str">
        <f t="shared" si="36"/>
        <v>(1971,35,'1971.08.28',2,9,10,19,82),</v>
      </c>
    </row>
    <row r="758" spans="1:18" x14ac:dyDescent="0.25">
      <c r="A758" s="7" t="s">
        <v>2301</v>
      </c>
      <c r="B758" s="8" t="s">
        <v>21</v>
      </c>
      <c r="C758" s="10">
        <f t="shared" si="35"/>
        <v>26180</v>
      </c>
      <c r="D758" t="s">
        <v>11</v>
      </c>
      <c r="E758" t="s">
        <v>12</v>
      </c>
      <c r="F758" t="s">
        <v>11</v>
      </c>
      <c r="G758" t="s">
        <v>12</v>
      </c>
      <c r="H758" t="s">
        <v>11</v>
      </c>
      <c r="I758" t="s">
        <v>12</v>
      </c>
      <c r="J758" t="s">
        <v>11</v>
      </c>
      <c r="K758" t="s">
        <v>12</v>
      </c>
      <c r="L758" s="12" t="s">
        <v>65</v>
      </c>
      <c r="M758" s="12" t="s">
        <v>20</v>
      </c>
      <c r="N758" s="12" t="s">
        <v>246</v>
      </c>
      <c r="O758" s="12" t="s">
        <v>468</v>
      </c>
      <c r="P758" s="12" t="s">
        <v>269</v>
      </c>
      <c r="Q758" s="7" t="str">
        <f t="shared" si="34"/>
        <v>(1971,36,'1971.09.04',13,33,84,85,87,0),</v>
      </c>
      <c r="R758" s="7" t="str">
        <f t="shared" si="36"/>
        <v>(1971,36,'1971.09.04',13,33,84,85,87),</v>
      </c>
    </row>
    <row r="759" spans="1:18" x14ac:dyDescent="0.25">
      <c r="A759" s="7" t="s">
        <v>2301</v>
      </c>
      <c r="B759" s="8" t="s">
        <v>46</v>
      </c>
      <c r="C759" s="10">
        <f t="shared" si="35"/>
        <v>26187</v>
      </c>
      <c r="D759" t="s">
        <v>11</v>
      </c>
      <c r="E759" t="s">
        <v>12</v>
      </c>
      <c r="F759" t="s">
        <v>11</v>
      </c>
      <c r="G759" t="s">
        <v>12</v>
      </c>
      <c r="H759" t="s">
        <v>11</v>
      </c>
      <c r="I759" t="s">
        <v>12</v>
      </c>
      <c r="J759" t="s">
        <v>11</v>
      </c>
      <c r="K759" t="s">
        <v>12</v>
      </c>
      <c r="L759" s="12" t="s">
        <v>54</v>
      </c>
      <c r="M759" s="12" t="s">
        <v>32</v>
      </c>
      <c r="N759" s="12" t="s">
        <v>23</v>
      </c>
      <c r="O759" s="12" t="s">
        <v>233</v>
      </c>
      <c r="P759" s="12" t="s">
        <v>301</v>
      </c>
      <c r="Q759" s="7" t="str">
        <f t="shared" si="34"/>
        <v>(1971,37,'1971.09.11',15,22,60,66,80,0),</v>
      </c>
      <c r="R759" s="7" t="str">
        <f t="shared" si="36"/>
        <v>(1971,37,'1971.09.11',15,22,60,66,80),</v>
      </c>
    </row>
    <row r="760" spans="1:18" x14ac:dyDescent="0.25">
      <c r="A760" s="7" t="s">
        <v>2301</v>
      </c>
      <c r="B760" s="8" t="s">
        <v>36</v>
      </c>
      <c r="C760" s="10">
        <f t="shared" si="35"/>
        <v>26194</v>
      </c>
      <c r="D760" t="s">
        <v>11</v>
      </c>
      <c r="E760" t="s">
        <v>12</v>
      </c>
      <c r="F760" t="s">
        <v>11</v>
      </c>
      <c r="G760" t="s">
        <v>12</v>
      </c>
      <c r="H760" t="s">
        <v>11</v>
      </c>
      <c r="I760" t="s">
        <v>12</v>
      </c>
      <c r="J760" t="s">
        <v>11</v>
      </c>
      <c r="K760" t="s">
        <v>12</v>
      </c>
      <c r="L760" s="12" t="s">
        <v>126</v>
      </c>
      <c r="M760" s="12" t="s">
        <v>71</v>
      </c>
      <c r="N760" s="12" t="s">
        <v>81</v>
      </c>
      <c r="O760" s="12" t="s">
        <v>246</v>
      </c>
      <c r="P760" s="12" t="s">
        <v>269</v>
      </c>
      <c r="Q760" s="7" t="str">
        <f t="shared" si="34"/>
        <v>(1971,38,'1971.09.18',28,31,47,84,87,0),</v>
      </c>
      <c r="R760" s="7" t="str">
        <f t="shared" si="36"/>
        <v>(1971,38,'1971.09.18',28,31,47,84,87),</v>
      </c>
    </row>
    <row r="761" spans="1:18" x14ac:dyDescent="0.25">
      <c r="A761" s="7" t="s">
        <v>2301</v>
      </c>
      <c r="B761" s="8" t="s">
        <v>24</v>
      </c>
      <c r="C761" s="10">
        <f t="shared" si="35"/>
        <v>26201</v>
      </c>
      <c r="D761" t="s">
        <v>11</v>
      </c>
      <c r="E761" t="s">
        <v>12</v>
      </c>
      <c r="F761" t="s">
        <v>11</v>
      </c>
      <c r="G761" t="s">
        <v>12</v>
      </c>
      <c r="H761" t="s">
        <v>11</v>
      </c>
      <c r="I761" t="s">
        <v>12</v>
      </c>
      <c r="J761" t="s">
        <v>11</v>
      </c>
      <c r="K761" t="s">
        <v>12</v>
      </c>
      <c r="L761" s="12" t="s">
        <v>207</v>
      </c>
      <c r="M761" s="12" t="s">
        <v>65</v>
      </c>
      <c r="N761" s="12" t="s">
        <v>45</v>
      </c>
      <c r="O761" s="12" t="s">
        <v>245</v>
      </c>
      <c r="P761" s="12" t="s">
        <v>143</v>
      </c>
      <c r="Q761" s="7" t="str">
        <f t="shared" si="34"/>
        <v>(1971,39,'1971.09.25',2,13,43,74,77,0),</v>
      </c>
      <c r="R761" s="7" t="str">
        <f t="shared" si="36"/>
        <v>(1971,39,'1971.09.25',2,13,43,74,77),</v>
      </c>
    </row>
    <row r="762" spans="1:18" x14ac:dyDescent="0.25">
      <c r="A762" s="7" t="s">
        <v>2301</v>
      </c>
      <c r="B762" s="8" t="s">
        <v>10</v>
      </c>
      <c r="C762" s="10">
        <f t="shared" si="35"/>
        <v>26208</v>
      </c>
      <c r="D762" t="s">
        <v>11</v>
      </c>
      <c r="E762" t="s">
        <v>12</v>
      </c>
      <c r="F762" t="s">
        <v>11</v>
      </c>
      <c r="G762" t="s">
        <v>12</v>
      </c>
      <c r="H762" t="s">
        <v>11</v>
      </c>
      <c r="I762" t="s">
        <v>12</v>
      </c>
      <c r="J762" t="s">
        <v>11</v>
      </c>
      <c r="K762" t="s">
        <v>12</v>
      </c>
      <c r="L762" s="12" t="s">
        <v>65</v>
      </c>
      <c r="M762" s="12" t="s">
        <v>54</v>
      </c>
      <c r="N762" s="12" t="s">
        <v>71</v>
      </c>
      <c r="O762" s="12" t="s">
        <v>80</v>
      </c>
      <c r="P762" s="12" t="s">
        <v>622</v>
      </c>
      <c r="Q762" s="7" t="str">
        <f t="shared" si="34"/>
        <v>(1971,40,'1971.10.02',13,15,31,32,82,0),</v>
      </c>
      <c r="R762" s="7" t="str">
        <f t="shared" si="36"/>
        <v>(1971,40,'1971.10.02',13,15,31,32,82),</v>
      </c>
    </row>
    <row r="763" spans="1:18" x14ac:dyDescent="0.25">
      <c r="A763" s="7" t="s">
        <v>2301</v>
      </c>
      <c r="B763" s="8" t="s">
        <v>13</v>
      </c>
      <c r="C763" s="10">
        <f t="shared" si="35"/>
        <v>26215</v>
      </c>
      <c r="D763" t="s">
        <v>11</v>
      </c>
      <c r="E763" t="s">
        <v>12</v>
      </c>
      <c r="F763" t="s">
        <v>11</v>
      </c>
      <c r="G763" t="s">
        <v>12</v>
      </c>
      <c r="H763" t="s">
        <v>11</v>
      </c>
      <c r="I763" t="s">
        <v>12</v>
      </c>
      <c r="J763" t="s">
        <v>11</v>
      </c>
      <c r="K763" t="s">
        <v>12</v>
      </c>
      <c r="L763" s="12" t="s">
        <v>126</v>
      </c>
      <c r="M763" s="12" t="s">
        <v>192</v>
      </c>
      <c r="N763" s="12" t="s">
        <v>169</v>
      </c>
      <c r="O763" s="12" t="s">
        <v>82</v>
      </c>
      <c r="P763" s="12" t="s">
        <v>63</v>
      </c>
      <c r="Q763" s="7" t="str">
        <f t="shared" si="34"/>
        <v>(1971,41,'1971.10.09',28,46,58,59,78,0),</v>
      </c>
      <c r="R763" s="7" t="str">
        <f t="shared" si="36"/>
        <v>(1971,41,'1971.10.09',28,46,58,59,78),</v>
      </c>
    </row>
    <row r="764" spans="1:18" x14ac:dyDescent="0.25">
      <c r="A764" s="7" t="s">
        <v>2301</v>
      </c>
      <c r="B764" s="8" t="s">
        <v>98</v>
      </c>
      <c r="C764" s="10">
        <f t="shared" si="35"/>
        <v>26222</v>
      </c>
      <c r="D764" t="s">
        <v>11</v>
      </c>
      <c r="E764" t="s">
        <v>12</v>
      </c>
      <c r="F764" t="s">
        <v>11</v>
      </c>
      <c r="G764" t="s">
        <v>12</v>
      </c>
      <c r="H764" t="s">
        <v>11</v>
      </c>
      <c r="I764" t="s">
        <v>12</v>
      </c>
      <c r="J764" t="s">
        <v>11</v>
      </c>
      <c r="K764" t="s">
        <v>12</v>
      </c>
      <c r="L764" s="12" t="s">
        <v>270</v>
      </c>
      <c r="M764" s="12" t="s">
        <v>55</v>
      </c>
      <c r="N764" s="12" t="s">
        <v>123</v>
      </c>
      <c r="O764" s="12" t="s">
        <v>169</v>
      </c>
      <c r="P764" s="12" t="s">
        <v>23</v>
      </c>
      <c r="Q764" s="7" t="str">
        <f t="shared" si="34"/>
        <v>(1971,42,'1971.10.16',6,19,54,58,60,0),</v>
      </c>
      <c r="R764" s="7" t="str">
        <f t="shared" si="36"/>
        <v>(1971,42,'1971.10.16',6,19,54,58,60),</v>
      </c>
    </row>
    <row r="765" spans="1:18" x14ac:dyDescent="0.25">
      <c r="A765" s="7" t="s">
        <v>2301</v>
      </c>
      <c r="B765" s="8" t="s">
        <v>45</v>
      </c>
      <c r="C765" s="10">
        <f t="shared" si="35"/>
        <v>26229</v>
      </c>
      <c r="D765" t="s">
        <v>11</v>
      </c>
      <c r="E765" t="s">
        <v>12</v>
      </c>
      <c r="F765" t="s">
        <v>11</v>
      </c>
      <c r="G765" t="s">
        <v>12</v>
      </c>
      <c r="H765" t="s">
        <v>11</v>
      </c>
      <c r="I765" t="s">
        <v>12</v>
      </c>
      <c r="J765" t="s">
        <v>11</v>
      </c>
      <c r="K765" t="s">
        <v>12</v>
      </c>
      <c r="L765" s="12" t="s">
        <v>198</v>
      </c>
      <c r="M765" s="12" t="s">
        <v>115</v>
      </c>
      <c r="N765" s="12" t="s">
        <v>163</v>
      </c>
      <c r="O765" s="12" t="s">
        <v>175</v>
      </c>
      <c r="P765" s="12" t="s">
        <v>124</v>
      </c>
      <c r="Q765" s="7" t="str">
        <f t="shared" si="34"/>
        <v>(1971,43,'1971.10.23',9,20,23,55,62,0),</v>
      </c>
      <c r="R765" s="7" t="str">
        <f t="shared" si="36"/>
        <v>(1971,43,'1971.10.23',9,20,23,55,62),</v>
      </c>
    </row>
    <row r="766" spans="1:18" x14ac:dyDescent="0.25">
      <c r="A766" s="7" t="s">
        <v>2301</v>
      </c>
      <c r="B766" s="8" t="s">
        <v>142</v>
      </c>
      <c r="C766" s="10">
        <f t="shared" si="35"/>
        <v>26236</v>
      </c>
      <c r="D766" t="s">
        <v>11</v>
      </c>
      <c r="E766" t="s">
        <v>12</v>
      </c>
      <c r="F766" t="s">
        <v>11</v>
      </c>
      <c r="G766" t="s">
        <v>12</v>
      </c>
      <c r="H766" t="s">
        <v>11</v>
      </c>
      <c r="I766" t="s">
        <v>12</v>
      </c>
      <c r="J766" t="s">
        <v>11</v>
      </c>
      <c r="K766" t="s">
        <v>12</v>
      </c>
      <c r="L766" s="12" t="s">
        <v>54</v>
      </c>
      <c r="M766" s="12" t="s">
        <v>55</v>
      </c>
      <c r="N766" s="12" t="s">
        <v>46</v>
      </c>
      <c r="O766" s="12" t="s">
        <v>34</v>
      </c>
      <c r="P766" s="12" t="s">
        <v>91</v>
      </c>
      <c r="Q766" s="7" t="str">
        <f t="shared" si="34"/>
        <v>(1971,44,'1971.10.30',15,19,37,49,61,0),</v>
      </c>
      <c r="R766" s="7" t="str">
        <f t="shared" si="36"/>
        <v>(1971,44,'1971.10.30',15,19,37,49,61),</v>
      </c>
    </row>
    <row r="767" spans="1:18" x14ac:dyDescent="0.25">
      <c r="A767" s="7" t="s">
        <v>2301</v>
      </c>
      <c r="B767" s="8" t="s">
        <v>133</v>
      </c>
      <c r="C767" s="10">
        <f t="shared" si="35"/>
        <v>26243</v>
      </c>
      <c r="D767" t="s">
        <v>11</v>
      </c>
      <c r="E767" t="s">
        <v>12</v>
      </c>
      <c r="F767" t="s">
        <v>11</v>
      </c>
      <c r="G767" t="s">
        <v>12</v>
      </c>
      <c r="H767" t="s">
        <v>11</v>
      </c>
      <c r="I767" t="s">
        <v>12</v>
      </c>
      <c r="J767" t="s">
        <v>11</v>
      </c>
      <c r="K767" t="s">
        <v>12</v>
      </c>
      <c r="L767" s="12" t="s">
        <v>108</v>
      </c>
      <c r="M767" s="12" t="s">
        <v>115</v>
      </c>
      <c r="N767" s="12" t="s">
        <v>192</v>
      </c>
      <c r="O767" s="12" t="s">
        <v>199</v>
      </c>
      <c r="P767" s="12" t="s">
        <v>175</v>
      </c>
      <c r="Q767" s="7" t="str">
        <f t="shared" si="34"/>
        <v>(1971,45,'1971.11.06',1,20,46,53,55,0),</v>
      </c>
      <c r="R767" s="7" t="str">
        <f t="shared" si="36"/>
        <v>(1971,45,'1971.11.06',1,20,46,53,55),</v>
      </c>
    </row>
    <row r="768" spans="1:18" x14ac:dyDescent="0.25">
      <c r="A768" s="7" t="s">
        <v>2301</v>
      </c>
      <c r="B768" s="8" t="s">
        <v>192</v>
      </c>
      <c r="C768" s="10">
        <f t="shared" si="35"/>
        <v>26250</v>
      </c>
      <c r="D768" t="s">
        <v>11</v>
      </c>
      <c r="E768" t="s">
        <v>12</v>
      </c>
      <c r="F768" t="s">
        <v>11</v>
      </c>
      <c r="G768" t="s">
        <v>12</v>
      </c>
      <c r="H768" t="s">
        <v>11</v>
      </c>
      <c r="I768" t="s">
        <v>12</v>
      </c>
      <c r="J768" t="s">
        <v>11</v>
      </c>
      <c r="K768" t="s">
        <v>12</v>
      </c>
      <c r="L768" s="12" t="s">
        <v>65</v>
      </c>
      <c r="M768" s="12" t="s">
        <v>90</v>
      </c>
      <c r="N768" s="12" t="s">
        <v>19</v>
      </c>
      <c r="O768" s="12" t="s">
        <v>81</v>
      </c>
      <c r="P768" s="12" t="s">
        <v>72</v>
      </c>
      <c r="Q768" s="7" t="str">
        <f t="shared" si="34"/>
        <v>(1971,46,'1971.11.13',13,17,18,47,67,0),</v>
      </c>
      <c r="R768" s="7" t="str">
        <f t="shared" si="36"/>
        <v>(1971,46,'1971.11.13',13,17,18,47,67),</v>
      </c>
    </row>
    <row r="769" spans="1:18" x14ac:dyDescent="0.25">
      <c r="A769" s="7" t="s">
        <v>2301</v>
      </c>
      <c r="B769" s="8" t="s">
        <v>81</v>
      </c>
      <c r="C769" s="10">
        <f t="shared" si="35"/>
        <v>26257</v>
      </c>
      <c r="D769" t="s">
        <v>11</v>
      </c>
      <c r="E769" t="s">
        <v>12</v>
      </c>
      <c r="F769" t="s">
        <v>11</v>
      </c>
      <c r="G769" t="s">
        <v>12</v>
      </c>
      <c r="H769" t="s">
        <v>11</v>
      </c>
      <c r="I769" t="s">
        <v>12</v>
      </c>
      <c r="J769" t="s">
        <v>11</v>
      </c>
      <c r="K769" t="s">
        <v>12</v>
      </c>
      <c r="L769" s="12" t="s">
        <v>32</v>
      </c>
      <c r="M769" s="12" t="s">
        <v>142</v>
      </c>
      <c r="N769" s="12" t="s">
        <v>199</v>
      </c>
      <c r="O769" s="12" t="s">
        <v>175</v>
      </c>
      <c r="P769" s="12" t="s">
        <v>47</v>
      </c>
      <c r="Q769" s="7" t="str">
        <f t="shared" si="34"/>
        <v>(1971,47,'1971.11.20',22,44,53,55,69,0),</v>
      </c>
      <c r="R769" s="7" t="str">
        <f t="shared" si="36"/>
        <v>(1971,47,'1971.11.20',22,44,53,55,69),</v>
      </c>
    </row>
    <row r="770" spans="1:18" x14ac:dyDescent="0.25">
      <c r="A770" s="7" t="s">
        <v>2301</v>
      </c>
      <c r="B770" s="8" t="s">
        <v>22</v>
      </c>
      <c r="C770" s="10">
        <f t="shared" si="35"/>
        <v>26264</v>
      </c>
      <c r="D770" t="s">
        <v>11</v>
      </c>
      <c r="E770" t="s">
        <v>12</v>
      </c>
      <c r="F770" t="s">
        <v>11</v>
      </c>
      <c r="G770" t="s">
        <v>12</v>
      </c>
      <c r="H770" t="s">
        <v>11</v>
      </c>
      <c r="I770" t="s">
        <v>12</v>
      </c>
      <c r="J770" t="s">
        <v>11</v>
      </c>
      <c r="K770" t="s">
        <v>12</v>
      </c>
      <c r="L770" s="12" t="s">
        <v>90</v>
      </c>
      <c r="M770" s="12" t="s">
        <v>135</v>
      </c>
      <c r="N770" s="12" t="s">
        <v>25</v>
      </c>
      <c r="O770" s="12" t="s">
        <v>10</v>
      </c>
      <c r="P770" s="12" t="s">
        <v>56</v>
      </c>
      <c r="Q770" s="7" t="str">
        <f t="shared" ref="Q770:Q833" si="37">"("&amp;A770&amp;","&amp;B770&amp;",'"&amp;TEXT(C770,"éééé.hh.nn")&amp;"',"&amp;L770&amp;","&amp;M770&amp;","&amp;N770&amp;","&amp;O770&amp;","&amp;P770&amp;",0)"&amp;IF(P771&lt;&gt;0,",","")</f>
        <v>(1971,48,'1971.11.27',17,27,34,40,71,0),</v>
      </c>
      <c r="R770" s="7" t="str">
        <f t="shared" si="36"/>
        <v>(1971,48,'1971.11.27',17,27,34,40,71),</v>
      </c>
    </row>
    <row r="771" spans="1:18" x14ac:dyDescent="0.25">
      <c r="A771" s="7" t="s">
        <v>2301</v>
      </c>
      <c r="B771" s="8" t="s">
        <v>34</v>
      </c>
      <c r="C771" s="10">
        <f t="shared" ref="C771:C834" si="38">+C770+7</f>
        <v>26271</v>
      </c>
      <c r="D771" t="s">
        <v>11</v>
      </c>
      <c r="E771" t="s">
        <v>12</v>
      </c>
      <c r="F771" t="s">
        <v>11</v>
      </c>
      <c r="G771" t="s">
        <v>12</v>
      </c>
      <c r="H771" t="s">
        <v>11</v>
      </c>
      <c r="I771" t="s">
        <v>12</v>
      </c>
      <c r="J771" t="s">
        <v>11</v>
      </c>
      <c r="K771" t="s">
        <v>12</v>
      </c>
      <c r="L771" s="12" t="s">
        <v>54</v>
      </c>
      <c r="M771" s="12" t="s">
        <v>152</v>
      </c>
      <c r="N771" s="12" t="s">
        <v>10</v>
      </c>
      <c r="O771" s="12" t="s">
        <v>122</v>
      </c>
      <c r="P771" s="12" t="s">
        <v>23</v>
      </c>
      <c r="Q771" s="7" t="str">
        <f t="shared" si="37"/>
        <v>(1971,49,'1971.12.04',15,25,40,51,60,0),</v>
      </c>
      <c r="R771" s="7" t="str">
        <f t="shared" ref="R771:R834" si="39">IF(TRIM(P771)="","","("&amp;A771&amp;","&amp;B771&amp;",'"&amp;TEXT(C771,"éééé.hh.nn")&amp;"',"&amp;L771&amp;","&amp;M771&amp;","&amp;N771&amp;","&amp;O771&amp;","&amp;P771&amp;")"&amp;IF(P772=0,";",","))</f>
        <v>(1971,49,'1971.12.04',15,25,40,51,60),</v>
      </c>
    </row>
    <row r="772" spans="1:18" x14ac:dyDescent="0.25">
      <c r="A772" s="7" t="s">
        <v>2301</v>
      </c>
      <c r="B772" s="8" t="s">
        <v>105</v>
      </c>
      <c r="C772" s="10">
        <f t="shared" si="38"/>
        <v>26278</v>
      </c>
      <c r="D772" t="s">
        <v>11</v>
      </c>
      <c r="E772" t="s">
        <v>12</v>
      </c>
      <c r="F772" t="s">
        <v>11</v>
      </c>
      <c r="G772" t="s">
        <v>12</v>
      </c>
      <c r="H772" t="s">
        <v>11</v>
      </c>
      <c r="I772" t="s">
        <v>12</v>
      </c>
      <c r="J772" t="s">
        <v>11</v>
      </c>
      <c r="K772" t="s">
        <v>12</v>
      </c>
      <c r="L772" s="12" t="s">
        <v>65</v>
      </c>
      <c r="M772" s="12" t="s">
        <v>81</v>
      </c>
      <c r="N772" s="12" t="s">
        <v>34</v>
      </c>
      <c r="O772" s="12" t="s">
        <v>150</v>
      </c>
      <c r="P772" s="12" t="s">
        <v>106</v>
      </c>
      <c r="Q772" s="7" t="str">
        <f t="shared" si="37"/>
        <v>(1971,50,'1971.12.11',13,47,49,57,75,0),</v>
      </c>
      <c r="R772" s="7" t="str">
        <f t="shared" si="39"/>
        <v>(1971,50,'1971.12.11',13,47,49,57,75),</v>
      </c>
    </row>
    <row r="773" spans="1:18" x14ac:dyDescent="0.25">
      <c r="A773" s="7" t="s">
        <v>2301</v>
      </c>
      <c r="B773" s="8" t="s">
        <v>122</v>
      </c>
      <c r="C773" s="10">
        <f t="shared" si="38"/>
        <v>26285</v>
      </c>
      <c r="D773" t="s">
        <v>11</v>
      </c>
      <c r="E773" t="s">
        <v>12</v>
      </c>
      <c r="F773" t="s">
        <v>11</v>
      </c>
      <c r="G773" t="s">
        <v>12</v>
      </c>
      <c r="H773" t="s">
        <v>11</v>
      </c>
      <c r="I773" t="s">
        <v>12</v>
      </c>
      <c r="J773" t="s">
        <v>11</v>
      </c>
      <c r="K773" t="s">
        <v>12</v>
      </c>
      <c r="L773" s="12" t="s">
        <v>42</v>
      </c>
      <c r="M773" s="12" t="s">
        <v>19</v>
      </c>
      <c r="N773" s="12" t="s">
        <v>32</v>
      </c>
      <c r="O773" s="12" t="s">
        <v>80</v>
      </c>
      <c r="P773" s="12" t="s">
        <v>91</v>
      </c>
      <c r="Q773" s="7" t="str">
        <f t="shared" si="37"/>
        <v>(1971,51,'1971.12.18',3,18,22,32,61,0),</v>
      </c>
      <c r="R773" s="7" t="str">
        <f t="shared" si="39"/>
        <v>(1971,51,'1971.12.18',3,18,22,32,61),</v>
      </c>
    </row>
    <row r="774" spans="1:18" x14ac:dyDescent="0.25">
      <c r="A774" s="7" t="s">
        <v>2301</v>
      </c>
      <c r="B774" s="8" t="s">
        <v>99</v>
      </c>
      <c r="C774" s="10">
        <f t="shared" si="38"/>
        <v>26292</v>
      </c>
      <c r="D774" t="s">
        <v>11</v>
      </c>
      <c r="E774" t="s">
        <v>12</v>
      </c>
      <c r="F774" t="s">
        <v>11</v>
      </c>
      <c r="G774" t="s">
        <v>12</v>
      </c>
      <c r="H774" t="s">
        <v>11</v>
      </c>
      <c r="I774" t="s">
        <v>12</v>
      </c>
      <c r="J774" t="s">
        <v>11</v>
      </c>
      <c r="K774" t="s">
        <v>12</v>
      </c>
      <c r="L774" s="12" t="s">
        <v>207</v>
      </c>
      <c r="M774" s="12" t="s">
        <v>34</v>
      </c>
      <c r="N774" s="12" t="s">
        <v>47</v>
      </c>
      <c r="O774" s="12" t="s">
        <v>56</v>
      </c>
      <c r="P774" s="12" t="s">
        <v>63</v>
      </c>
      <c r="Q774" s="7" t="str">
        <f t="shared" si="37"/>
        <v>(1971,52,'1971.12.25',2,49,69,71,78,0),</v>
      </c>
      <c r="R774" s="7" t="str">
        <f t="shared" si="39"/>
        <v>(1971,52,'1971.12.25',2,49,69,71,78),</v>
      </c>
    </row>
    <row r="775" spans="1:18" x14ac:dyDescent="0.25">
      <c r="A775" s="7" t="s">
        <v>2301</v>
      </c>
      <c r="B775" s="8" t="s">
        <v>199</v>
      </c>
      <c r="C775" s="10">
        <f t="shared" si="38"/>
        <v>26299</v>
      </c>
      <c r="D775" t="s">
        <v>11</v>
      </c>
      <c r="E775" t="s">
        <v>12</v>
      </c>
      <c r="F775" t="s">
        <v>11</v>
      </c>
      <c r="G775" t="s">
        <v>12</v>
      </c>
      <c r="H775" t="s">
        <v>11</v>
      </c>
      <c r="I775" t="s">
        <v>12</v>
      </c>
      <c r="J775" t="s">
        <v>11</v>
      </c>
      <c r="K775" t="s">
        <v>12</v>
      </c>
      <c r="L775" s="12" t="s">
        <v>55</v>
      </c>
      <c r="M775" s="12" t="s">
        <v>192</v>
      </c>
      <c r="N775" s="12" t="s">
        <v>169</v>
      </c>
      <c r="O775" s="12" t="s">
        <v>35</v>
      </c>
      <c r="P775" s="12" t="s">
        <v>622</v>
      </c>
      <c r="Q775" s="7" t="str">
        <f t="shared" si="37"/>
        <v>(1971,53,'1972.01.01',19,46,58,65,82,0),</v>
      </c>
      <c r="R775" s="7" t="str">
        <f t="shared" si="39"/>
        <v>(1971,53,'1972.01.01',19,46,58,65,82),</v>
      </c>
    </row>
    <row r="776" spans="1:18" x14ac:dyDescent="0.25">
      <c r="A776" s="7" t="s">
        <v>5862</v>
      </c>
      <c r="B776" s="8" t="s">
        <v>108</v>
      </c>
      <c r="C776" s="10">
        <f t="shared" si="38"/>
        <v>26306</v>
      </c>
      <c r="D776" t="s">
        <v>11</v>
      </c>
      <c r="E776" t="s">
        <v>12</v>
      </c>
      <c r="F776" t="s">
        <v>11</v>
      </c>
      <c r="G776" t="s">
        <v>12</v>
      </c>
      <c r="H776" t="s">
        <v>11</v>
      </c>
      <c r="I776" t="s">
        <v>12</v>
      </c>
      <c r="J776" t="s">
        <v>11</v>
      </c>
      <c r="K776" t="s">
        <v>12</v>
      </c>
      <c r="L776" s="12" t="s">
        <v>270</v>
      </c>
      <c r="M776" s="12" t="s">
        <v>44</v>
      </c>
      <c r="N776" s="12" t="s">
        <v>10</v>
      </c>
      <c r="O776" s="12" t="s">
        <v>22</v>
      </c>
      <c r="P776" s="12" t="s">
        <v>239</v>
      </c>
      <c r="Q776" s="7" t="str">
        <f t="shared" si="37"/>
        <v>(1972,1,'1972.01.08',6,21,40,48,73,0),</v>
      </c>
      <c r="R776" s="7" t="str">
        <f t="shared" si="39"/>
        <v>(1972,1,'1972.01.08',6,21,40,48,73),</v>
      </c>
    </row>
    <row r="777" spans="1:18" x14ac:dyDescent="0.25">
      <c r="A777" s="7" t="s">
        <v>5862</v>
      </c>
      <c r="B777" s="8" t="s">
        <v>207</v>
      </c>
      <c r="C777" s="10">
        <f t="shared" si="38"/>
        <v>26313</v>
      </c>
      <c r="D777" t="s">
        <v>11</v>
      </c>
      <c r="E777" t="s">
        <v>12</v>
      </c>
      <c r="F777" t="s">
        <v>11</v>
      </c>
      <c r="G777" t="s">
        <v>12</v>
      </c>
      <c r="H777" t="s">
        <v>11</v>
      </c>
      <c r="I777" t="s">
        <v>12</v>
      </c>
      <c r="J777" t="s">
        <v>11</v>
      </c>
      <c r="K777" t="s">
        <v>12</v>
      </c>
      <c r="L777" s="12" t="s">
        <v>10</v>
      </c>
      <c r="M777" s="12" t="s">
        <v>45</v>
      </c>
      <c r="N777" s="12" t="s">
        <v>214</v>
      </c>
      <c r="O777" s="12" t="s">
        <v>106</v>
      </c>
      <c r="P777" s="12" t="s">
        <v>208</v>
      </c>
      <c r="Q777" s="7" t="str">
        <f t="shared" si="37"/>
        <v>(1972,2,'1972.01.15',40,43,64,75,88,0),</v>
      </c>
      <c r="R777" s="7" t="str">
        <f t="shared" si="39"/>
        <v>(1972,2,'1972.01.15',40,43,64,75,88),</v>
      </c>
    </row>
    <row r="778" spans="1:18" x14ac:dyDescent="0.25">
      <c r="A778" s="7" t="s">
        <v>5862</v>
      </c>
      <c r="B778" s="8" t="s">
        <v>42</v>
      </c>
      <c r="C778" s="10">
        <f t="shared" si="38"/>
        <v>26320</v>
      </c>
      <c r="D778" t="s">
        <v>11</v>
      </c>
      <c r="E778" t="s">
        <v>12</v>
      </c>
      <c r="F778" t="s">
        <v>11</v>
      </c>
      <c r="G778" t="s">
        <v>12</v>
      </c>
      <c r="H778" t="s">
        <v>11</v>
      </c>
      <c r="I778" t="s">
        <v>12</v>
      </c>
      <c r="J778" t="s">
        <v>11</v>
      </c>
      <c r="K778" t="s">
        <v>12</v>
      </c>
      <c r="L778" s="12" t="s">
        <v>19</v>
      </c>
      <c r="M778" s="12" t="s">
        <v>150</v>
      </c>
      <c r="N778" s="12" t="s">
        <v>35</v>
      </c>
      <c r="O778" s="12" t="s">
        <v>200</v>
      </c>
      <c r="P778" s="12" t="s">
        <v>201</v>
      </c>
      <c r="Q778" s="7" t="str">
        <f t="shared" si="37"/>
        <v>(1972,3,'1972.01.22',18,57,65,70,72,0),</v>
      </c>
      <c r="R778" s="7" t="str">
        <f t="shared" si="39"/>
        <v>(1972,3,'1972.01.22',18,57,65,70,72),</v>
      </c>
    </row>
    <row r="779" spans="1:18" x14ac:dyDescent="0.25">
      <c r="A779" s="7" t="s">
        <v>5862</v>
      </c>
      <c r="B779" s="8" t="s">
        <v>168</v>
      </c>
      <c r="C779" s="10">
        <f t="shared" si="38"/>
        <v>26327</v>
      </c>
      <c r="D779" t="s">
        <v>11</v>
      </c>
      <c r="E779" t="s">
        <v>12</v>
      </c>
      <c r="F779" t="s">
        <v>11</v>
      </c>
      <c r="G779" t="s">
        <v>12</v>
      </c>
      <c r="H779" t="s">
        <v>11</v>
      </c>
      <c r="I779" t="s">
        <v>12</v>
      </c>
      <c r="J779" t="s">
        <v>11</v>
      </c>
      <c r="K779" t="s">
        <v>12</v>
      </c>
      <c r="L779" s="12" t="s">
        <v>43</v>
      </c>
      <c r="M779" s="12" t="s">
        <v>163</v>
      </c>
      <c r="N779" s="12" t="s">
        <v>33</v>
      </c>
      <c r="O779" s="12" t="s">
        <v>201</v>
      </c>
      <c r="P779" s="12" t="s">
        <v>468</v>
      </c>
      <c r="Q779" s="7" t="str">
        <f t="shared" si="37"/>
        <v>(1972,4,'1972.01.29',16,23,24,72,85,0),</v>
      </c>
      <c r="R779" s="7" t="str">
        <f t="shared" si="39"/>
        <v>(1972,4,'1972.01.29',16,23,24,72,85),</v>
      </c>
    </row>
    <row r="780" spans="1:18" x14ac:dyDescent="0.25">
      <c r="A780" s="7" t="s">
        <v>5862</v>
      </c>
      <c r="B780" s="8" t="s">
        <v>89</v>
      </c>
      <c r="C780" s="10">
        <f t="shared" si="38"/>
        <v>26334</v>
      </c>
      <c r="D780" t="s">
        <v>11</v>
      </c>
      <c r="E780" t="s">
        <v>12</v>
      </c>
      <c r="F780" t="s">
        <v>11</v>
      </c>
      <c r="G780" t="s">
        <v>12</v>
      </c>
      <c r="H780" t="s">
        <v>11</v>
      </c>
      <c r="I780" t="s">
        <v>12</v>
      </c>
      <c r="J780" t="s">
        <v>11</v>
      </c>
      <c r="K780" t="s">
        <v>12</v>
      </c>
      <c r="L780" s="12" t="s">
        <v>54</v>
      </c>
      <c r="M780" s="12" t="s">
        <v>19</v>
      </c>
      <c r="N780" s="12" t="s">
        <v>71</v>
      </c>
      <c r="O780" s="12" t="s">
        <v>80</v>
      </c>
      <c r="P780" s="12" t="s">
        <v>308</v>
      </c>
      <c r="Q780" s="7" t="str">
        <f t="shared" si="37"/>
        <v>(1972,5,'1972.02.05',15,18,31,32,86,0),</v>
      </c>
      <c r="R780" s="7" t="str">
        <f t="shared" si="39"/>
        <v>(1972,5,'1972.02.05',15,18,31,32,86),</v>
      </c>
    </row>
    <row r="781" spans="1:18" x14ac:dyDescent="0.25">
      <c r="A781" s="7" t="s">
        <v>5862</v>
      </c>
      <c r="B781" s="8" t="s">
        <v>270</v>
      </c>
      <c r="C781" s="10">
        <f t="shared" si="38"/>
        <v>26341</v>
      </c>
      <c r="D781" t="s">
        <v>11</v>
      </c>
      <c r="E781" t="s">
        <v>12</v>
      </c>
      <c r="F781" t="s">
        <v>11</v>
      </c>
      <c r="G781" t="s">
        <v>12</v>
      </c>
      <c r="H781" t="s">
        <v>11</v>
      </c>
      <c r="I781" t="s">
        <v>12</v>
      </c>
      <c r="J781" t="s">
        <v>11</v>
      </c>
      <c r="K781" t="s">
        <v>12</v>
      </c>
      <c r="L781" s="12" t="s">
        <v>168</v>
      </c>
      <c r="M781" s="12" t="s">
        <v>36</v>
      </c>
      <c r="N781" s="12" t="s">
        <v>45</v>
      </c>
      <c r="O781" s="12" t="s">
        <v>122</v>
      </c>
      <c r="P781" s="12" t="s">
        <v>125</v>
      </c>
      <c r="Q781" s="7" t="str">
        <f t="shared" si="37"/>
        <v>(1972,6,'1972.02.12',4,38,43,51,83,0),</v>
      </c>
      <c r="R781" s="7" t="str">
        <f t="shared" si="39"/>
        <v>(1972,6,'1972.02.12',4,38,43,51,83),</v>
      </c>
    </row>
    <row r="782" spans="1:18" x14ac:dyDescent="0.25">
      <c r="A782" s="7" t="s">
        <v>5862</v>
      </c>
      <c r="B782" s="8" t="s">
        <v>53</v>
      </c>
      <c r="C782" s="10">
        <f t="shared" si="38"/>
        <v>26348</v>
      </c>
      <c r="D782" t="s">
        <v>11</v>
      </c>
      <c r="E782" t="s">
        <v>12</v>
      </c>
      <c r="F782" t="s">
        <v>11</v>
      </c>
      <c r="G782" t="s">
        <v>12</v>
      </c>
      <c r="H782" t="s">
        <v>11</v>
      </c>
      <c r="I782" t="s">
        <v>12</v>
      </c>
      <c r="J782" t="s">
        <v>11</v>
      </c>
      <c r="K782" t="s">
        <v>12</v>
      </c>
      <c r="L782" s="12" t="s">
        <v>20</v>
      </c>
      <c r="M782" s="12" t="s">
        <v>133</v>
      </c>
      <c r="N782" s="12" t="s">
        <v>199</v>
      </c>
      <c r="O782" s="12" t="s">
        <v>175</v>
      </c>
      <c r="P782" s="12" t="s">
        <v>82</v>
      </c>
      <c r="Q782" s="7" t="str">
        <f t="shared" si="37"/>
        <v>(1972,7,'1972.02.19',33,45,53,55,59,0),</v>
      </c>
      <c r="R782" s="7" t="str">
        <f t="shared" si="39"/>
        <v>(1972,7,'1972.02.19',33,45,53,55,59),</v>
      </c>
    </row>
    <row r="783" spans="1:18" x14ac:dyDescent="0.25">
      <c r="A783" s="7" t="s">
        <v>5862</v>
      </c>
      <c r="B783" s="8" t="s">
        <v>232</v>
      </c>
      <c r="C783" s="10">
        <f t="shared" si="38"/>
        <v>26355</v>
      </c>
      <c r="D783" t="s">
        <v>11</v>
      </c>
      <c r="E783" t="s">
        <v>12</v>
      </c>
      <c r="F783" t="s">
        <v>11</v>
      </c>
      <c r="G783" t="s">
        <v>12</v>
      </c>
      <c r="H783" t="s">
        <v>11</v>
      </c>
      <c r="I783" t="s">
        <v>12</v>
      </c>
      <c r="J783" t="s">
        <v>11</v>
      </c>
      <c r="K783" t="s">
        <v>12</v>
      </c>
      <c r="L783" s="12" t="s">
        <v>115</v>
      </c>
      <c r="M783" s="12" t="s">
        <v>21</v>
      </c>
      <c r="N783" s="12" t="s">
        <v>13</v>
      </c>
      <c r="O783" s="12" t="s">
        <v>142</v>
      </c>
      <c r="P783" s="12" t="s">
        <v>23</v>
      </c>
      <c r="Q783" s="7" t="str">
        <f t="shared" si="37"/>
        <v>(1972,8,'1972.02.26',20,36,41,44,60,0),</v>
      </c>
      <c r="R783" s="7" t="str">
        <f t="shared" si="39"/>
        <v>(1972,8,'1972.02.26',20,36,41,44,60),</v>
      </c>
    </row>
    <row r="784" spans="1:18" x14ac:dyDescent="0.25">
      <c r="A784" s="7" t="s">
        <v>5862</v>
      </c>
      <c r="B784" s="8" t="s">
        <v>198</v>
      </c>
      <c r="C784" s="10">
        <f t="shared" si="38"/>
        <v>26362</v>
      </c>
      <c r="D784" t="s">
        <v>11</v>
      </c>
      <c r="E784" t="s">
        <v>12</v>
      </c>
      <c r="F784" t="s">
        <v>11</v>
      </c>
      <c r="G784" t="s">
        <v>12</v>
      </c>
      <c r="H784" t="s">
        <v>11</v>
      </c>
      <c r="I784" t="s">
        <v>12</v>
      </c>
      <c r="J784" t="s">
        <v>11</v>
      </c>
      <c r="K784" t="s">
        <v>12</v>
      </c>
      <c r="L784" s="12" t="s">
        <v>207</v>
      </c>
      <c r="M784" s="12" t="s">
        <v>65</v>
      </c>
      <c r="N784" s="12" t="s">
        <v>115</v>
      </c>
      <c r="O784" s="12" t="s">
        <v>116</v>
      </c>
      <c r="P784" s="12" t="s">
        <v>233</v>
      </c>
      <c r="Q784" s="7" t="str">
        <f t="shared" si="37"/>
        <v>(1972,9,'1972.03.04',2,13,20,29,66,0),</v>
      </c>
      <c r="R784" s="7" t="str">
        <f t="shared" si="39"/>
        <v>(1972,9,'1972.03.04',2,13,20,29,66),</v>
      </c>
    </row>
    <row r="785" spans="1:18" x14ac:dyDescent="0.25">
      <c r="A785" s="7" t="s">
        <v>5862</v>
      </c>
      <c r="B785" s="8" t="s">
        <v>62</v>
      </c>
      <c r="C785" s="10">
        <f t="shared" si="38"/>
        <v>26369</v>
      </c>
      <c r="D785" t="s">
        <v>11</v>
      </c>
      <c r="E785" t="s">
        <v>12</v>
      </c>
      <c r="F785" t="s">
        <v>11</v>
      </c>
      <c r="G785" t="s">
        <v>12</v>
      </c>
      <c r="H785" t="s">
        <v>11</v>
      </c>
      <c r="I785" t="s">
        <v>12</v>
      </c>
      <c r="J785" t="s">
        <v>11</v>
      </c>
      <c r="K785" t="s">
        <v>12</v>
      </c>
      <c r="L785" s="12" t="s">
        <v>270</v>
      </c>
      <c r="M785" s="12" t="s">
        <v>232</v>
      </c>
      <c r="N785" s="12" t="s">
        <v>32</v>
      </c>
      <c r="O785" s="12" t="s">
        <v>163</v>
      </c>
      <c r="P785" s="12" t="s">
        <v>214</v>
      </c>
      <c r="Q785" s="7" t="str">
        <f t="shared" si="37"/>
        <v>(1972,10,'1972.03.11',6,8,22,23,64,0),</v>
      </c>
      <c r="R785" s="7" t="str">
        <f t="shared" si="39"/>
        <v>(1972,10,'1972.03.11',6,8,22,23,64),</v>
      </c>
    </row>
    <row r="786" spans="1:18" x14ac:dyDescent="0.25">
      <c r="A786" s="7" t="s">
        <v>5862</v>
      </c>
      <c r="B786" s="8" t="s">
        <v>83</v>
      </c>
      <c r="C786" s="10">
        <f t="shared" si="38"/>
        <v>26376</v>
      </c>
      <c r="D786" t="s">
        <v>11</v>
      </c>
      <c r="E786" t="s">
        <v>12</v>
      </c>
      <c r="F786" t="s">
        <v>11</v>
      </c>
      <c r="G786" t="s">
        <v>12</v>
      </c>
      <c r="H786" t="s">
        <v>11</v>
      </c>
      <c r="I786" t="s">
        <v>12</v>
      </c>
      <c r="J786" t="s">
        <v>11</v>
      </c>
      <c r="K786" t="s">
        <v>12</v>
      </c>
      <c r="L786" s="12" t="s">
        <v>62</v>
      </c>
      <c r="M786" s="12" t="s">
        <v>214</v>
      </c>
      <c r="N786" s="12" t="s">
        <v>92</v>
      </c>
      <c r="O786" s="12" t="s">
        <v>239</v>
      </c>
      <c r="P786" s="12" t="s">
        <v>106</v>
      </c>
      <c r="Q786" s="7" t="str">
        <f t="shared" si="37"/>
        <v>(1972,11,'1972.03.18',10,64,68,73,75,0),</v>
      </c>
      <c r="R786" s="7" t="str">
        <f t="shared" si="39"/>
        <v>(1972,11,'1972.03.18',10,64,68,73,75),</v>
      </c>
    </row>
    <row r="787" spans="1:18" x14ac:dyDescent="0.25">
      <c r="A787" s="7" t="s">
        <v>5862</v>
      </c>
      <c r="B787" s="8" t="s">
        <v>31</v>
      </c>
      <c r="C787" s="10">
        <f t="shared" si="38"/>
        <v>26383</v>
      </c>
      <c r="D787" t="s">
        <v>11</v>
      </c>
      <c r="E787" t="s">
        <v>12</v>
      </c>
      <c r="F787" t="s">
        <v>11</v>
      </c>
      <c r="G787" t="s">
        <v>12</v>
      </c>
      <c r="H787" t="s">
        <v>11</v>
      </c>
      <c r="I787" t="s">
        <v>12</v>
      </c>
      <c r="J787" t="s">
        <v>11</v>
      </c>
      <c r="K787" t="s">
        <v>12</v>
      </c>
      <c r="L787" s="12" t="s">
        <v>62</v>
      </c>
      <c r="M787" s="12" t="s">
        <v>74</v>
      </c>
      <c r="N787" s="12" t="s">
        <v>21</v>
      </c>
      <c r="O787" s="12" t="s">
        <v>46</v>
      </c>
      <c r="P787" s="12" t="s">
        <v>143</v>
      </c>
      <c r="Q787" s="7" t="str">
        <f t="shared" si="37"/>
        <v>(1972,12,'1972.03.25',10,26,36,37,77,0),</v>
      </c>
      <c r="R787" s="7" t="str">
        <f t="shared" si="39"/>
        <v>(1972,12,'1972.03.25',10,26,36,37,77),</v>
      </c>
    </row>
    <row r="788" spans="1:18" x14ac:dyDescent="0.25">
      <c r="A788" s="7" t="s">
        <v>5862</v>
      </c>
      <c r="B788" s="8" t="s">
        <v>65</v>
      </c>
      <c r="C788" s="10">
        <f t="shared" si="38"/>
        <v>26390</v>
      </c>
      <c r="D788" t="s">
        <v>11</v>
      </c>
      <c r="E788" t="s">
        <v>12</v>
      </c>
      <c r="F788" t="s">
        <v>11</v>
      </c>
      <c r="G788" t="s">
        <v>12</v>
      </c>
      <c r="H788" t="s">
        <v>11</v>
      </c>
      <c r="I788" t="s">
        <v>12</v>
      </c>
      <c r="J788" t="s">
        <v>11</v>
      </c>
      <c r="K788" t="s">
        <v>12</v>
      </c>
      <c r="L788" s="12" t="s">
        <v>115</v>
      </c>
      <c r="M788" s="12" t="s">
        <v>33</v>
      </c>
      <c r="N788" s="12" t="s">
        <v>71</v>
      </c>
      <c r="O788" s="12" t="s">
        <v>150</v>
      </c>
      <c r="P788" s="12" t="s">
        <v>239</v>
      </c>
      <c r="Q788" s="7" t="str">
        <f t="shared" si="37"/>
        <v>(1972,13,'1972.04.01',20,24,31,57,73,0),</v>
      </c>
      <c r="R788" s="7" t="str">
        <f t="shared" si="39"/>
        <v>(1972,13,'1972.04.01',20,24,31,57,73),</v>
      </c>
    </row>
    <row r="789" spans="1:18" x14ac:dyDescent="0.25">
      <c r="A789" s="7" t="s">
        <v>5862</v>
      </c>
      <c r="B789" s="8" t="s">
        <v>127</v>
      </c>
      <c r="C789" s="10">
        <f t="shared" si="38"/>
        <v>26397</v>
      </c>
      <c r="D789" t="s">
        <v>11</v>
      </c>
      <c r="E789" t="s">
        <v>12</v>
      </c>
      <c r="F789" t="s">
        <v>11</v>
      </c>
      <c r="G789" t="s">
        <v>12</v>
      </c>
      <c r="H789" t="s">
        <v>11</v>
      </c>
      <c r="I789" t="s">
        <v>12</v>
      </c>
      <c r="J789" t="s">
        <v>11</v>
      </c>
      <c r="K789" t="s">
        <v>12</v>
      </c>
      <c r="L789" s="12" t="s">
        <v>53</v>
      </c>
      <c r="M789" s="12" t="s">
        <v>232</v>
      </c>
      <c r="N789" s="12" t="s">
        <v>90</v>
      </c>
      <c r="O789" s="12" t="s">
        <v>105</v>
      </c>
      <c r="P789" s="12" t="s">
        <v>35</v>
      </c>
      <c r="Q789" s="7" t="str">
        <f t="shared" si="37"/>
        <v>(1972,14,'1972.04.08',7,8,17,50,65,0),</v>
      </c>
      <c r="R789" s="7" t="str">
        <f t="shared" si="39"/>
        <v>(1972,14,'1972.04.08',7,8,17,50,65),</v>
      </c>
    </row>
    <row r="790" spans="1:18" x14ac:dyDescent="0.25">
      <c r="A790" s="7" t="s">
        <v>5862</v>
      </c>
      <c r="B790" s="8" t="s">
        <v>54</v>
      </c>
      <c r="C790" s="10">
        <f t="shared" si="38"/>
        <v>26404</v>
      </c>
      <c r="D790" t="s">
        <v>11</v>
      </c>
      <c r="E790" t="s">
        <v>12</v>
      </c>
      <c r="F790" t="s">
        <v>11</v>
      </c>
      <c r="G790" t="s">
        <v>12</v>
      </c>
      <c r="H790" t="s">
        <v>11</v>
      </c>
      <c r="I790" t="s">
        <v>12</v>
      </c>
      <c r="J790" t="s">
        <v>11</v>
      </c>
      <c r="K790" t="s">
        <v>12</v>
      </c>
      <c r="L790" s="12" t="s">
        <v>65</v>
      </c>
      <c r="M790" s="12" t="s">
        <v>13</v>
      </c>
      <c r="N790" s="12" t="s">
        <v>99</v>
      </c>
      <c r="O790" s="12" t="s">
        <v>56</v>
      </c>
      <c r="P790" s="12" t="s">
        <v>73</v>
      </c>
      <c r="Q790" s="7" t="str">
        <f t="shared" si="37"/>
        <v>(1972,15,'1972.04.15',13,41,52,71,76,0),</v>
      </c>
      <c r="R790" s="7" t="str">
        <f t="shared" si="39"/>
        <v>(1972,15,'1972.04.15',13,41,52,71,76),</v>
      </c>
    </row>
    <row r="791" spans="1:18" x14ac:dyDescent="0.25">
      <c r="A791" s="7" t="s">
        <v>5862</v>
      </c>
      <c r="B791" s="8" t="s">
        <v>43</v>
      </c>
      <c r="C791" s="10">
        <f t="shared" si="38"/>
        <v>26411</v>
      </c>
      <c r="D791" t="s">
        <v>11</v>
      </c>
      <c r="E791" t="s">
        <v>12</v>
      </c>
      <c r="F791" t="s">
        <v>11</v>
      </c>
      <c r="G791" t="s">
        <v>12</v>
      </c>
      <c r="H791" t="s">
        <v>11</v>
      </c>
      <c r="I791" t="s">
        <v>12</v>
      </c>
      <c r="J791" t="s">
        <v>11</v>
      </c>
      <c r="K791" t="s">
        <v>12</v>
      </c>
      <c r="L791" s="12" t="s">
        <v>74</v>
      </c>
      <c r="M791" s="12" t="s">
        <v>135</v>
      </c>
      <c r="N791" s="12" t="s">
        <v>82</v>
      </c>
      <c r="O791" s="12" t="s">
        <v>73</v>
      </c>
      <c r="P791" s="12" t="s">
        <v>151</v>
      </c>
      <c r="Q791" s="7" t="str">
        <f t="shared" si="37"/>
        <v>(1972,16,'1972.04.22',26,27,59,76,79,0),</v>
      </c>
      <c r="R791" s="7" t="str">
        <f t="shared" si="39"/>
        <v>(1972,16,'1972.04.22',26,27,59,76,79),</v>
      </c>
    </row>
    <row r="792" spans="1:18" x14ac:dyDescent="0.25">
      <c r="A792" s="7" t="s">
        <v>5862</v>
      </c>
      <c r="B792" s="8" t="s">
        <v>90</v>
      </c>
      <c r="C792" s="10">
        <f t="shared" si="38"/>
        <v>26418</v>
      </c>
      <c r="D792" t="s">
        <v>11</v>
      </c>
      <c r="E792" t="s">
        <v>12</v>
      </c>
      <c r="F792" t="s">
        <v>11</v>
      </c>
      <c r="G792" t="s">
        <v>12</v>
      </c>
      <c r="H792" t="s">
        <v>11</v>
      </c>
      <c r="I792" t="s">
        <v>12</v>
      </c>
      <c r="J792" t="s">
        <v>11</v>
      </c>
      <c r="K792" t="s">
        <v>12</v>
      </c>
      <c r="L792" s="12" t="s">
        <v>42</v>
      </c>
      <c r="M792" s="12" t="s">
        <v>43</v>
      </c>
      <c r="N792" s="12" t="s">
        <v>74</v>
      </c>
      <c r="O792" s="12" t="s">
        <v>150</v>
      </c>
      <c r="P792" s="12" t="s">
        <v>143</v>
      </c>
      <c r="Q792" s="7" t="str">
        <f t="shared" si="37"/>
        <v>(1972,17,'1972.04.29',3,16,26,57,77,0),</v>
      </c>
      <c r="R792" s="7" t="str">
        <f t="shared" si="39"/>
        <v>(1972,17,'1972.04.29',3,16,26,57,77),</v>
      </c>
    </row>
    <row r="793" spans="1:18" x14ac:dyDescent="0.25">
      <c r="A793" s="7" t="s">
        <v>5862</v>
      </c>
      <c r="B793" s="8" t="s">
        <v>19</v>
      </c>
      <c r="C793" s="10">
        <f t="shared" si="38"/>
        <v>26425</v>
      </c>
      <c r="D793" t="s">
        <v>11</v>
      </c>
      <c r="E793" t="s">
        <v>12</v>
      </c>
      <c r="F793" t="s">
        <v>11</v>
      </c>
      <c r="G793" t="s">
        <v>12</v>
      </c>
      <c r="H793" t="s">
        <v>11</v>
      </c>
      <c r="I793" t="s">
        <v>12</v>
      </c>
      <c r="J793" t="s">
        <v>11</v>
      </c>
      <c r="K793" t="s">
        <v>12</v>
      </c>
      <c r="L793" s="12" t="s">
        <v>163</v>
      </c>
      <c r="M793" s="12" t="s">
        <v>122</v>
      </c>
      <c r="N793" s="12" t="s">
        <v>99</v>
      </c>
      <c r="O793" s="12" t="s">
        <v>106</v>
      </c>
      <c r="P793" s="12" t="s">
        <v>215</v>
      </c>
      <c r="Q793" s="7" t="str">
        <f t="shared" si="37"/>
        <v>(1972,18,'1972.05.06',23,51,52,75,81,0),</v>
      </c>
      <c r="R793" s="7" t="str">
        <f t="shared" si="39"/>
        <v>(1972,18,'1972.05.06',23,51,52,75,81),</v>
      </c>
    </row>
    <row r="794" spans="1:18" x14ac:dyDescent="0.25">
      <c r="A794" s="7" t="s">
        <v>5862</v>
      </c>
      <c r="B794" s="8" t="s">
        <v>55</v>
      </c>
      <c r="C794" s="10">
        <f t="shared" si="38"/>
        <v>26432</v>
      </c>
      <c r="D794" t="s">
        <v>11</v>
      </c>
      <c r="E794" t="s">
        <v>12</v>
      </c>
      <c r="F794" t="s">
        <v>11</v>
      </c>
      <c r="G794" t="s">
        <v>12</v>
      </c>
      <c r="H794" t="s">
        <v>11</v>
      </c>
      <c r="I794" t="s">
        <v>12</v>
      </c>
      <c r="J794" t="s">
        <v>11</v>
      </c>
      <c r="K794" t="s">
        <v>12</v>
      </c>
      <c r="L794" s="12" t="s">
        <v>83</v>
      </c>
      <c r="M794" s="12" t="s">
        <v>31</v>
      </c>
      <c r="N794" s="12" t="s">
        <v>64</v>
      </c>
      <c r="O794" s="12" t="s">
        <v>82</v>
      </c>
      <c r="P794" s="12" t="s">
        <v>56</v>
      </c>
      <c r="Q794" s="7" t="str">
        <f t="shared" si="37"/>
        <v>(1972,19,'1972.05.13',11,12,35,59,71,0),</v>
      </c>
      <c r="R794" s="7" t="str">
        <f t="shared" si="39"/>
        <v>(1972,19,'1972.05.13',11,12,35,59,71),</v>
      </c>
    </row>
    <row r="795" spans="1:18" x14ac:dyDescent="0.25">
      <c r="A795" s="7" t="s">
        <v>5862</v>
      </c>
      <c r="B795" s="8" t="s">
        <v>115</v>
      </c>
      <c r="C795" s="10">
        <f t="shared" si="38"/>
        <v>26439</v>
      </c>
      <c r="D795" t="s">
        <v>11</v>
      </c>
      <c r="E795" t="s">
        <v>12</v>
      </c>
      <c r="F795" t="s">
        <v>11</v>
      </c>
      <c r="G795" t="s">
        <v>12</v>
      </c>
      <c r="H795" t="s">
        <v>11</v>
      </c>
      <c r="I795" t="s">
        <v>12</v>
      </c>
      <c r="J795" t="s">
        <v>11</v>
      </c>
      <c r="K795" t="s">
        <v>12</v>
      </c>
      <c r="L795" s="12" t="s">
        <v>90</v>
      </c>
      <c r="M795" s="12" t="s">
        <v>55</v>
      </c>
      <c r="N795" s="12" t="s">
        <v>21</v>
      </c>
      <c r="O795" s="12" t="s">
        <v>175</v>
      </c>
      <c r="P795" s="12" t="s">
        <v>143</v>
      </c>
      <c r="Q795" s="7" t="str">
        <f t="shared" si="37"/>
        <v>(1972,20,'1972.05.20',17,19,36,55,77,0),</v>
      </c>
      <c r="R795" s="7" t="str">
        <f t="shared" si="39"/>
        <v>(1972,20,'1972.05.20',17,19,36,55,77),</v>
      </c>
    </row>
    <row r="796" spans="1:18" x14ac:dyDescent="0.25">
      <c r="A796" s="7" t="s">
        <v>5862</v>
      </c>
      <c r="B796" s="8" t="s">
        <v>44</v>
      </c>
      <c r="C796" s="10">
        <f t="shared" si="38"/>
        <v>26446</v>
      </c>
      <c r="D796" t="s">
        <v>11</v>
      </c>
      <c r="E796" t="s">
        <v>12</v>
      </c>
      <c r="F796" t="s">
        <v>11</v>
      </c>
      <c r="G796" t="s">
        <v>12</v>
      </c>
      <c r="H796" t="s">
        <v>11</v>
      </c>
      <c r="I796" t="s">
        <v>12</v>
      </c>
      <c r="J796" t="s">
        <v>11</v>
      </c>
      <c r="K796" t="s">
        <v>12</v>
      </c>
      <c r="L796" s="12" t="s">
        <v>33</v>
      </c>
      <c r="M796" s="12" t="s">
        <v>192</v>
      </c>
      <c r="N796" s="12" t="s">
        <v>81</v>
      </c>
      <c r="O796" s="12" t="s">
        <v>199</v>
      </c>
      <c r="P796" s="12" t="s">
        <v>186</v>
      </c>
      <c r="Q796" s="7" t="str">
        <f t="shared" si="37"/>
        <v>(1972,21,'1972.05.27',24,46,47,53,90,0),</v>
      </c>
      <c r="R796" s="7" t="str">
        <f t="shared" si="39"/>
        <v>(1972,21,'1972.05.27',24,46,47,53,90),</v>
      </c>
    </row>
    <row r="797" spans="1:18" x14ac:dyDescent="0.25">
      <c r="A797" s="7" t="s">
        <v>5862</v>
      </c>
      <c r="B797" s="8" t="s">
        <v>32</v>
      </c>
      <c r="C797" s="10">
        <f t="shared" si="38"/>
        <v>26453</v>
      </c>
      <c r="D797" t="s">
        <v>11</v>
      </c>
      <c r="E797" t="s">
        <v>12</v>
      </c>
      <c r="F797" t="s">
        <v>11</v>
      </c>
      <c r="G797" t="s">
        <v>12</v>
      </c>
      <c r="H797" t="s">
        <v>11</v>
      </c>
      <c r="I797" t="s">
        <v>12</v>
      </c>
      <c r="J797" t="s">
        <v>11</v>
      </c>
      <c r="K797" t="s">
        <v>12</v>
      </c>
      <c r="L797" s="12" t="s">
        <v>62</v>
      </c>
      <c r="M797" s="12" t="s">
        <v>55</v>
      </c>
      <c r="N797" s="12" t="s">
        <v>35</v>
      </c>
      <c r="O797" s="12" t="s">
        <v>301</v>
      </c>
      <c r="P797" s="12" t="s">
        <v>308</v>
      </c>
      <c r="Q797" s="7" t="str">
        <f t="shared" si="37"/>
        <v>(1972,22,'1972.06.03',10,19,65,80,86,0),</v>
      </c>
      <c r="R797" s="7" t="str">
        <f t="shared" si="39"/>
        <v>(1972,22,'1972.06.03',10,19,65,80,86),</v>
      </c>
    </row>
    <row r="798" spans="1:18" x14ac:dyDescent="0.25">
      <c r="A798" s="7" t="s">
        <v>5862</v>
      </c>
      <c r="B798" s="8" t="s">
        <v>163</v>
      </c>
      <c r="C798" s="10">
        <f t="shared" si="38"/>
        <v>26460</v>
      </c>
      <c r="D798" t="s">
        <v>11</v>
      </c>
      <c r="E798" t="s">
        <v>12</v>
      </c>
      <c r="F798" t="s">
        <v>11</v>
      </c>
      <c r="G798" t="s">
        <v>12</v>
      </c>
      <c r="H798" t="s">
        <v>11</v>
      </c>
      <c r="I798" t="s">
        <v>12</v>
      </c>
      <c r="J798" t="s">
        <v>11</v>
      </c>
      <c r="K798" t="s">
        <v>12</v>
      </c>
      <c r="L798" s="12" t="s">
        <v>19</v>
      </c>
      <c r="M798" s="12" t="s">
        <v>71</v>
      </c>
      <c r="N798" s="12" t="s">
        <v>47</v>
      </c>
      <c r="O798" s="12" t="s">
        <v>200</v>
      </c>
      <c r="P798" s="12" t="s">
        <v>143</v>
      </c>
      <c r="Q798" s="7" t="str">
        <f t="shared" si="37"/>
        <v>(1972,23,'1972.06.10',18,31,69,70,77,0),</v>
      </c>
      <c r="R798" s="7" t="str">
        <f t="shared" si="39"/>
        <v>(1972,23,'1972.06.10',18,31,69,70,77),</v>
      </c>
    </row>
    <row r="799" spans="1:18" x14ac:dyDescent="0.25">
      <c r="A799" s="7" t="s">
        <v>5862</v>
      </c>
      <c r="B799" s="8" t="s">
        <v>33</v>
      </c>
      <c r="C799" s="10">
        <f t="shared" si="38"/>
        <v>26467</v>
      </c>
      <c r="D799" t="s">
        <v>11</v>
      </c>
      <c r="E799" t="s">
        <v>12</v>
      </c>
      <c r="F799" t="s">
        <v>11</v>
      </c>
      <c r="G799" t="s">
        <v>12</v>
      </c>
      <c r="H799" t="s">
        <v>11</v>
      </c>
      <c r="I799" t="s">
        <v>12</v>
      </c>
      <c r="J799" t="s">
        <v>11</v>
      </c>
      <c r="K799" t="s">
        <v>12</v>
      </c>
      <c r="L799" s="12" t="s">
        <v>89</v>
      </c>
      <c r="M799" s="12" t="s">
        <v>32</v>
      </c>
      <c r="N799" s="12" t="s">
        <v>25</v>
      </c>
      <c r="O799" s="12" t="s">
        <v>124</v>
      </c>
      <c r="P799" s="12" t="s">
        <v>200</v>
      </c>
      <c r="Q799" s="7" t="str">
        <f t="shared" si="37"/>
        <v>(1972,24,'1972.06.17',5,22,34,62,70,0),</v>
      </c>
      <c r="R799" s="7" t="str">
        <f t="shared" si="39"/>
        <v>(1972,24,'1972.06.17',5,22,34,62,70),</v>
      </c>
    </row>
    <row r="800" spans="1:18" x14ac:dyDescent="0.25">
      <c r="A800" s="7" t="s">
        <v>5862</v>
      </c>
      <c r="B800" s="8" t="s">
        <v>152</v>
      </c>
      <c r="C800" s="10">
        <f t="shared" si="38"/>
        <v>26474</v>
      </c>
      <c r="D800" t="s">
        <v>11</v>
      </c>
      <c r="E800" t="s">
        <v>12</v>
      </c>
      <c r="F800" t="s">
        <v>11</v>
      </c>
      <c r="G800" t="s">
        <v>12</v>
      </c>
      <c r="H800" t="s">
        <v>11</v>
      </c>
      <c r="I800" t="s">
        <v>12</v>
      </c>
      <c r="J800" t="s">
        <v>11</v>
      </c>
      <c r="K800" t="s">
        <v>12</v>
      </c>
      <c r="L800" s="12" t="s">
        <v>168</v>
      </c>
      <c r="M800" s="12" t="s">
        <v>233</v>
      </c>
      <c r="N800" s="12" t="s">
        <v>92</v>
      </c>
      <c r="O800" s="12" t="s">
        <v>73</v>
      </c>
      <c r="P800" s="12" t="s">
        <v>246</v>
      </c>
      <c r="Q800" s="7" t="str">
        <f t="shared" si="37"/>
        <v>(1972,25,'1972.06.24',4,66,68,76,84,0),</v>
      </c>
      <c r="R800" s="7" t="str">
        <f t="shared" si="39"/>
        <v>(1972,25,'1972.06.24',4,66,68,76,84),</v>
      </c>
    </row>
    <row r="801" spans="1:18" x14ac:dyDescent="0.25">
      <c r="A801" s="7" t="s">
        <v>5862</v>
      </c>
      <c r="B801" s="8" t="s">
        <v>74</v>
      </c>
      <c r="C801" s="10">
        <f t="shared" si="38"/>
        <v>26481</v>
      </c>
      <c r="D801" t="s">
        <v>11</v>
      </c>
      <c r="E801" t="s">
        <v>12</v>
      </c>
      <c r="F801" t="s">
        <v>11</v>
      </c>
      <c r="G801" t="s">
        <v>12</v>
      </c>
      <c r="H801" t="s">
        <v>11</v>
      </c>
      <c r="I801" t="s">
        <v>12</v>
      </c>
      <c r="J801" t="s">
        <v>11</v>
      </c>
      <c r="K801" t="s">
        <v>12</v>
      </c>
      <c r="L801" s="12" t="s">
        <v>43</v>
      </c>
      <c r="M801" s="12" t="s">
        <v>169</v>
      </c>
      <c r="N801" s="12" t="s">
        <v>239</v>
      </c>
      <c r="O801" s="12" t="s">
        <v>125</v>
      </c>
      <c r="P801" s="12" t="s">
        <v>379</v>
      </c>
      <c r="Q801" s="7" t="str">
        <f t="shared" si="37"/>
        <v>(1972,26,'1972.07.01',16,58,73,83,89,0),</v>
      </c>
      <c r="R801" s="7" t="str">
        <f t="shared" si="39"/>
        <v>(1972,26,'1972.07.01',16,58,73,83,89),</v>
      </c>
    </row>
    <row r="802" spans="1:18" x14ac:dyDescent="0.25">
      <c r="A802" s="7" t="s">
        <v>5862</v>
      </c>
      <c r="B802" s="8" t="s">
        <v>135</v>
      </c>
      <c r="C802" s="10">
        <f t="shared" si="38"/>
        <v>26488</v>
      </c>
      <c r="D802" t="s">
        <v>11</v>
      </c>
      <c r="E802" t="s">
        <v>12</v>
      </c>
      <c r="F802" t="s">
        <v>11</v>
      </c>
      <c r="G802" t="s">
        <v>12</v>
      </c>
      <c r="H802" t="s">
        <v>11</v>
      </c>
      <c r="I802" t="s">
        <v>12</v>
      </c>
      <c r="J802" t="s">
        <v>11</v>
      </c>
      <c r="K802" t="s">
        <v>12</v>
      </c>
      <c r="L802" s="12" t="s">
        <v>54</v>
      </c>
      <c r="M802" s="12" t="s">
        <v>33</v>
      </c>
      <c r="N802" s="12" t="s">
        <v>13</v>
      </c>
      <c r="O802" s="12" t="s">
        <v>123</v>
      </c>
      <c r="P802" s="12" t="s">
        <v>151</v>
      </c>
      <c r="Q802" s="7" t="str">
        <f t="shared" si="37"/>
        <v>(1972,27,'1972.07.08',15,24,41,54,79,0),</v>
      </c>
      <c r="R802" s="7" t="str">
        <f t="shared" si="39"/>
        <v>(1972,27,'1972.07.08',15,24,41,54,79),</v>
      </c>
    </row>
    <row r="803" spans="1:18" x14ac:dyDescent="0.25">
      <c r="A803" s="7" t="s">
        <v>5862</v>
      </c>
      <c r="B803" s="8" t="s">
        <v>126</v>
      </c>
      <c r="C803" s="10">
        <f t="shared" si="38"/>
        <v>26495</v>
      </c>
      <c r="D803" t="s">
        <v>11</v>
      </c>
      <c r="E803" t="s">
        <v>12</v>
      </c>
      <c r="F803" t="s">
        <v>11</v>
      </c>
      <c r="G803" t="s">
        <v>12</v>
      </c>
      <c r="H803" t="s">
        <v>11</v>
      </c>
      <c r="I803" t="s">
        <v>12</v>
      </c>
      <c r="J803" t="s">
        <v>11</v>
      </c>
      <c r="K803" t="s">
        <v>12</v>
      </c>
      <c r="L803" s="12" t="s">
        <v>42</v>
      </c>
      <c r="M803" s="12" t="s">
        <v>71</v>
      </c>
      <c r="N803" s="12" t="s">
        <v>133</v>
      </c>
      <c r="O803" s="12" t="s">
        <v>105</v>
      </c>
      <c r="P803" s="12" t="s">
        <v>143</v>
      </c>
      <c r="Q803" s="7" t="str">
        <f t="shared" si="37"/>
        <v>(1972,28,'1972.07.15',3,31,45,50,77,0),</v>
      </c>
      <c r="R803" s="7" t="str">
        <f t="shared" si="39"/>
        <v>(1972,28,'1972.07.15',3,31,45,50,77),</v>
      </c>
    </row>
    <row r="804" spans="1:18" x14ac:dyDescent="0.25">
      <c r="A804" s="7" t="s">
        <v>5862</v>
      </c>
      <c r="B804" s="8" t="s">
        <v>116</v>
      </c>
      <c r="C804" s="10">
        <f t="shared" si="38"/>
        <v>26502</v>
      </c>
      <c r="D804" t="s">
        <v>11</v>
      </c>
      <c r="E804" t="s">
        <v>12</v>
      </c>
      <c r="F804" t="s">
        <v>11</v>
      </c>
      <c r="G804" t="s">
        <v>12</v>
      </c>
      <c r="H804" t="s">
        <v>11</v>
      </c>
      <c r="I804" t="s">
        <v>12</v>
      </c>
      <c r="J804" t="s">
        <v>11</v>
      </c>
      <c r="K804" t="s">
        <v>12</v>
      </c>
      <c r="L804" s="12" t="s">
        <v>33</v>
      </c>
      <c r="M804" s="12" t="s">
        <v>25</v>
      </c>
      <c r="N804" s="12" t="s">
        <v>99</v>
      </c>
      <c r="O804" s="12" t="s">
        <v>245</v>
      </c>
      <c r="P804" s="12" t="s">
        <v>73</v>
      </c>
      <c r="Q804" s="7" t="str">
        <f t="shared" si="37"/>
        <v>(1972,29,'1972.07.22',24,34,52,74,76,0),</v>
      </c>
      <c r="R804" s="7" t="str">
        <f t="shared" si="39"/>
        <v>(1972,29,'1972.07.22',24,34,52,74,76),</v>
      </c>
    </row>
    <row r="805" spans="1:18" x14ac:dyDescent="0.25">
      <c r="A805" s="7" t="s">
        <v>5862</v>
      </c>
      <c r="B805" s="8" t="s">
        <v>107</v>
      </c>
      <c r="C805" s="10">
        <f t="shared" si="38"/>
        <v>26509</v>
      </c>
      <c r="D805" t="s">
        <v>11</v>
      </c>
      <c r="E805" t="s">
        <v>12</v>
      </c>
      <c r="F805" t="s">
        <v>11</v>
      </c>
      <c r="G805" t="s">
        <v>12</v>
      </c>
      <c r="H805" t="s">
        <v>11</v>
      </c>
      <c r="I805" t="s">
        <v>12</v>
      </c>
      <c r="J805" t="s">
        <v>11</v>
      </c>
      <c r="K805" t="s">
        <v>12</v>
      </c>
      <c r="L805" s="12" t="s">
        <v>42</v>
      </c>
      <c r="M805" s="12" t="s">
        <v>198</v>
      </c>
      <c r="N805" s="12" t="s">
        <v>62</v>
      </c>
      <c r="O805" s="12" t="s">
        <v>143</v>
      </c>
      <c r="P805" s="12" t="s">
        <v>468</v>
      </c>
      <c r="Q805" s="7" t="str">
        <f t="shared" si="37"/>
        <v>(1972,30,'1972.07.29',3,9,10,77,85,0),</v>
      </c>
      <c r="R805" s="7" t="str">
        <f t="shared" si="39"/>
        <v>(1972,30,'1972.07.29',3,9,10,77,85),</v>
      </c>
    </row>
    <row r="806" spans="1:18" x14ac:dyDescent="0.25">
      <c r="A806" s="7" t="s">
        <v>5862</v>
      </c>
      <c r="B806" s="8" t="s">
        <v>71</v>
      </c>
      <c r="C806" s="10">
        <f t="shared" si="38"/>
        <v>26516</v>
      </c>
      <c r="D806" t="s">
        <v>11</v>
      </c>
      <c r="E806" t="s">
        <v>12</v>
      </c>
      <c r="F806" t="s">
        <v>11</v>
      </c>
      <c r="G806" t="s">
        <v>12</v>
      </c>
      <c r="H806" t="s">
        <v>11</v>
      </c>
      <c r="I806" t="s">
        <v>12</v>
      </c>
      <c r="J806" t="s">
        <v>11</v>
      </c>
      <c r="K806" t="s">
        <v>12</v>
      </c>
      <c r="L806" s="12" t="s">
        <v>45</v>
      </c>
      <c r="M806" s="12" t="s">
        <v>122</v>
      </c>
      <c r="N806" s="12" t="s">
        <v>23</v>
      </c>
      <c r="O806" s="12" t="s">
        <v>151</v>
      </c>
      <c r="P806" s="12" t="s">
        <v>246</v>
      </c>
      <c r="Q806" s="7" t="str">
        <f t="shared" si="37"/>
        <v>(1972,31,'1972.08.05',43,51,60,79,84,0),</v>
      </c>
      <c r="R806" s="7" t="str">
        <f t="shared" si="39"/>
        <v>(1972,31,'1972.08.05',43,51,60,79,84),</v>
      </c>
    </row>
    <row r="807" spans="1:18" x14ac:dyDescent="0.25">
      <c r="A807" s="7" t="s">
        <v>5862</v>
      </c>
      <c r="B807" s="8" t="s">
        <v>80</v>
      </c>
      <c r="C807" s="10">
        <f t="shared" si="38"/>
        <v>26523</v>
      </c>
      <c r="D807" t="s">
        <v>11</v>
      </c>
      <c r="E807" t="s">
        <v>12</v>
      </c>
      <c r="F807" t="s">
        <v>11</v>
      </c>
      <c r="G807" t="s">
        <v>12</v>
      </c>
      <c r="H807" t="s">
        <v>11</v>
      </c>
      <c r="I807" t="s">
        <v>12</v>
      </c>
      <c r="J807" t="s">
        <v>11</v>
      </c>
      <c r="K807" t="s">
        <v>12</v>
      </c>
      <c r="L807" s="12" t="s">
        <v>198</v>
      </c>
      <c r="M807" s="12" t="s">
        <v>62</v>
      </c>
      <c r="N807" s="12" t="s">
        <v>83</v>
      </c>
      <c r="O807" s="12" t="s">
        <v>239</v>
      </c>
      <c r="P807" s="12" t="s">
        <v>186</v>
      </c>
      <c r="Q807" s="7" t="str">
        <f t="shared" si="37"/>
        <v>(1972,32,'1972.08.12',9,10,11,73,90,0),</v>
      </c>
      <c r="R807" s="7" t="str">
        <f t="shared" si="39"/>
        <v>(1972,32,'1972.08.12',9,10,11,73,90),</v>
      </c>
    </row>
    <row r="808" spans="1:18" x14ac:dyDescent="0.25">
      <c r="A808" s="7" t="s">
        <v>5862</v>
      </c>
      <c r="B808" s="8" t="s">
        <v>20</v>
      </c>
      <c r="C808" s="10">
        <f t="shared" si="38"/>
        <v>26530</v>
      </c>
      <c r="D808" t="s">
        <v>11</v>
      </c>
      <c r="E808" t="s">
        <v>12</v>
      </c>
      <c r="F808" t="s">
        <v>11</v>
      </c>
      <c r="G808" t="s">
        <v>12</v>
      </c>
      <c r="H808" t="s">
        <v>11</v>
      </c>
      <c r="I808" t="s">
        <v>12</v>
      </c>
      <c r="J808" t="s">
        <v>11</v>
      </c>
      <c r="K808" t="s">
        <v>12</v>
      </c>
      <c r="L808" s="12" t="s">
        <v>126</v>
      </c>
      <c r="M808" s="12" t="s">
        <v>98</v>
      </c>
      <c r="N808" s="12" t="s">
        <v>123</v>
      </c>
      <c r="O808" s="12" t="s">
        <v>134</v>
      </c>
      <c r="P808" s="12" t="s">
        <v>233</v>
      </c>
      <c r="Q808" s="7" t="str">
        <f t="shared" si="37"/>
        <v>(1972,33,'1972.08.19',28,42,54,56,66,0),</v>
      </c>
      <c r="R808" s="7" t="str">
        <f t="shared" si="39"/>
        <v>(1972,33,'1972.08.19',28,42,54,56,66),</v>
      </c>
    </row>
    <row r="809" spans="1:18" x14ac:dyDescent="0.25">
      <c r="A809" s="7" t="s">
        <v>5862</v>
      </c>
      <c r="B809" s="8" t="s">
        <v>25</v>
      </c>
      <c r="C809" s="10">
        <f t="shared" si="38"/>
        <v>26537</v>
      </c>
      <c r="D809" t="s">
        <v>11</v>
      </c>
      <c r="E809" t="s">
        <v>12</v>
      </c>
      <c r="F809" t="s">
        <v>11</v>
      </c>
      <c r="G809" t="s">
        <v>12</v>
      </c>
      <c r="H809" t="s">
        <v>11</v>
      </c>
      <c r="I809" t="s">
        <v>12</v>
      </c>
      <c r="J809" t="s">
        <v>11</v>
      </c>
      <c r="K809" t="s">
        <v>12</v>
      </c>
      <c r="L809" s="12" t="s">
        <v>62</v>
      </c>
      <c r="M809" s="12" t="s">
        <v>142</v>
      </c>
      <c r="N809" s="12" t="s">
        <v>169</v>
      </c>
      <c r="O809" s="12" t="s">
        <v>233</v>
      </c>
      <c r="P809" s="12" t="s">
        <v>239</v>
      </c>
      <c r="Q809" s="7" t="str">
        <f t="shared" si="37"/>
        <v>(1972,34,'1972.08.26',10,44,58,66,73,0),</v>
      </c>
      <c r="R809" s="7" t="str">
        <f t="shared" si="39"/>
        <v>(1972,34,'1972.08.26',10,44,58,66,73),</v>
      </c>
    </row>
    <row r="810" spans="1:18" x14ac:dyDescent="0.25">
      <c r="A810" s="7" t="s">
        <v>5862</v>
      </c>
      <c r="B810" s="8" t="s">
        <v>64</v>
      </c>
      <c r="C810" s="10">
        <f t="shared" si="38"/>
        <v>26544</v>
      </c>
      <c r="D810" t="s">
        <v>11</v>
      </c>
      <c r="E810" t="s">
        <v>12</v>
      </c>
      <c r="F810" t="s">
        <v>11</v>
      </c>
      <c r="G810" t="s">
        <v>12</v>
      </c>
      <c r="H810" t="s">
        <v>11</v>
      </c>
      <c r="I810" t="s">
        <v>12</v>
      </c>
      <c r="J810" t="s">
        <v>11</v>
      </c>
      <c r="K810" t="s">
        <v>12</v>
      </c>
      <c r="L810" s="12" t="s">
        <v>115</v>
      </c>
      <c r="M810" s="12" t="s">
        <v>45</v>
      </c>
      <c r="N810" s="12" t="s">
        <v>192</v>
      </c>
      <c r="O810" s="12" t="s">
        <v>92</v>
      </c>
      <c r="P810" s="12" t="s">
        <v>245</v>
      </c>
      <c r="Q810" s="7" t="str">
        <f t="shared" si="37"/>
        <v>(1972,35,'1972.09.02',20,43,46,68,74,0),</v>
      </c>
      <c r="R810" s="7" t="str">
        <f t="shared" si="39"/>
        <v>(1972,35,'1972.09.02',20,43,46,68,74),</v>
      </c>
    </row>
    <row r="811" spans="1:18" x14ac:dyDescent="0.25">
      <c r="A811" s="7" t="s">
        <v>5862</v>
      </c>
      <c r="B811" s="8" t="s">
        <v>21</v>
      </c>
      <c r="C811" s="10">
        <f t="shared" si="38"/>
        <v>26551</v>
      </c>
      <c r="D811" t="s">
        <v>11</v>
      </c>
      <c r="E811" t="s">
        <v>12</v>
      </c>
      <c r="F811" t="s">
        <v>11</v>
      </c>
      <c r="G811" t="s">
        <v>12</v>
      </c>
      <c r="H811" t="s">
        <v>11</v>
      </c>
      <c r="I811" t="s">
        <v>12</v>
      </c>
      <c r="J811" t="s">
        <v>11</v>
      </c>
      <c r="K811" t="s">
        <v>12</v>
      </c>
      <c r="L811" s="12" t="s">
        <v>31</v>
      </c>
      <c r="M811" s="12" t="s">
        <v>151</v>
      </c>
      <c r="N811" s="12" t="s">
        <v>125</v>
      </c>
      <c r="O811" s="12" t="s">
        <v>208</v>
      </c>
      <c r="P811" s="12" t="s">
        <v>379</v>
      </c>
      <c r="Q811" s="7" t="str">
        <f t="shared" si="37"/>
        <v>(1972,36,'1972.09.09',12,79,83,88,89,0),</v>
      </c>
      <c r="R811" s="7" t="str">
        <f t="shared" si="39"/>
        <v>(1972,36,'1972.09.09',12,79,83,88,89),</v>
      </c>
    </row>
    <row r="812" spans="1:18" x14ac:dyDescent="0.25">
      <c r="A812" s="7" t="s">
        <v>5862</v>
      </c>
      <c r="B812" s="8" t="s">
        <v>46</v>
      </c>
      <c r="C812" s="10">
        <f t="shared" si="38"/>
        <v>26558</v>
      </c>
      <c r="D812" t="s">
        <v>11</v>
      </c>
      <c r="E812" t="s">
        <v>12</v>
      </c>
      <c r="F812" t="s">
        <v>11</v>
      </c>
      <c r="G812" t="s">
        <v>12</v>
      </c>
      <c r="H812" t="s">
        <v>11</v>
      </c>
      <c r="I812" t="s">
        <v>12</v>
      </c>
      <c r="J812" t="s">
        <v>11</v>
      </c>
      <c r="K812" t="s">
        <v>12</v>
      </c>
      <c r="L812" s="12" t="s">
        <v>89</v>
      </c>
      <c r="M812" s="12" t="s">
        <v>232</v>
      </c>
      <c r="N812" s="12" t="s">
        <v>135</v>
      </c>
      <c r="O812" s="12" t="s">
        <v>80</v>
      </c>
      <c r="P812" s="12" t="s">
        <v>34</v>
      </c>
      <c r="Q812" s="7" t="str">
        <f t="shared" si="37"/>
        <v>(1972,37,'1972.09.16',5,8,27,32,49,0),</v>
      </c>
      <c r="R812" s="7" t="str">
        <f t="shared" si="39"/>
        <v>(1972,37,'1972.09.16',5,8,27,32,49),</v>
      </c>
    </row>
    <row r="813" spans="1:18" x14ac:dyDescent="0.25">
      <c r="A813" s="7" t="s">
        <v>5862</v>
      </c>
      <c r="B813" s="8" t="s">
        <v>36</v>
      </c>
      <c r="C813" s="10">
        <f t="shared" si="38"/>
        <v>26565</v>
      </c>
      <c r="D813" t="s">
        <v>11</v>
      </c>
      <c r="E813" t="s">
        <v>12</v>
      </c>
      <c r="F813" t="s">
        <v>11</v>
      </c>
      <c r="G813" t="s">
        <v>12</v>
      </c>
      <c r="H813" t="s">
        <v>11</v>
      </c>
      <c r="I813" t="s">
        <v>12</v>
      </c>
      <c r="J813" t="s">
        <v>11</v>
      </c>
      <c r="K813" t="s">
        <v>12</v>
      </c>
      <c r="L813" s="12" t="s">
        <v>62</v>
      </c>
      <c r="M813" s="12" t="s">
        <v>43</v>
      </c>
      <c r="N813" s="12" t="s">
        <v>122</v>
      </c>
      <c r="O813" s="12" t="s">
        <v>199</v>
      </c>
      <c r="P813" s="12" t="s">
        <v>201</v>
      </c>
      <c r="Q813" s="7" t="str">
        <f t="shared" si="37"/>
        <v>(1972,38,'1972.09.23',10,16,51,53,72,0),</v>
      </c>
      <c r="R813" s="7" t="str">
        <f t="shared" si="39"/>
        <v>(1972,38,'1972.09.23',10,16,51,53,72),</v>
      </c>
    </row>
    <row r="814" spans="1:18" x14ac:dyDescent="0.25">
      <c r="A814" s="7" t="s">
        <v>5862</v>
      </c>
      <c r="B814" s="8" t="s">
        <v>24</v>
      </c>
      <c r="C814" s="10">
        <f t="shared" si="38"/>
        <v>26572</v>
      </c>
      <c r="D814" t="s">
        <v>11</v>
      </c>
      <c r="E814" t="s">
        <v>12</v>
      </c>
      <c r="F814" t="s">
        <v>11</v>
      </c>
      <c r="G814" t="s">
        <v>12</v>
      </c>
      <c r="H814" t="s">
        <v>11</v>
      </c>
      <c r="I814" t="s">
        <v>12</v>
      </c>
      <c r="J814" t="s">
        <v>11</v>
      </c>
      <c r="K814" t="s">
        <v>12</v>
      </c>
      <c r="L814" s="12" t="s">
        <v>42</v>
      </c>
      <c r="M814" s="12" t="s">
        <v>192</v>
      </c>
      <c r="N814" s="12" t="s">
        <v>99</v>
      </c>
      <c r="O814" s="12" t="s">
        <v>201</v>
      </c>
      <c r="P814" s="12" t="s">
        <v>63</v>
      </c>
      <c r="Q814" s="7" t="str">
        <f t="shared" si="37"/>
        <v>(1972,39,'1972.09.30',3,46,52,72,78,0),</v>
      </c>
      <c r="R814" s="7" t="str">
        <f t="shared" si="39"/>
        <v>(1972,39,'1972.09.30',3,46,52,72,78),</v>
      </c>
    </row>
    <row r="815" spans="1:18" x14ac:dyDescent="0.25">
      <c r="A815" s="7" t="s">
        <v>5862</v>
      </c>
      <c r="B815" s="8" t="s">
        <v>10</v>
      </c>
      <c r="C815" s="10">
        <f t="shared" si="38"/>
        <v>26579</v>
      </c>
      <c r="D815" t="s">
        <v>11</v>
      </c>
      <c r="E815" t="s">
        <v>12</v>
      </c>
      <c r="F815" t="s">
        <v>11</v>
      </c>
      <c r="G815" t="s">
        <v>12</v>
      </c>
      <c r="H815" t="s">
        <v>11</v>
      </c>
      <c r="I815" t="s">
        <v>12</v>
      </c>
      <c r="J815" t="s">
        <v>11</v>
      </c>
      <c r="K815" t="s">
        <v>12</v>
      </c>
      <c r="L815" s="12" t="s">
        <v>20</v>
      </c>
      <c r="M815" s="12" t="s">
        <v>123</v>
      </c>
      <c r="N815" s="12" t="s">
        <v>214</v>
      </c>
      <c r="O815" s="12" t="s">
        <v>233</v>
      </c>
      <c r="P815" s="12" t="s">
        <v>215</v>
      </c>
      <c r="Q815" s="7" t="str">
        <f t="shared" si="37"/>
        <v>(1972,40,'1972.10.07',33,54,64,66,81,0),</v>
      </c>
      <c r="R815" s="7" t="str">
        <f t="shared" si="39"/>
        <v>(1972,40,'1972.10.07',33,54,64,66,81),</v>
      </c>
    </row>
    <row r="816" spans="1:18" x14ac:dyDescent="0.25">
      <c r="A816" s="7" t="s">
        <v>5862</v>
      </c>
      <c r="B816" s="8" t="s">
        <v>13</v>
      </c>
      <c r="C816" s="10">
        <f t="shared" si="38"/>
        <v>26586</v>
      </c>
      <c r="D816" t="s">
        <v>11</v>
      </c>
      <c r="E816" t="s">
        <v>12</v>
      </c>
      <c r="F816" t="s">
        <v>11</v>
      </c>
      <c r="G816" t="s">
        <v>12</v>
      </c>
      <c r="H816" t="s">
        <v>11</v>
      </c>
      <c r="I816" t="s">
        <v>12</v>
      </c>
      <c r="J816" t="s">
        <v>11</v>
      </c>
      <c r="K816" t="s">
        <v>12</v>
      </c>
      <c r="L816" s="12" t="s">
        <v>54</v>
      </c>
      <c r="M816" s="12" t="s">
        <v>142</v>
      </c>
      <c r="N816" s="12" t="s">
        <v>34</v>
      </c>
      <c r="O816" s="12" t="s">
        <v>123</v>
      </c>
      <c r="P816" s="12" t="s">
        <v>124</v>
      </c>
      <c r="Q816" s="7" t="str">
        <f t="shared" si="37"/>
        <v>(1972,41,'1972.10.14',15,44,49,54,62,0),</v>
      </c>
      <c r="R816" s="7" t="str">
        <f t="shared" si="39"/>
        <v>(1972,41,'1972.10.14',15,44,49,54,62),</v>
      </c>
    </row>
    <row r="817" spans="1:18" x14ac:dyDescent="0.25">
      <c r="A817" s="7" t="s">
        <v>5862</v>
      </c>
      <c r="B817" s="8" t="s">
        <v>98</v>
      </c>
      <c r="C817" s="10">
        <f t="shared" si="38"/>
        <v>26593</v>
      </c>
      <c r="D817" t="s">
        <v>11</v>
      </c>
      <c r="E817" t="s">
        <v>12</v>
      </c>
      <c r="F817" t="s">
        <v>11</v>
      </c>
      <c r="G817" t="s">
        <v>12</v>
      </c>
      <c r="H817" t="s">
        <v>11</v>
      </c>
      <c r="I817" t="s">
        <v>12</v>
      </c>
      <c r="J817" t="s">
        <v>11</v>
      </c>
      <c r="K817" t="s">
        <v>12</v>
      </c>
      <c r="L817" s="12" t="s">
        <v>42</v>
      </c>
      <c r="M817" s="12" t="s">
        <v>53</v>
      </c>
      <c r="N817" s="12" t="s">
        <v>127</v>
      </c>
      <c r="O817" s="12" t="s">
        <v>22</v>
      </c>
      <c r="P817" s="12" t="s">
        <v>122</v>
      </c>
      <c r="Q817" s="7" t="str">
        <f t="shared" si="37"/>
        <v>(1972,42,'1972.10.21',3,7,14,48,51,0),</v>
      </c>
      <c r="R817" s="7" t="str">
        <f t="shared" si="39"/>
        <v>(1972,42,'1972.10.21',3,7,14,48,51),</v>
      </c>
    </row>
    <row r="818" spans="1:18" x14ac:dyDescent="0.25">
      <c r="A818" s="7" t="s">
        <v>5862</v>
      </c>
      <c r="B818" s="8" t="s">
        <v>45</v>
      </c>
      <c r="C818" s="10">
        <f t="shared" si="38"/>
        <v>26600</v>
      </c>
      <c r="D818" t="s">
        <v>11</v>
      </c>
      <c r="E818" t="s">
        <v>12</v>
      </c>
      <c r="F818" t="s">
        <v>11</v>
      </c>
      <c r="G818" t="s">
        <v>12</v>
      </c>
      <c r="H818" t="s">
        <v>11</v>
      </c>
      <c r="I818" t="s">
        <v>12</v>
      </c>
      <c r="J818" t="s">
        <v>11</v>
      </c>
      <c r="K818" t="s">
        <v>12</v>
      </c>
      <c r="L818" s="12" t="s">
        <v>168</v>
      </c>
      <c r="M818" s="12" t="s">
        <v>19</v>
      </c>
      <c r="N818" s="12" t="s">
        <v>36</v>
      </c>
      <c r="O818" s="12" t="s">
        <v>192</v>
      </c>
      <c r="P818" s="12" t="s">
        <v>245</v>
      </c>
      <c r="Q818" s="7" t="str">
        <f t="shared" si="37"/>
        <v>(1972,43,'1972.10.28',4,18,38,46,74,0),</v>
      </c>
      <c r="R818" s="7" t="str">
        <f t="shared" si="39"/>
        <v>(1972,43,'1972.10.28',4,18,38,46,74),</v>
      </c>
    </row>
    <row r="819" spans="1:18" x14ac:dyDescent="0.25">
      <c r="A819" s="7" t="s">
        <v>5862</v>
      </c>
      <c r="B819" s="8" t="s">
        <v>142</v>
      </c>
      <c r="C819" s="10">
        <f t="shared" si="38"/>
        <v>26607</v>
      </c>
      <c r="D819" t="s">
        <v>11</v>
      </c>
      <c r="E819" t="s">
        <v>12</v>
      </c>
      <c r="F819" t="s">
        <v>11</v>
      </c>
      <c r="G819" t="s">
        <v>12</v>
      </c>
      <c r="H819" t="s">
        <v>11</v>
      </c>
      <c r="I819" t="s">
        <v>12</v>
      </c>
      <c r="J819" t="s">
        <v>11</v>
      </c>
      <c r="K819" t="s">
        <v>12</v>
      </c>
      <c r="L819" s="12" t="s">
        <v>44</v>
      </c>
      <c r="M819" s="12" t="s">
        <v>24</v>
      </c>
      <c r="N819" s="12" t="s">
        <v>105</v>
      </c>
      <c r="O819" s="12" t="s">
        <v>622</v>
      </c>
      <c r="P819" s="12" t="s">
        <v>379</v>
      </c>
      <c r="Q819" s="7" t="str">
        <f t="shared" si="37"/>
        <v>(1972,44,'1972.11.04',21,39,50,82,89,0),</v>
      </c>
      <c r="R819" s="7" t="str">
        <f t="shared" si="39"/>
        <v>(1972,44,'1972.11.04',21,39,50,82,89),</v>
      </c>
    </row>
    <row r="820" spans="1:18" x14ac:dyDescent="0.25">
      <c r="A820" s="7" t="s">
        <v>5862</v>
      </c>
      <c r="B820" s="8" t="s">
        <v>133</v>
      </c>
      <c r="C820" s="10">
        <f t="shared" si="38"/>
        <v>26614</v>
      </c>
      <c r="D820" t="s">
        <v>11</v>
      </c>
      <c r="E820" t="s">
        <v>12</v>
      </c>
      <c r="F820" t="s">
        <v>11</v>
      </c>
      <c r="G820" t="s">
        <v>12</v>
      </c>
      <c r="H820" t="s">
        <v>11</v>
      </c>
      <c r="I820" t="s">
        <v>12</v>
      </c>
      <c r="J820" t="s">
        <v>11</v>
      </c>
      <c r="K820" t="s">
        <v>12</v>
      </c>
      <c r="L820" s="12" t="s">
        <v>83</v>
      </c>
      <c r="M820" s="12" t="s">
        <v>199</v>
      </c>
      <c r="N820" s="12" t="s">
        <v>92</v>
      </c>
      <c r="O820" s="12" t="s">
        <v>201</v>
      </c>
      <c r="P820" s="12" t="s">
        <v>239</v>
      </c>
      <c r="Q820" s="7" t="str">
        <f t="shared" si="37"/>
        <v>(1972,45,'1972.11.11',11,53,68,72,73,0),</v>
      </c>
      <c r="R820" s="7" t="str">
        <f t="shared" si="39"/>
        <v>(1972,45,'1972.11.11',11,53,68,72,73),</v>
      </c>
    </row>
    <row r="821" spans="1:18" x14ac:dyDescent="0.25">
      <c r="A821" s="7" t="s">
        <v>5862</v>
      </c>
      <c r="B821" s="8" t="s">
        <v>192</v>
      </c>
      <c r="C821" s="10">
        <f t="shared" si="38"/>
        <v>26621</v>
      </c>
      <c r="D821" t="s">
        <v>11</v>
      </c>
      <c r="E821" t="s">
        <v>12</v>
      </c>
      <c r="F821" t="s">
        <v>11</v>
      </c>
      <c r="G821" t="s">
        <v>12</v>
      </c>
      <c r="H821" t="s">
        <v>11</v>
      </c>
      <c r="I821" t="s">
        <v>12</v>
      </c>
      <c r="J821" t="s">
        <v>11</v>
      </c>
      <c r="K821" t="s">
        <v>12</v>
      </c>
      <c r="L821" s="12" t="s">
        <v>107</v>
      </c>
      <c r="M821" s="12" t="s">
        <v>24</v>
      </c>
      <c r="N821" s="12" t="s">
        <v>192</v>
      </c>
      <c r="O821" s="12" t="s">
        <v>239</v>
      </c>
      <c r="P821" s="12" t="s">
        <v>301</v>
      </c>
      <c r="Q821" s="7" t="str">
        <f t="shared" si="37"/>
        <v>(1972,46,'1972.11.18',30,39,46,73,80,0),</v>
      </c>
      <c r="R821" s="7" t="str">
        <f t="shared" si="39"/>
        <v>(1972,46,'1972.11.18',30,39,46,73,80),</v>
      </c>
    </row>
    <row r="822" spans="1:18" x14ac:dyDescent="0.25">
      <c r="A822" s="7" t="s">
        <v>5862</v>
      </c>
      <c r="B822" s="8" t="s">
        <v>81</v>
      </c>
      <c r="C822" s="10">
        <f t="shared" si="38"/>
        <v>26628</v>
      </c>
      <c r="D822" t="s">
        <v>11</v>
      </c>
      <c r="E822" t="s">
        <v>12</v>
      </c>
      <c r="F822" t="s">
        <v>11</v>
      </c>
      <c r="G822" t="s">
        <v>12</v>
      </c>
      <c r="H822" t="s">
        <v>11</v>
      </c>
      <c r="I822" t="s">
        <v>12</v>
      </c>
      <c r="J822" t="s">
        <v>11</v>
      </c>
      <c r="K822" t="s">
        <v>12</v>
      </c>
      <c r="L822" s="12" t="s">
        <v>54</v>
      </c>
      <c r="M822" s="12" t="s">
        <v>98</v>
      </c>
      <c r="N822" s="12" t="s">
        <v>22</v>
      </c>
      <c r="O822" s="12" t="s">
        <v>106</v>
      </c>
      <c r="P822" s="12" t="s">
        <v>215</v>
      </c>
      <c r="Q822" s="7" t="str">
        <f t="shared" si="37"/>
        <v>(1972,47,'1972.11.25',15,42,48,75,81,0),</v>
      </c>
      <c r="R822" s="7" t="str">
        <f t="shared" si="39"/>
        <v>(1972,47,'1972.11.25',15,42,48,75,81),</v>
      </c>
    </row>
    <row r="823" spans="1:18" x14ac:dyDescent="0.25">
      <c r="A823" s="7" t="s">
        <v>5862</v>
      </c>
      <c r="B823" s="8" t="s">
        <v>22</v>
      </c>
      <c r="C823" s="10">
        <f t="shared" si="38"/>
        <v>26635</v>
      </c>
      <c r="D823" t="s">
        <v>11</v>
      </c>
      <c r="E823" t="s">
        <v>12</v>
      </c>
      <c r="F823" t="s">
        <v>11</v>
      </c>
      <c r="G823" t="s">
        <v>12</v>
      </c>
      <c r="H823" t="s">
        <v>11</v>
      </c>
      <c r="I823" t="s">
        <v>12</v>
      </c>
      <c r="J823" t="s">
        <v>11</v>
      </c>
      <c r="K823" t="s">
        <v>12</v>
      </c>
      <c r="L823" s="12" t="s">
        <v>135</v>
      </c>
      <c r="M823" s="12" t="s">
        <v>116</v>
      </c>
      <c r="N823" s="12" t="s">
        <v>107</v>
      </c>
      <c r="O823" s="12" t="s">
        <v>71</v>
      </c>
      <c r="P823" s="12" t="s">
        <v>56</v>
      </c>
      <c r="Q823" s="7" t="str">
        <f t="shared" si="37"/>
        <v>(1972,48,'1972.12.02',27,29,30,31,71,0),</v>
      </c>
      <c r="R823" s="7" t="str">
        <f t="shared" si="39"/>
        <v>(1972,48,'1972.12.02',27,29,30,31,71),</v>
      </c>
    </row>
    <row r="824" spans="1:18" x14ac:dyDescent="0.25">
      <c r="A824" s="7" t="s">
        <v>5862</v>
      </c>
      <c r="B824" s="8" t="s">
        <v>34</v>
      </c>
      <c r="C824" s="10">
        <f t="shared" si="38"/>
        <v>26642</v>
      </c>
      <c r="D824" t="s">
        <v>11</v>
      </c>
      <c r="E824" t="s">
        <v>12</v>
      </c>
      <c r="F824" t="s">
        <v>11</v>
      </c>
      <c r="G824" t="s">
        <v>12</v>
      </c>
      <c r="H824" t="s">
        <v>11</v>
      </c>
      <c r="I824" t="s">
        <v>12</v>
      </c>
      <c r="J824" t="s">
        <v>11</v>
      </c>
      <c r="K824" t="s">
        <v>12</v>
      </c>
      <c r="L824" s="12" t="s">
        <v>65</v>
      </c>
      <c r="M824" s="12" t="s">
        <v>135</v>
      </c>
      <c r="N824" s="12" t="s">
        <v>22</v>
      </c>
      <c r="O824" s="12" t="s">
        <v>150</v>
      </c>
      <c r="P824" s="12" t="s">
        <v>106</v>
      </c>
      <c r="Q824" s="7" t="str">
        <f t="shared" si="37"/>
        <v>(1972,49,'1972.12.09',13,27,48,57,75,0),</v>
      </c>
      <c r="R824" s="7" t="str">
        <f t="shared" si="39"/>
        <v>(1972,49,'1972.12.09',13,27,48,57,75),</v>
      </c>
    </row>
    <row r="825" spans="1:18" x14ac:dyDescent="0.25">
      <c r="A825" s="7" t="s">
        <v>5862</v>
      </c>
      <c r="B825" s="8" t="s">
        <v>105</v>
      </c>
      <c r="C825" s="10">
        <f t="shared" si="38"/>
        <v>26649</v>
      </c>
      <c r="D825" t="s">
        <v>11</v>
      </c>
      <c r="E825" t="s">
        <v>12</v>
      </c>
      <c r="F825" t="s">
        <v>11</v>
      </c>
      <c r="G825" t="s">
        <v>12</v>
      </c>
      <c r="H825" t="s">
        <v>11</v>
      </c>
      <c r="I825" t="s">
        <v>12</v>
      </c>
      <c r="J825" t="s">
        <v>11</v>
      </c>
      <c r="K825" t="s">
        <v>12</v>
      </c>
      <c r="L825" s="12" t="s">
        <v>83</v>
      </c>
      <c r="M825" s="12" t="s">
        <v>127</v>
      </c>
      <c r="N825" s="12" t="s">
        <v>64</v>
      </c>
      <c r="O825" s="12" t="s">
        <v>134</v>
      </c>
      <c r="P825" s="12" t="s">
        <v>143</v>
      </c>
      <c r="Q825" s="7" t="str">
        <f t="shared" si="37"/>
        <v>(1972,50,'1972.12.16',11,14,35,56,77,0),</v>
      </c>
      <c r="R825" s="7" t="str">
        <f t="shared" si="39"/>
        <v>(1972,50,'1972.12.16',11,14,35,56,77),</v>
      </c>
    </row>
    <row r="826" spans="1:18" x14ac:dyDescent="0.25">
      <c r="A826" s="7" t="s">
        <v>5862</v>
      </c>
      <c r="B826" s="8" t="s">
        <v>122</v>
      </c>
      <c r="C826" s="10">
        <f t="shared" si="38"/>
        <v>26656</v>
      </c>
      <c r="D826" t="s">
        <v>11</v>
      </c>
      <c r="E826" t="s">
        <v>12</v>
      </c>
      <c r="F826" t="s">
        <v>11</v>
      </c>
      <c r="G826" t="s">
        <v>12</v>
      </c>
      <c r="H826" t="s">
        <v>11</v>
      </c>
      <c r="I826" t="s">
        <v>12</v>
      </c>
      <c r="J826" t="s">
        <v>11</v>
      </c>
      <c r="K826" t="s">
        <v>12</v>
      </c>
      <c r="L826" s="12" t="s">
        <v>168</v>
      </c>
      <c r="M826" s="12" t="s">
        <v>232</v>
      </c>
      <c r="N826" s="12" t="s">
        <v>55</v>
      </c>
      <c r="O826" s="12" t="s">
        <v>21</v>
      </c>
      <c r="P826" s="12" t="s">
        <v>134</v>
      </c>
      <c r="Q826" s="7" t="str">
        <f t="shared" si="37"/>
        <v>(1972,51,'1972.12.23',4,8,19,36,56,0),</v>
      </c>
      <c r="R826" s="7" t="str">
        <f t="shared" si="39"/>
        <v>(1972,51,'1972.12.23',4,8,19,36,56),</v>
      </c>
    </row>
    <row r="827" spans="1:18" x14ac:dyDescent="0.25">
      <c r="A827" s="7" t="s">
        <v>5862</v>
      </c>
      <c r="B827" s="8" t="s">
        <v>99</v>
      </c>
      <c r="C827" s="10">
        <f t="shared" si="38"/>
        <v>26663</v>
      </c>
      <c r="D827" t="s">
        <v>11</v>
      </c>
      <c r="E827" t="s">
        <v>12</v>
      </c>
      <c r="F827" t="s">
        <v>11</v>
      </c>
      <c r="G827" t="s">
        <v>12</v>
      </c>
      <c r="H827" t="s">
        <v>11</v>
      </c>
      <c r="I827" t="s">
        <v>12</v>
      </c>
      <c r="J827" t="s">
        <v>11</v>
      </c>
      <c r="K827" t="s">
        <v>12</v>
      </c>
      <c r="L827" s="12" t="s">
        <v>108</v>
      </c>
      <c r="M827" s="12" t="s">
        <v>80</v>
      </c>
      <c r="N827" s="12" t="s">
        <v>99</v>
      </c>
      <c r="O827" s="12" t="s">
        <v>134</v>
      </c>
      <c r="P827" s="12" t="s">
        <v>47</v>
      </c>
      <c r="Q827" s="7" t="str">
        <f t="shared" si="37"/>
        <v>(1972,52,'1972.12.30',1,32,52,56,69,0),</v>
      </c>
      <c r="R827" s="7" t="str">
        <f t="shared" si="39"/>
        <v>(1972,52,'1972.12.30',1,32,52,56,69),</v>
      </c>
    </row>
    <row r="828" spans="1:18" x14ac:dyDescent="0.25">
      <c r="A828" s="7" t="s">
        <v>5861</v>
      </c>
      <c r="B828" s="8" t="s">
        <v>108</v>
      </c>
      <c r="C828" s="10">
        <f t="shared" si="38"/>
        <v>26670</v>
      </c>
      <c r="D828" t="s">
        <v>11</v>
      </c>
      <c r="E828" t="s">
        <v>12</v>
      </c>
      <c r="F828" t="s">
        <v>11</v>
      </c>
      <c r="G828" t="s">
        <v>12</v>
      </c>
      <c r="H828" t="s">
        <v>11</v>
      </c>
      <c r="I828" t="s">
        <v>12</v>
      </c>
      <c r="J828" t="s">
        <v>11</v>
      </c>
      <c r="K828" t="s">
        <v>12</v>
      </c>
      <c r="L828" s="12" t="s">
        <v>42</v>
      </c>
      <c r="M828" s="12" t="s">
        <v>54</v>
      </c>
      <c r="N828" s="12" t="s">
        <v>90</v>
      </c>
      <c r="O828" s="12" t="s">
        <v>116</v>
      </c>
      <c r="P828" s="12" t="s">
        <v>245</v>
      </c>
      <c r="Q828" s="7" t="str">
        <f t="shared" si="37"/>
        <v>(1973,1,'1973.01.06',3,15,17,29,74,0),</v>
      </c>
      <c r="R828" s="7" t="str">
        <f t="shared" si="39"/>
        <v>(1973,1,'1973.01.06',3,15,17,29,74),</v>
      </c>
    </row>
    <row r="829" spans="1:18" x14ac:dyDescent="0.25">
      <c r="A829" s="7" t="s">
        <v>5861</v>
      </c>
      <c r="B829" s="8" t="s">
        <v>207</v>
      </c>
      <c r="C829" s="10">
        <f t="shared" si="38"/>
        <v>26677</v>
      </c>
      <c r="D829" t="s">
        <v>11</v>
      </c>
      <c r="E829" t="s">
        <v>12</v>
      </c>
      <c r="F829" t="s">
        <v>11</v>
      </c>
      <c r="G829" t="s">
        <v>12</v>
      </c>
      <c r="H829" t="s">
        <v>11</v>
      </c>
      <c r="I829" t="s">
        <v>12</v>
      </c>
      <c r="J829" t="s">
        <v>11</v>
      </c>
      <c r="K829" t="s">
        <v>12</v>
      </c>
      <c r="L829" s="12" t="s">
        <v>108</v>
      </c>
      <c r="M829" s="12" t="s">
        <v>89</v>
      </c>
      <c r="N829" s="12" t="s">
        <v>31</v>
      </c>
      <c r="O829" s="12" t="s">
        <v>64</v>
      </c>
      <c r="P829" s="12" t="s">
        <v>379</v>
      </c>
      <c r="Q829" s="7" t="str">
        <f t="shared" si="37"/>
        <v>(1973,2,'1973.01.13',1,5,12,35,89,0),</v>
      </c>
      <c r="R829" s="7" t="str">
        <f t="shared" si="39"/>
        <v>(1973,2,'1973.01.13',1,5,12,35,89),</v>
      </c>
    </row>
    <row r="830" spans="1:18" x14ac:dyDescent="0.25">
      <c r="A830" s="7" t="s">
        <v>5861</v>
      </c>
      <c r="B830" s="8" t="s">
        <v>42</v>
      </c>
      <c r="C830" s="10">
        <f t="shared" si="38"/>
        <v>26684</v>
      </c>
      <c r="D830" t="s">
        <v>11</v>
      </c>
      <c r="E830" t="s">
        <v>12</v>
      </c>
      <c r="F830" t="s">
        <v>11</v>
      </c>
      <c r="G830" t="s">
        <v>12</v>
      </c>
      <c r="H830" t="s">
        <v>11</v>
      </c>
      <c r="I830" t="s">
        <v>12</v>
      </c>
      <c r="J830" t="s">
        <v>11</v>
      </c>
      <c r="K830" t="s">
        <v>12</v>
      </c>
      <c r="L830" s="12" t="s">
        <v>207</v>
      </c>
      <c r="M830" s="12" t="s">
        <v>89</v>
      </c>
      <c r="N830" s="12" t="s">
        <v>33</v>
      </c>
      <c r="O830" s="12" t="s">
        <v>22</v>
      </c>
      <c r="P830" s="12" t="s">
        <v>91</v>
      </c>
      <c r="Q830" s="7" t="str">
        <f t="shared" si="37"/>
        <v>(1973,3,'1973.01.20',2,5,24,48,61,0),</v>
      </c>
      <c r="R830" s="7" t="str">
        <f t="shared" si="39"/>
        <v>(1973,3,'1973.01.20',2,5,24,48,61),</v>
      </c>
    </row>
    <row r="831" spans="1:18" x14ac:dyDescent="0.25">
      <c r="A831" s="7" t="s">
        <v>5861</v>
      </c>
      <c r="B831" s="8" t="s">
        <v>168</v>
      </c>
      <c r="C831" s="10">
        <f t="shared" si="38"/>
        <v>26691</v>
      </c>
      <c r="D831" t="s">
        <v>11</v>
      </c>
      <c r="E831" t="s">
        <v>12</v>
      </c>
      <c r="F831" t="s">
        <v>11</v>
      </c>
      <c r="G831" t="s">
        <v>12</v>
      </c>
      <c r="H831" t="s">
        <v>11</v>
      </c>
      <c r="I831" t="s">
        <v>12</v>
      </c>
      <c r="J831" t="s">
        <v>11</v>
      </c>
      <c r="K831" t="s">
        <v>12</v>
      </c>
      <c r="L831" s="12" t="s">
        <v>127</v>
      </c>
      <c r="M831" s="12" t="s">
        <v>43</v>
      </c>
      <c r="N831" s="12" t="s">
        <v>44</v>
      </c>
      <c r="O831" s="12" t="s">
        <v>25</v>
      </c>
      <c r="P831" s="12" t="s">
        <v>246</v>
      </c>
      <c r="Q831" s="7" t="str">
        <f t="shared" si="37"/>
        <v>(1973,4,'1973.01.27',14,16,21,34,84,0),</v>
      </c>
      <c r="R831" s="7" t="str">
        <f t="shared" si="39"/>
        <v>(1973,4,'1973.01.27',14,16,21,34,84),</v>
      </c>
    </row>
    <row r="832" spans="1:18" x14ac:dyDescent="0.25">
      <c r="A832" s="7" t="s">
        <v>5861</v>
      </c>
      <c r="B832" s="8" t="s">
        <v>89</v>
      </c>
      <c r="C832" s="10">
        <f t="shared" si="38"/>
        <v>26698</v>
      </c>
      <c r="D832" t="s">
        <v>11</v>
      </c>
      <c r="E832" t="s">
        <v>12</v>
      </c>
      <c r="F832" t="s">
        <v>11</v>
      </c>
      <c r="G832" t="s">
        <v>12</v>
      </c>
      <c r="H832" t="s">
        <v>11</v>
      </c>
      <c r="I832" t="s">
        <v>12</v>
      </c>
      <c r="J832" t="s">
        <v>11</v>
      </c>
      <c r="K832" t="s">
        <v>12</v>
      </c>
      <c r="L832" s="12" t="s">
        <v>115</v>
      </c>
      <c r="M832" s="12" t="s">
        <v>99</v>
      </c>
      <c r="N832" s="12" t="s">
        <v>175</v>
      </c>
      <c r="O832" s="12" t="s">
        <v>134</v>
      </c>
      <c r="P832" s="12" t="s">
        <v>92</v>
      </c>
      <c r="Q832" s="7" t="str">
        <f t="shared" si="37"/>
        <v>(1973,5,'1973.02.03',20,52,55,56,68,0),</v>
      </c>
      <c r="R832" s="7" t="str">
        <f t="shared" si="39"/>
        <v>(1973,5,'1973.02.03',20,52,55,56,68),</v>
      </c>
    </row>
    <row r="833" spans="1:18" x14ac:dyDescent="0.25">
      <c r="A833" s="7" t="s">
        <v>5861</v>
      </c>
      <c r="B833" s="8" t="s">
        <v>270</v>
      </c>
      <c r="C833" s="10">
        <f t="shared" si="38"/>
        <v>26705</v>
      </c>
      <c r="D833" t="s">
        <v>11</v>
      </c>
      <c r="E833" t="s">
        <v>12</v>
      </c>
      <c r="F833" t="s">
        <v>11</v>
      </c>
      <c r="G833" t="s">
        <v>12</v>
      </c>
      <c r="H833" t="s">
        <v>11</v>
      </c>
      <c r="I833" t="s">
        <v>12</v>
      </c>
      <c r="J833" t="s">
        <v>11</v>
      </c>
      <c r="K833" t="s">
        <v>12</v>
      </c>
      <c r="L833" s="12" t="s">
        <v>53</v>
      </c>
      <c r="M833" s="12" t="s">
        <v>232</v>
      </c>
      <c r="N833" s="12" t="s">
        <v>124</v>
      </c>
      <c r="O833" s="12" t="s">
        <v>35</v>
      </c>
      <c r="P833" s="12" t="s">
        <v>56</v>
      </c>
      <c r="Q833" s="7" t="str">
        <f t="shared" si="37"/>
        <v>(1973,6,'1973.02.10',7,8,62,65,71,0),</v>
      </c>
      <c r="R833" s="7" t="str">
        <f t="shared" si="39"/>
        <v>(1973,6,'1973.02.10',7,8,62,65,71),</v>
      </c>
    </row>
    <row r="834" spans="1:18" x14ac:dyDescent="0.25">
      <c r="A834" s="7" t="s">
        <v>5861</v>
      </c>
      <c r="B834" s="8" t="s">
        <v>53</v>
      </c>
      <c r="C834" s="10">
        <f t="shared" si="38"/>
        <v>26712</v>
      </c>
      <c r="D834" t="s">
        <v>11</v>
      </c>
      <c r="E834" t="s">
        <v>12</v>
      </c>
      <c r="F834" t="s">
        <v>11</v>
      </c>
      <c r="G834" t="s">
        <v>12</v>
      </c>
      <c r="H834" t="s">
        <v>11</v>
      </c>
      <c r="I834" t="s">
        <v>12</v>
      </c>
      <c r="J834" t="s">
        <v>11</v>
      </c>
      <c r="K834" t="s">
        <v>12</v>
      </c>
      <c r="L834" s="12" t="s">
        <v>108</v>
      </c>
      <c r="M834" s="12" t="s">
        <v>89</v>
      </c>
      <c r="N834" s="12" t="s">
        <v>232</v>
      </c>
      <c r="O834" s="12" t="s">
        <v>163</v>
      </c>
      <c r="P834" s="12" t="s">
        <v>13</v>
      </c>
      <c r="Q834" s="7" t="str">
        <f t="shared" ref="Q834:Q897" si="40">"("&amp;A834&amp;","&amp;B834&amp;",'"&amp;TEXT(C834,"éééé.hh.nn")&amp;"',"&amp;L834&amp;","&amp;M834&amp;","&amp;N834&amp;","&amp;O834&amp;","&amp;P834&amp;",0)"&amp;IF(P835&lt;&gt;0,",","")</f>
        <v>(1973,7,'1973.02.17',1,5,8,23,41,0),</v>
      </c>
      <c r="R834" s="7" t="str">
        <f t="shared" si="39"/>
        <v>(1973,7,'1973.02.17',1,5,8,23,41),</v>
      </c>
    </row>
    <row r="835" spans="1:18" x14ac:dyDescent="0.25">
      <c r="A835" s="7" t="s">
        <v>5861</v>
      </c>
      <c r="B835" s="8" t="s">
        <v>232</v>
      </c>
      <c r="C835" s="10">
        <f t="shared" ref="C835:C898" si="41">+C834+7</f>
        <v>26719</v>
      </c>
      <c r="D835" t="s">
        <v>11</v>
      </c>
      <c r="E835" t="s">
        <v>12</v>
      </c>
      <c r="F835" t="s">
        <v>11</v>
      </c>
      <c r="G835" t="s">
        <v>12</v>
      </c>
      <c r="H835" t="s">
        <v>11</v>
      </c>
      <c r="I835" t="s">
        <v>12</v>
      </c>
      <c r="J835" t="s">
        <v>11</v>
      </c>
      <c r="K835" t="s">
        <v>12</v>
      </c>
      <c r="L835" s="12" t="s">
        <v>232</v>
      </c>
      <c r="M835" s="12" t="s">
        <v>24</v>
      </c>
      <c r="N835" s="12" t="s">
        <v>98</v>
      </c>
      <c r="O835" s="12" t="s">
        <v>133</v>
      </c>
      <c r="P835" s="12" t="s">
        <v>233</v>
      </c>
      <c r="Q835" s="7" t="str">
        <f t="shared" si="40"/>
        <v>(1973,8,'1973.02.24',8,39,42,45,66,0),</v>
      </c>
      <c r="R835" s="7" t="str">
        <f t="shared" ref="R835:R898" si="42">IF(TRIM(P835)="","","("&amp;A835&amp;","&amp;B835&amp;",'"&amp;TEXT(C835,"éééé.hh.nn")&amp;"',"&amp;L835&amp;","&amp;M835&amp;","&amp;N835&amp;","&amp;O835&amp;","&amp;P835&amp;")"&amp;IF(P836=0,";",","))</f>
        <v>(1973,8,'1973.02.24',8,39,42,45,66),</v>
      </c>
    </row>
    <row r="836" spans="1:18" x14ac:dyDescent="0.25">
      <c r="A836" s="7" t="s">
        <v>5861</v>
      </c>
      <c r="B836" s="8" t="s">
        <v>198</v>
      </c>
      <c r="C836" s="10">
        <f t="shared" si="41"/>
        <v>26726</v>
      </c>
      <c r="D836" t="s">
        <v>11</v>
      </c>
      <c r="E836" t="s">
        <v>12</v>
      </c>
      <c r="F836" t="s">
        <v>11</v>
      </c>
      <c r="G836" t="s">
        <v>12</v>
      </c>
      <c r="H836" t="s">
        <v>11</v>
      </c>
      <c r="I836" t="s">
        <v>12</v>
      </c>
      <c r="J836" t="s">
        <v>11</v>
      </c>
      <c r="K836" t="s">
        <v>12</v>
      </c>
      <c r="L836" s="12" t="s">
        <v>270</v>
      </c>
      <c r="M836" s="12" t="s">
        <v>55</v>
      </c>
      <c r="N836" s="12" t="s">
        <v>44</v>
      </c>
      <c r="O836" s="12" t="s">
        <v>201</v>
      </c>
      <c r="P836" s="12" t="s">
        <v>106</v>
      </c>
      <c r="Q836" s="7" t="str">
        <f t="shared" si="40"/>
        <v>(1973,9,'1973.03.03',6,19,21,72,75,0),</v>
      </c>
      <c r="R836" s="7" t="str">
        <f t="shared" si="42"/>
        <v>(1973,9,'1973.03.03',6,19,21,72,75),</v>
      </c>
    </row>
    <row r="837" spans="1:18" x14ac:dyDescent="0.25">
      <c r="A837" s="7" t="s">
        <v>5861</v>
      </c>
      <c r="B837" s="8" t="s">
        <v>62</v>
      </c>
      <c r="C837" s="10">
        <f t="shared" si="41"/>
        <v>26733</v>
      </c>
      <c r="D837" t="s">
        <v>11</v>
      </c>
      <c r="E837" t="s">
        <v>12</v>
      </c>
      <c r="F837" t="s">
        <v>11</v>
      </c>
      <c r="G837" t="s">
        <v>12</v>
      </c>
      <c r="H837" t="s">
        <v>11</v>
      </c>
      <c r="I837" t="s">
        <v>12</v>
      </c>
      <c r="J837" t="s">
        <v>11</v>
      </c>
      <c r="K837" t="s">
        <v>12</v>
      </c>
      <c r="L837" s="12" t="s">
        <v>42</v>
      </c>
      <c r="M837" s="12" t="s">
        <v>82</v>
      </c>
      <c r="N837" s="12" t="s">
        <v>201</v>
      </c>
      <c r="O837" s="12" t="s">
        <v>106</v>
      </c>
      <c r="P837" s="12" t="s">
        <v>186</v>
      </c>
      <c r="Q837" s="7" t="str">
        <f t="shared" si="40"/>
        <v>(1973,10,'1973.03.10',3,59,72,75,90,0),</v>
      </c>
      <c r="R837" s="7" t="str">
        <f t="shared" si="42"/>
        <v>(1973,10,'1973.03.10',3,59,72,75,90),</v>
      </c>
    </row>
    <row r="838" spans="1:18" x14ac:dyDescent="0.25">
      <c r="A838" s="7" t="s">
        <v>5861</v>
      </c>
      <c r="B838" s="8" t="s">
        <v>83</v>
      </c>
      <c r="C838" s="10">
        <f t="shared" si="41"/>
        <v>26740</v>
      </c>
      <c r="D838" t="s">
        <v>11</v>
      </c>
      <c r="E838" t="s">
        <v>12</v>
      </c>
      <c r="F838" t="s">
        <v>11</v>
      </c>
      <c r="G838" t="s">
        <v>12</v>
      </c>
      <c r="H838" t="s">
        <v>11</v>
      </c>
      <c r="I838" t="s">
        <v>12</v>
      </c>
      <c r="J838" t="s">
        <v>11</v>
      </c>
      <c r="K838" t="s">
        <v>12</v>
      </c>
      <c r="L838" s="12" t="s">
        <v>62</v>
      </c>
      <c r="M838" s="12" t="s">
        <v>163</v>
      </c>
      <c r="N838" s="12" t="s">
        <v>233</v>
      </c>
      <c r="O838" s="12" t="s">
        <v>72</v>
      </c>
      <c r="P838" s="12" t="s">
        <v>246</v>
      </c>
      <c r="Q838" s="7" t="str">
        <f t="shared" si="40"/>
        <v>(1973,11,'1973.03.17',10,23,66,67,84,0),</v>
      </c>
      <c r="R838" s="7" t="str">
        <f t="shared" si="42"/>
        <v>(1973,11,'1973.03.17',10,23,66,67,84),</v>
      </c>
    </row>
    <row r="839" spans="1:18" x14ac:dyDescent="0.25">
      <c r="A839" s="7" t="s">
        <v>5861</v>
      </c>
      <c r="B839" s="8" t="s">
        <v>31</v>
      </c>
      <c r="C839" s="10">
        <f t="shared" si="41"/>
        <v>26747</v>
      </c>
      <c r="D839" t="s">
        <v>11</v>
      </c>
      <c r="E839" t="s">
        <v>12</v>
      </c>
      <c r="F839" t="s">
        <v>11</v>
      </c>
      <c r="G839" t="s">
        <v>12</v>
      </c>
      <c r="H839" t="s">
        <v>11</v>
      </c>
      <c r="I839" t="s">
        <v>12</v>
      </c>
      <c r="J839" t="s">
        <v>11</v>
      </c>
      <c r="K839" t="s">
        <v>12</v>
      </c>
      <c r="L839" s="12" t="s">
        <v>163</v>
      </c>
      <c r="M839" s="12" t="s">
        <v>152</v>
      </c>
      <c r="N839" s="12" t="s">
        <v>23</v>
      </c>
      <c r="O839" s="12" t="s">
        <v>215</v>
      </c>
      <c r="P839" s="12" t="s">
        <v>379</v>
      </c>
      <c r="Q839" s="7" t="str">
        <f t="shared" si="40"/>
        <v>(1973,12,'1973.03.24',23,25,60,81,89,0),</v>
      </c>
      <c r="R839" s="7" t="str">
        <f t="shared" si="42"/>
        <v>(1973,12,'1973.03.24',23,25,60,81,89),</v>
      </c>
    </row>
    <row r="840" spans="1:18" x14ac:dyDescent="0.25">
      <c r="A840" s="7" t="s">
        <v>5861</v>
      </c>
      <c r="B840" s="8" t="s">
        <v>65</v>
      </c>
      <c r="C840" s="10">
        <f t="shared" si="41"/>
        <v>26754</v>
      </c>
      <c r="D840" t="s">
        <v>11</v>
      </c>
      <c r="E840" t="s">
        <v>12</v>
      </c>
      <c r="F840" t="s">
        <v>11</v>
      </c>
      <c r="G840" t="s">
        <v>12</v>
      </c>
      <c r="H840" t="s">
        <v>11</v>
      </c>
      <c r="I840" t="s">
        <v>12</v>
      </c>
      <c r="J840" t="s">
        <v>11</v>
      </c>
      <c r="K840" t="s">
        <v>12</v>
      </c>
      <c r="L840" s="12" t="s">
        <v>115</v>
      </c>
      <c r="M840" s="12" t="s">
        <v>126</v>
      </c>
      <c r="N840" s="12" t="s">
        <v>64</v>
      </c>
      <c r="O840" s="12" t="s">
        <v>63</v>
      </c>
      <c r="P840" s="12" t="s">
        <v>308</v>
      </c>
      <c r="Q840" s="7" t="str">
        <f t="shared" si="40"/>
        <v>(1973,13,'1973.03.31',20,28,35,78,86,0),</v>
      </c>
      <c r="R840" s="7" t="str">
        <f t="shared" si="42"/>
        <v>(1973,13,'1973.03.31',20,28,35,78,86),</v>
      </c>
    </row>
    <row r="841" spans="1:18" x14ac:dyDescent="0.25">
      <c r="A841" s="7" t="s">
        <v>5861</v>
      </c>
      <c r="B841" s="8" t="s">
        <v>127</v>
      </c>
      <c r="C841" s="10">
        <f t="shared" si="41"/>
        <v>26761</v>
      </c>
      <c r="D841" t="s">
        <v>11</v>
      </c>
      <c r="E841" t="s">
        <v>12</v>
      </c>
      <c r="F841" t="s">
        <v>11</v>
      </c>
      <c r="G841" t="s">
        <v>12</v>
      </c>
      <c r="H841" t="s">
        <v>11</v>
      </c>
      <c r="I841" t="s">
        <v>12</v>
      </c>
      <c r="J841" t="s">
        <v>11</v>
      </c>
      <c r="K841" t="s">
        <v>12</v>
      </c>
      <c r="L841" s="12" t="s">
        <v>89</v>
      </c>
      <c r="M841" s="12" t="s">
        <v>270</v>
      </c>
      <c r="N841" s="12" t="s">
        <v>152</v>
      </c>
      <c r="O841" s="12" t="s">
        <v>134</v>
      </c>
      <c r="P841" s="12" t="s">
        <v>248</v>
      </c>
      <c r="Q841" s="7" t="str">
        <f t="shared" si="40"/>
        <v>(1973,14,'1973.04.07',5,6,25,56,63,0),</v>
      </c>
      <c r="R841" s="7" t="str">
        <f t="shared" si="42"/>
        <v>(1973,14,'1973.04.07',5,6,25,56,63),</v>
      </c>
    </row>
    <row r="842" spans="1:18" x14ac:dyDescent="0.25">
      <c r="A842" s="7" t="s">
        <v>5861</v>
      </c>
      <c r="B842" s="8" t="s">
        <v>54</v>
      </c>
      <c r="C842" s="10">
        <f t="shared" si="41"/>
        <v>26768</v>
      </c>
      <c r="D842" t="s">
        <v>11</v>
      </c>
      <c r="E842" t="s">
        <v>12</v>
      </c>
      <c r="F842" t="s">
        <v>11</v>
      </c>
      <c r="G842" t="s">
        <v>12</v>
      </c>
      <c r="H842" t="s">
        <v>11</v>
      </c>
      <c r="I842" t="s">
        <v>12</v>
      </c>
      <c r="J842" t="s">
        <v>11</v>
      </c>
      <c r="K842" t="s">
        <v>12</v>
      </c>
      <c r="L842" s="12" t="s">
        <v>62</v>
      </c>
      <c r="M842" s="12" t="s">
        <v>32</v>
      </c>
      <c r="N842" s="12" t="s">
        <v>80</v>
      </c>
      <c r="O842" s="12" t="s">
        <v>106</v>
      </c>
      <c r="P842" s="12" t="s">
        <v>63</v>
      </c>
      <c r="Q842" s="7" t="str">
        <f t="shared" si="40"/>
        <v>(1973,15,'1973.04.14',10,22,32,75,78,0),</v>
      </c>
      <c r="R842" s="7" t="str">
        <f t="shared" si="42"/>
        <v>(1973,15,'1973.04.14',10,22,32,75,78),</v>
      </c>
    </row>
    <row r="843" spans="1:18" x14ac:dyDescent="0.25">
      <c r="A843" s="7" t="s">
        <v>5861</v>
      </c>
      <c r="B843" s="8" t="s">
        <v>43</v>
      </c>
      <c r="C843" s="10">
        <f t="shared" si="41"/>
        <v>26775</v>
      </c>
      <c r="D843" t="s">
        <v>11</v>
      </c>
      <c r="E843" t="s">
        <v>12</v>
      </c>
      <c r="F843" t="s">
        <v>11</v>
      </c>
      <c r="G843" t="s">
        <v>12</v>
      </c>
      <c r="H843" t="s">
        <v>11</v>
      </c>
      <c r="I843" t="s">
        <v>12</v>
      </c>
      <c r="J843" t="s">
        <v>11</v>
      </c>
      <c r="K843" t="s">
        <v>12</v>
      </c>
      <c r="L843" s="12" t="s">
        <v>19</v>
      </c>
      <c r="M843" s="12" t="s">
        <v>163</v>
      </c>
      <c r="N843" s="12" t="s">
        <v>36</v>
      </c>
      <c r="O843" s="12" t="s">
        <v>99</v>
      </c>
      <c r="P843" s="12" t="s">
        <v>175</v>
      </c>
      <c r="Q843" s="7" t="str">
        <f t="shared" si="40"/>
        <v>(1973,16,'1973.04.21',18,23,38,52,55,0),</v>
      </c>
      <c r="R843" s="7" t="str">
        <f t="shared" si="42"/>
        <v>(1973,16,'1973.04.21',18,23,38,52,55),</v>
      </c>
    </row>
    <row r="844" spans="1:18" x14ac:dyDescent="0.25">
      <c r="A844" s="7" t="s">
        <v>5861</v>
      </c>
      <c r="B844" s="8" t="s">
        <v>90</v>
      </c>
      <c r="C844" s="10">
        <f t="shared" si="41"/>
        <v>26782</v>
      </c>
      <c r="D844" t="s">
        <v>11</v>
      </c>
      <c r="E844" t="s">
        <v>12</v>
      </c>
      <c r="F844" t="s">
        <v>11</v>
      </c>
      <c r="G844" t="s">
        <v>12</v>
      </c>
      <c r="H844" t="s">
        <v>11</v>
      </c>
      <c r="I844" t="s">
        <v>12</v>
      </c>
      <c r="J844" t="s">
        <v>11</v>
      </c>
      <c r="K844" t="s">
        <v>12</v>
      </c>
      <c r="L844" s="12" t="s">
        <v>168</v>
      </c>
      <c r="M844" s="12" t="s">
        <v>83</v>
      </c>
      <c r="N844" s="12" t="s">
        <v>150</v>
      </c>
      <c r="O844" s="12" t="s">
        <v>35</v>
      </c>
      <c r="P844" s="12" t="s">
        <v>47</v>
      </c>
      <c r="Q844" s="7" t="str">
        <f t="shared" si="40"/>
        <v>(1973,17,'1973.04.28',4,11,57,65,69,0),</v>
      </c>
      <c r="R844" s="7" t="str">
        <f t="shared" si="42"/>
        <v>(1973,17,'1973.04.28',4,11,57,65,69),</v>
      </c>
    </row>
    <row r="845" spans="1:18" x14ac:dyDescent="0.25">
      <c r="A845" s="7" t="s">
        <v>5861</v>
      </c>
      <c r="B845" s="8" t="s">
        <v>19</v>
      </c>
      <c r="C845" s="10">
        <f t="shared" si="41"/>
        <v>26789</v>
      </c>
      <c r="D845" t="s">
        <v>11</v>
      </c>
      <c r="E845" t="s">
        <v>12</v>
      </c>
      <c r="F845" t="s">
        <v>11</v>
      </c>
      <c r="G845" t="s">
        <v>12</v>
      </c>
      <c r="H845" t="s">
        <v>11</v>
      </c>
      <c r="I845" t="s">
        <v>12</v>
      </c>
      <c r="J845" t="s">
        <v>11</v>
      </c>
      <c r="K845" t="s">
        <v>12</v>
      </c>
      <c r="L845" s="12" t="s">
        <v>169</v>
      </c>
      <c r="M845" s="12" t="s">
        <v>214</v>
      </c>
      <c r="N845" s="12" t="s">
        <v>106</v>
      </c>
      <c r="O845" s="12" t="s">
        <v>301</v>
      </c>
      <c r="P845" s="12" t="s">
        <v>208</v>
      </c>
      <c r="Q845" s="7" t="str">
        <f t="shared" si="40"/>
        <v>(1973,18,'1973.05.05',58,64,75,80,88,0),</v>
      </c>
      <c r="R845" s="7" t="str">
        <f t="shared" si="42"/>
        <v>(1973,18,'1973.05.05',58,64,75,80,88),</v>
      </c>
    </row>
    <row r="846" spans="1:18" x14ac:dyDescent="0.25">
      <c r="A846" s="7" t="s">
        <v>5861</v>
      </c>
      <c r="B846" s="8" t="s">
        <v>55</v>
      </c>
      <c r="C846" s="10">
        <f t="shared" si="41"/>
        <v>26796</v>
      </c>
      <c r="D846" t="s">
        <v>11</v>
      </c>
      <c r="E846" t="s">
        <v>12</v>
      </c>
      <c r="F846" t="s">
        <v>11</v>
      </c>
      <c r="G846" t="s">
        <v>12</v>
      </c>
      <c r="H846" t="s">
        <v>11</v>
      </c>
      <c r="I846" t="s">
        <v>12</v>
      </c>
      <c r="J846" t="s">
        <v>11</v>
      </c>
      <c r="K846" t="s">
        <v>12</v>
      </c>
      <c r="L846" s="12" t="s">
        <v>65</v>
      </c>
      <c r="M846" s="12" t="s">
        <v>25</v>
      </c>
      <c r="N846" s="12" t="s">
        <v>199</v>
      </c>
      <c r="O846" s="12" t="s">
        <v>248</v>
      </c>
      <c r="P846" s="12" t="s">
        <v>72</v>
      </c>
      <c r="Q846" s="7" t="str">
        <f t="shared" si="40"/>
        <v>(1973,19,'1973.05.12',13,34,53,63,67,0),</v>
      </c>
      <c r="R846" s="7" t="str">
        <f t="shared" si="42"/>
        <v>(1973,19,'1973.05.12',13,34,53,63,67),</v>
      </c>
    </row>
    <row r="847" spans="1:18" x14ac:dyDescent="0.25">
      <c r="A847" s="7" t="s">
        <v>5861</v>
      </c>
      <c r="B847" s="8" t="s">
        <v>115</v>
      </c>
      <c r="C847" s="10">
        <f t="shared" si="41"/>
        <v>26803</v>
      </c>
      <c r="D847" t="s">
        <v>11</v>
      </c>
      <c r="E847" t="s">
        <v>12</v>
      </c>
      <c r="F847" t="s">
        <v>11</v>
      </c>
      <c r="G847" t="s">
        <v>12</v>
      </c>
      <c r="H847" t="s">
        <v>11</v>
      </c>
      <c r="I847" t="s">
        <v>12</v>
      </c>
      <c r="J847" t="s">
        <v>11</v>
      </c>
      <c r="K847" t="s">
        <v>12</v>
      </c>
      <c r="L847" s="12" t="s">
        <v>55</v>
      </c>
      <c r="M847" s="12" t="s">
        <v>175</v>
      </c>
      <c r="N847" s="12" t="s">
        <v>134</v>
      </c>
      <c r="O847" s="12" t="s">
        <v>169</v>
      </c>
      <c r="P847" s="12" t="s">
        <v>143</v>
      </c>
      <c r="Q847" s="7" t="str">
        <f t="shared" si="40"/>
        <v>(1973,20,'1973.05.19',19,55,56,58,77,0),</v>
      </c>
      <c r="R847" s="7" t="str">
        <f t="shared" si="42"/>
        <v>(1973,20,'1973.05.19',19,55,56,58,77),</v>
      </c>
    </row>
    <row r="848" spans="1:18" x14ac:dyDescent="0.25">
      <c r="A848" s="7" t="s">
        <v>5861</v>
      </c>
      <c r="B848" s="8" t="s">
        <v>44</v>
      </c>
      <c r="C848" s="10">
        <f t="shared" si="41"/>
        <v>26810</v>
      </c>
      <c r="D848" t="s">
        <v>11</v>
      </c>
      <c r="E848" t="s">
        <v>12</v>
      </c>
      <c r="F848" t="s">
        <v>11</v>
      </c>
      <c r="G848" t="s">
        <v>12</v>
      </c>
      <c r="H848" t="s">
        <v>11</v>
      </c>
      <c r="I848" t="s">
        <v>12</v>
      </c>
      <c r="J848" t="s">
        <v>11</v>
      </c>
      <c r="K848" t="s">
        <v>12</v>
      </c>
      <c r="L848" s="12" t="s">
        <v>64</v>
      </c>
      <c r="M848" s="12" t="s">
        <v>13</v>
      </c>
      <c r="N848" s="12" t="s">
        <v>245</v>
      </c>
      <c r="O848" s="12" t="s">
        <v>151</v>
      </c>
      <c r="P848" s="12" t="s">
        <v>125</v>
      </c>
      <c r="Q848" s="7" t="str">
        <f t="shared" si="40"/>
        <v>(1973,21,'1973.05.26',35,41,74,79,83,0),</v>
      </c>
      <c r="R848" s="7" t="str">
        <f t="shared" si="42"/>
        <v>(1973,21,'1973.05.26',35,41,74,79,83),</v>
      </c>
    </row>
    <row r="849" spans="1:18" x14ac:dyDescent="0.25">
      <c r="A849" s="7" t="s">
        <v>5861</v>
      </c>
      <c r="B849" s="8" t="s">
        <v>32</v>
      </c>
      <c r="C849" s="10">
        <f t="shared" si="41"/>
        <v>26817</v>
      </c>
      <c r="D849" t="s">
        <v>11</v>
      </c>
      <c r="E849" t="s">
        <v>12</v>
      </c>
      <c r="F849" t="s">
        <v>11</v>
      </c>
      <c r="G849" t="s">
        <v>12</v>
      </c>
      <c r="H849" t="s">
        <v>11</v>
      </c>
      <c r="I849" t="s">
        <v>12</v>
      </c>
      <c r="J849" t="s">
        <v>11</v>
      </c>
      <c r="K849" t="s">
        <v>12</v>
      </c>
      <c r="L849" s="12" t="s">
        <v>198</v>
      </c>
      <c r="M849" s="12" t="s">
        <v>71</v>
      </c>
      <c r="N849" s="12" t="s">
        <v>22</v>
      </c>
      <c r="O849" s="12" t="s">
        <v>143</v>
      </c>
      <c r="P849" s="12" t="s">
        <v>63</v>
      </c>
      <c r="Q849" s="7" t="str">
        <f t="shared" si="40"/>
        <v>(1973,22,'1973.06.02',9,31,48,77,78,0),</v>
      </c>
      <c r="R849" s="7" t="str">
        <f t="shared" si="42"/>
        <v>(1973,22,'1973.06.02',9,31,48,77,78),</v>
      </c>
    </row>
    <row r="850" spans="1:18" x14ac:dyDescent="0.25">
      <c r="A850" s="7" t="s">
        <v>5861</v>
      </c>
      <c r="B850" s="8" t="s">
        <v>163</v>
      </c>
      <c r="C850" s="10">
        <f t="shared" si="41"/>
        <v>26824</v>
      </c>
      <c r="D850" t="s">
        <v>11</v>
      </c>
      <c r="E850" t="s">
        <v>12</v>
      </c>
      <c r="F850" t="s">
        <v>11</v>
      </c>
      <c r="G850" t="s">
        <v>12</v>
      </c>
      <c r="H850" t="s">
        <v>11</v>
      </c>
      <c r="I850" t="s">
        <v>12</v>
      </c>
      <c r="J850" t="s">
        <v>11</v>
      </c>
      <c r="K850" t="s">
        <v>12</v>
      </c>
      <c r="L850" s="12" t="s">
        <v>74</v>
      </c>
      <c r="M850" s="12" t="s">
        <v>169</v>
      </c>
      <c r="N850" s="12" t="s">
        <v>23</v>
      </c>
      <c r="O850" s="12" t="s">
        <v>143</v>
      </c>
      <c r="P850" s="12" t="s">
        <v>186</v>
      </c>
      <c r="Q850" s="7" t="str">
        <f t="shared" si="40"/>
        <v>(1973,23,'1973.06.09',26,58,60,77,90,0),</v>
      </c>
      <c r="R850" s="7" t="str">
        <f t="shared" si="42"/>
        <v>(1973,23,'1973.06.09',26,58,60,77,90),</v>
      </c>
    </row>
    <row r="851" spans="1:18" x14ac:dyDescent="0.25">
      <c r="A851" s="7" t="s">
        <v>5861</v>
      </c>
      <c r="B851" s="8" t="s">
        <v>33</v>
      </c>
      <c r="C851" s="10">
        <f t="shared" si="41"/>
        <v>26831</v>
      </c>
      <c r="D851" t="s">
        <v>11</v>
      </c>
      <c r="E851" t="s">
        <v>12</v>
      </c>
      <c r="F851" t="s">
        <v>11</v>
      </c>
      <c r="G851" t="s">
        <v>12</v>
      </c>
      <c r="H851" t="s">
        <v>11</v>
      </c>
      <c r="I851" t="s">
        <v>12</v>
      </c>
      <c r="J851" t="s">
        <v>11</v>
      </c>
      <c r="K851" t="s">
        <v>12</v>
      </c>
      <c r="L851" s="12" t="s">
        <v>168</v>
      </c>
      <c r="M851" s="12" t="s">
        <v>98</v>
      </c>
      <c r="N851" s="12" t="s">
        <v>142</v>
      </c>
      <c r="O851" s="12" t="s">
        <v>248</v>
      </c>
      <c r="P851" s="12" t="s">
        <v>143</v>
      </c>
      <c r="Q851" s="7" t="str">
        <f t="shared" si="40"/>
        <v>(1973,24,'1973.06.16',4,42,44,63,77,0),</v>
      </c>
      <c r="R851" s="7" t="str">
        <f t="shared" si="42"/>
        <v>(1973,24,'1973.06.16',4,42,44,63,77),</v>
      </c>
    </row>
    <row r="852" spans="1:18" x14ac:dyDescent="0.25">
      <c r="A852" s="7" t="s">
        <v>5861</v>
      </c>
      <c r="B852" s="8" t="s">
        <v>152</v>
      </c>
      <c r="C852" s="10">
        <f t="shared" si="41"/>
        <v>26838</v>
      </c>
      <c r="D852" t="s">
        <v>11</v>
      </c>
      <c r="E852" t="s">
        <v>12</v>
      </c>
      <c r="F852" t="s">
        <v>11</v>
      </c>
      <c r="G852" t="s">
        <v>12</v>
      </c>
      <c r="H852" t="s">
        <v>11</v>
      </c>
      <c r="I852" t="s">
        <v>12</v>
      </c>
      <c r="J852" t="s">
        <v>11</v>
      </c>
      <c r="K852" t="s">
        <v>12</v>
      </c>
      <c r="L852" s="12" t="s">
        <v>175</v>
      </c>
      <c r="M852" s="12" t="s">
        <v>143</v>
      </c>
      <c r="N852" s="12" t="s">
        <v>63</v>
      </c>
      <c r="O852" s="12" t="s">
        <v>301</v>
      </c>
      <c r="P852" s="12" t="s">
        <v>125</v>
      </c>
      <c r="Q852" s="7" t="str">
        <f t="shared" si="40"/>
        <v>(1973,25,'1973.06.23',55,77,78,80,83,0),</v>
      </c>
      <c r="R852" s="7" t="str">
        <f t="shared" si="42"/>
        <v>(1973,25,'1973.06.23',55,77,78,80,83),</v>
      </c>
    </row>
    <row r="853" spans="1:18" x14ac:dyDescent="0.25">
      <c r="A853" s="7" t="s">
        <v>5861</v>
      </c>
      <c r="B853" s="8" t="s">
        <v>74</v>
      </c>
      <c r="C853" s="10">
        <f t="shared" si="41"/>
        <v>26845</v>
      </c>
      <c r="D853" t="s">
        <v>11</v>
      </c>
      <c r="E853" t="s">
        <v>12</v>
      </c>
      <c r="F853" t="s">
        <v>11</v>
      </c>
      <c r="G853" t="s">
        <v>12</v>
      </c>
      <c r="H853" t="s">
        <v>11</v>
      </c>
      <c r="I853" t="s">
        <v>12</v>
      </c>
      <c r="J853" t="s">
        <v>11</v>
      </c>
      <c r="K853" t="s">
        <v>12</v>
      </c>
      <c r="L853" s="12" t="s">
        <v>54</v>
      </c>
      <c r="M853" s="12" t="s">
        <v>175</v>
      </c>
      <c r="N853" s="12" t="s">
        <v>35</v>
      </c>
      <c r="O853" s="12" t="s">
        <v>246</v>
      </c>
      <c r="P853" s="12" t="s">
        <v>208</v>
      </c>
      <c r="Q853" s="7" t="str">
        <f t="shared" si="40"/>
        <v>(1973,26,'1973.06.30',15,55,65,84,88,0),</v>
      </c>
      <c r="R853" s="7" t="str">
        <f t="shared" si="42"/>
        <v>(1973,26,'1973.06.30',15,55,65,84,88),</v>
      </c>
    </row>
    <row r="854" spans="1:18" x14ac:dyDescent="0.25">
      <c r="A854" s="7" t="s">
        <v>5861</v>
      </c>
      <c r="B854" s="8" t="s">
        <v>135</v>
      </c>
      <c r="C854" s="10">
        <f t="shared" si="41"/>
        <v>26852</v>
      </c>
      <c r="D854" t="s">
        <v>11</v>
      </c>
      <c r="E854" t="s">
        <v>12</v>
      </c>
      <c r="F854" t="s">
        <v>11</v>
      </c>
      <c r="G854" t="s">
        <v>12</v>
      </c>
      <c r="H854" t="s">
        <v>11</v>
      </c>
      <c r="I854" t="s">
        <v>12</v>
      </c>
      <c r="J854" t="s">
        <v>11</v>
      </c>
      <c r="K854" t="s">
        <v>12</v>
      </c>
      <c r="L854" s="12" t="s">
        <v>89</v>
      </c>
      <c r="M854" s="12" t="s">
        <v>232</v>
      </c>
      <c r="N854" s="12" t="s">
        <v>65</v>
      </c>
      <c r="O854" s="12" t="s">
        <v>22</v>
      </c>
      <c r="P854" s="12" t="s">
        <v>186</v>
      </c>
      <c r="Q854" s="7" t="str">
        <f t="shared" si="40"/>
        <v>(1973,27,'1973.07.07',5,8,13,48,90,0),</v>
      </c>
      <c r="R854" s="7" t="str">
        <f t="shared" si="42"/>
        <v>(1973,27,'1973.07.07',5,8,13,48,90),</v>
      </c>
    </row>
    <row r="855" spans="1:18" x14ac:dyDescent="0.25">
      <c r="A855" s="7" t="s">
        <v>5861</v>
      </c>
      <c r="B855" s="8" t="s">
        <v>126</v>
      </c>
      <c r="C855" s="10">
        <f t="shared" si="41"/>
        <v>26859</v>
      </c>
      <c r="D855" t="s">
        <v>11</v>
      </c>
      <c r="E855" t="s">
        <v>12</v>
      </c>
      <c r="F855" t="s">
        <v>11</v>
      </c>
      <c r="G855" t="s">
        <v>12</v>
      </c>
      <c r="H855" t="s">
        <v>11</v>
      </c>
      <c r="I855" t="s">
        <v>12</v>
      </c>
      <c r="J855" t="s">
        <v>11</v>
      </c>
      <c r="K855" t="s">
        <v>12</v>
      </c>
      <c r="L855" s="12" t="s">
        <v>163</v>
      </c>
      <c r="M855" s="12" t="s">
        <v>135</v>
      </c>
      <c r="N855" s="12" t="s">
        <v>133</v>
      </c>
      <c r="O855" s="12" t="s">
        <v>73</v>
      </c>
      <c r="P855" s="12" t="s">
        <v>308</v>
      </c>
      <c r="Q855" s="7" t="str">
        <f t="shared" si="40"/>
        <v>(1973,28,'1973.07.14',23,27,45,76,86,0),</v>
      </c>
      <c r="R855" s="7" t="str">
        <f t="shared" si="42"/>
        <v>(1973,28,'1973.07.14',23,27,45,76,86),</v>
      </c>
    </row>
    <row r="856" spans="1:18" x14ac:dyDescent="0.25">
      <c r="A856" s="7" t="s">
        <v>5861</v>
      </c>
      <c r="B856" s="8" t="s">
        <v>116</v>
      </c>
      <c r="C856" s="10">
        <f t="shared" si="41"/>
        <v>26866</v>
      </c>
      <c r="D856" t="s">
        <v>11</v>
      </c>
      <c r="E856" t="s">
        <v>12</v>
      </c>
      <c r="F856" t="s">
        <v>11</v>
      </c>
      <c r="G856" t="s">
        <v>12</v>
      </c>
      <c r="H856" t="s">
        <v>11</v>
      </c>
      <c r="I856" t="s">
        <v>12</v>
      </c>
      <c r="J856" t="s">
        <v>11</v>
      </c>
      <c r="K856" t="s">
        <v>12</v>
      </c>
      <c r="L856" s="12" t="s">
        <v>44</v>
      </c>
      <c r="M856" s="12" t="s">
        <v>107</v>
      </c>
      <c r="N856" s="12" t="s">
        <v>25</v>
      </c>
      <c r="O856" s="12" t="s">
        <v>98</v>
      </c>
      <c r="P856" s="12" t="s">
        <v>124</v>
      </c>
      <c r="Q856" s="7" t="str">
        <f t="shared" si="40"/>
        <v>(1973,29,'1973.07.21',21,30,34,42,62,0),</v>
      </c>
      <c r="R856" s="7" t="str">
        <f t="shared" si="42"/>
        <v>(1973,29,'1973.07.21',21,30,34,42,62),</v>
      </c>
    </row>
    <row r="857" spans="1:18" x14ac:dyDescent="0.25">
      <c r="A857" s="7" t="s">
        <v>5861</v>
      </c>
      <c r="B857" s="8" t="s">
        <v>107</v>
      </c>
      <c r="C857" s="10">
        <f t="shared" si="41"/>
        <v>26873</v>
      </c>
      <c r="D857" t="s">
        <v>11</v>
      </c>
      <c r="E857" t="s">
        <v>12</v>
      </c>
      <c r="F857" t="s">
        <v>11</v>
      </c>
      <c r="G857" t="s">
        <v>12</v>
      </c>
      <c r="H857" t="s">
        <v>11</v>
      </c>
      <c r="I857" t="s">
        <v>12</v>
      </c>
      <c r="J857" t="s">
        <v>11</v>
      </c>
      <c r="K857" t="s">
        <v>12</v>
      </c>
      <c r="L857" s="12" t="s">
        <v>19</v>
      </c>
      <c r="M857" s="12" t="s">
        <v>135</v>
      </c>
      <c r="N857" s="12" t="s">
        <v>46</v>
      </c>
      <c r="O857" s="12" t="s">
        <v>10</v>
      </c>
      <c r="P857" s="12" t="s">
        <v>82</v>
      </c>
      <c r="Q857" s="7" t="str">
        <f t="shared" si="40"/>
        <v>(1973,30,'1973.07.28',18,27,37,40,59,0),</v>
      </c>
      <c r="R857" s="7" t="str">
        <f t="shared" si="42"/>
        <v>(1973,30,'1973.07.28',18,27,37,40,59),</v>
      </c>
    </row>
    <row r="858" spans="1:18" x14ac:dyDescent="0.25">
      <c r="A858" s="7" t="s">
        <v>5861</v>
      </c>
      <c r="B858" s="8" t="s">
        <v>71</v>
      </c>
      <c r="C858" s="10">
        <f t="shared" si="41"/>
        <v>26880</v>
      </c>
      <c r="D858" t="s">
        <v>11</v>
      </c>
      <c r="E858" t="s">
        <v>12</v>
      </c>
      <c r="F858" t="s">
        <v>11</v>
      </c>
      <c r="G858" t="s">
        <v>12</v>
      </c>
      <c r="H858" t="s">
        <v>11</v>
      </c>
      <c r="I858" t="s">
        <v>12</v>
      </c>
      <c r="J858" t="s">
        <v>11</v>
      </c>
      <c r="K858" t="s">
        <v>12</v>
      </c>
      <c r="L858" s="12" t="s">
        <v>122</v>
      </c>
      <c r="M858" s="12" t="s">
        <v>99</v>
      </c>
      <c r="N858" s="12" t="s">
        <v>72</v>
      </c>
      <c r="O858" s="12" t="s">
        <v>92</v>
      </c>
      <c r="P858" s="12" t="s">
        <v>269</v>
      </c>
      <c r="Q858" s="7" t="str">
        <f t="shared" si="40"/>
        <v>(1973,31,'1973.08.04',51,52,67,68,87,0),</v>
      </c>
      <c r="R858" s="7" t="str">
        <f t="shared" si="42"/>
        <v>(1973,31,'1973.08.04',51,52,67,68,87),</v>
      </c>
    </row>
    <row r="859" spans="1:18" x14ac:dyDescent="0.25">
      <c r="A859" s="7" t="s">
        <v>5861</v>
      </c>
      <c r="B859" s="8" t="s">
        <v>80</v>
      </c>
      <c r="C859" s="10">
        <f t="shared" si="41"/>
        <v>26887</v>
      </c>
      <c r="D859" t="s">
        <v>11</v>
      </c>
      <c r="E859" t="s">
        <v>12</v>
      </c>
      <c r="F859" t="s">
        <v>11</v>
      </c>
      <c r="G859" t="s">
        <v>12</v>
      </c>
      <c r="H859" t="s">
        <v>11</v>
      </c>
      <c r="I859" t="s">
        <v>12</v>
      </c>
      <c r="J859" t="s">
        <v>11</v>
      </c>
      <c r="K859" t="s">
        <v>12</v>
      </c>
      <c r="L859" s="12" t="s">
        <v>270</v>
      </c>
      <c r="M859" s="12" t="s">
        <v>133</v>
      </c>
      <c r="N859" s="12" t="s">
        <v>34</v>
      </c>
      <c r="O859" s="12" t="s">
        <v>47</v>
      </c>
      <c r="P859" s="12" t="s">
        <v>56</v>
      </c>
      <c r="Q859" s="7" t="str">
        <f t="shared" si="40"/>
        <v>(1973,32,'1973.08.11',6,45,49,69,71,0),</v>
      </c>
      <c r="R859" s="7" t="str">
        <f t="shared" si="42"/>
        <v>(1973,32,'1973.08.11',6,45,49,69,71),</v>
      </c>
    </row>
    <row r="860" spans="1:18" x14ac:dyDescent="0.25">
      <c r="A860" s="7" t="s">
        <v>5861</v>
      </c>
      <c r="B860" s="8" t="s">
        <v>20</v>
      </c>
      <c r="C860" s="10">
        <f t="shared" si="41"/>
        <v>26894</v>
      </c>
      <c r="D860" t="s">
        <v>11</v>
      </c>
      <c r="E860" t="s">
        <v>12</v>
      </c>
      <c r="F860" t="s">
        <v>11</v>
      </c>
      <c r="G860" t="s">
        <v>12</v>
      </c>
      <c r="H860" t="s">
        <v>11</v>
      </c>
      <c r="I860" t="s">
        <v>12</v>
      </c>
      <c r="J860" t="s">
        <v>11</v>
      </c>
      <c r="K860" t="s">
        <v>12</v>
      </c>
      <c r="L860" s="12" t="s">
        <v>74</v>
      </c>
      <c r="M860" s="12" t="s">
        <v>64</v>
      </c>
      <c r="N860" s="12" t="s">
        <v>35</v>
      </c>
      <c r="O860" s="12" t="s">
        <v>245</v>
      </c>
      <c r="P860" s="12" t="s">
        <v>151</v>
      </c>
      <c r="Q860" s="7" t="str">
        <f t="shared" si="40"/>
        <v>(1973,33,'1973.08.18',26,35,65,74,79,0),</v>
      </c>
      <c r="R860" s="7" t="str">
        <f t="shared" si="42"/>
        <v>(1973,33,'1973.08.18',26,35,65,74,79),</v>
      </c>
    </row>
    <row r="861" spans="1:18" x14ac:dyDescent="0.25">
      <c r="A861" s="7" t="s">
        <v>5861</v>
      </c>
      <c r="B861" s="8" t="s">
        <v>25</v>
      </c>
      <c r="C861" s="10">
        <f t="shared" si="41"/>
        <v>26901</v>
      </c>
      <c r="D861" t="s">
        <v>11</v>
      </c>
      <c r="E861" t="s">
        <v>12</v>
      </c>
      <c r="F861" t="s">
        <v>11</v>
      </c>
      <c r="G861" t="s">
        <v>12</v>
      </c>
      <c r="H861" t="s">
        <v>11</v>
      </c>
      <c r="I861" t="s">
        <v>12</v>
      </c>
      <c r="J861" t="s">
        <v>11</v>
      </c>
      <c r="K861" t="s">
        <v>12</v>
      </c>
      <c r="L861" s="12" t="s">
        <v>168</v>
      </c>
      <c r="M861" s="12" t="s">
        <v>54</v>
      </c>
      <c r="N861" s="12" t="s">
        <v>163</v>
      </c>
      <c r="O861" s="12" t="s">
        <v>116</v>
      </c>
      <c r="P861" s="12" t="s">
        <v>122</v>
      </c>
      <c r="Q861" s="7" t="str">
        <f t="shared" si="40"/>
        <v>(1973,34,'1973.08.25',4,15,23,29,51,0),</v>
      </c>
      <c r="R861" s="7" t="str">
        <f t="shared" si="42"/>
        <v>(1973,34,'1973.08.25',4,15,23,29,51),</v>
      </c>
    </row>
    <row r="862" spans="1:18" x14ac:dyDescent="0.25">
      <c r="A862" s="7" t="s">
        <v>5861</v>
      </c>
      <c r="B862" s="8" t="s">
        <v>64</v>
      </c>
      <c r="C862" s="10">
        <f t="shared" si="41"/>
        <v>26908</v>
      </c>
      <c r="D862" t="s">
        <v>11</v>
      </c>
      <c r="E862" t="s">
        <v>12</v>
      </c>
      <c r="F862" t="s">
        <v>11</v>
      </c>
      <c r="G862" t="s">
        <v>12</v>
      </c>
      <c r="H862" t="s">
        <v>11</v>
      </c>
      <c r="I862" t="s">
        <v>12</v>
      </c>
      <c r="J862" t="s">
        <v>11</v>
      </c>
      <c r="K862" t="s">
        <v>12</v>
      </c>
      <c r="L862" s="12" t="s">
        <v>42</v>
      </c>
      <c r="M862" s="12" t="s">
        <v>126</v>
      </c>
      <c r="N862" s="12" t="s">
        <v>142</v>
      </c>
      <c r="O862" s="12" t="s">
        <v>169</v>
      </c>
      <c r="P862" s="12" t="s">
        <v>91</v>
      </c>
      <c r="Q862" s="7" t="str">
        <f t="shared" si="40"/>
        <v>(1973,35,'1973.09.01',3,28,44,58,61,0),</v>
      </c>
      <c r="R862" s="7" t="str">
        <f t="shared" si="42"/>
        <v>(1973,35,'1973.09.01',3,28,44,58,61),</v>
      </c>
    </row>
    <row r="863" spans="1:18" x14ac:dyDescent="0.25">
      <c r="A863" s="7" t="s">
        <v>5861</v>
      </c>
      <c r="B863" s="8" t="s">
        <v>21</v>
      </c>
      <c r="C863" s="10">
        <f t="shared" si="41"/>
        <v>26915</v>
      </c>
      <c r="D863" t="s">
        <v>11</v>
      </c>
      <c r="E863" t="s">
        <v>12</v>
      </c>
      <c r="F863" t="s">
        <v>11</v>
      </c>
      <c r="G863" t="s">
        <v>12</v>
      </c>
      <c r="H863" t="s">
        <v>11</v>
      </c>
      <c r="I863" t="s">
        <v>12</v>
      </c>
      <c r="J863" t="s">
        <v>11</v>
      </c>
      <c r="K863" t="s">
        <v>12</v>
      </c>
      <c r="L863" s="12" t="s">
        <v>168</v>
      </c>
      <c r="M863" s="12" t="s">
        <v>232</v>
      </c>
      <c r="N863" s="12" t="s">
        <v>64</v>
      </c>
      <c r="O863" s="12" t="s">
        <v>98</v>
      </c>
      <c r="P863" s="12" t="s">
        <v>91</v>
      </c>
      <c r="Q863" s="7" t="str">
        <f t="shared" si="40"/>
        <v>(1973,36,'1973.09.08',4,8,35,42,61,0),</v>
      </c>
      <c r="R863" s="7" t="str">
        <f t="shared" si="42"/>
        <v>(1973,36,'1973.09.08',4,8,35,42,61),</v>
      </c>
    </row>
    <row r="864" spans="1:18" x14ac:dyDescent="0.25">
      <c r="A864" s="7" t="s">
        <v>5861</v>
      </c>
      <c r="B864" s="8" t="s">
        <v>46</v>
      </c>
      <c r="C864" s="10">
        <f t="shared" si="41"/>
        <v>26922</v>
      </c>
      <c r="D864" t="s">
        <v>11</v>
      </c>
      <c r="E864" t="s">
        <v>12</v>
      </c>
      <c r="F864" t="s">
        <v>11</v>
      </c>
      <c r="G864" t="s">
        <v>12</v>
      </c>
      <c r="H864" t="s">
        <v>11</v>
      </c>
      <c r="I864" t="s">
        <v>12</v>
      </c>
      <c r="J864" t="s">
        <v>11</v>
      </c>
      <c r="K864" t="s">
        <v>12</v>
      </c>
      <c r="L864" s="12" t="s">
        <v>19</v>
      </c>
      <c r="M864" s="12" t="s">
        <v>33</v>
      </c>
      <c r="N864" s="12" t="s">
        <v>45</v>
      </c>
      <c r="O864" s="12" t="s">
        <v>99</v>
      </c>
      <c r="P864" s="12" t="s">
        <v>248</v>
      </c>
      <c r="Q864" s="7" t="str">
        <f t="shared" si="40"/>
        <v>(1973,37,'1973.09.15',18,24,43,52,63,0),</v>
      </c>
      <c r="R864" s="7" t="str">
        <f t="shared" si="42"/>
        <v>(1973,37,'1973.09.15',18,24,43,52,63),</v>
      </c>
    </row>
    <row r="865" spans="1:18" x14ac:dyDescent="0.25">
      <c r="A865" s="7" t="s">
        <v>5861</v>
      </c>
      <c r="B865" s="8" t="s">
        <v>36</v>
      </c>
      <c r="C865" s="10">
        <f t="shared" si="41"/>
        <v>26929</v>
      </c>
      <c r="D865" t="s">
        <v>11</v>
      </c>
      <c r="E865" t="s">
        <v>12</v>
      </c>
      <c r="F865" t="s">
        <v>11</v>
      </c>
      <c r="G865" t="s">
        <v>12</v>
      </c>
      <c r="H865" t="s">
        <v>11</v>
      </c>
      <c r="I865" t="s">
        <v>12</v>
      </c>
      <c r="J865" t="s">
        <v>11</v>
      </c>
      <c r="K865" t="s">
        <v>12</v>
      </c>
      <c r="L865" s="12" t="s">
        <v>198</v>
      </c>
      <c r="M865" s="12" t="s">
        <v>122</v>
      </c>
      <c r="N865" s="12" t="s">
        <v>99</v>
      </c>
      <c r="O865" s="12" t="s">
        <v>151</v>
      </c>
      <c r="P865" s="12" t="s">
        <v>246</v>
      </c>
      <c r="Q865" s="7" t="str">
        <f t="shared" si="40"/>
        <v>(1973,38,'1973.09.22',9,51,52,79,84,0),</v>
      </c>
      <c r="R865" s="7" t="str">
        <f t="shared" si="42"/>
        <v>(1973,38,'1973.09.22',9,51,52,79,84),</v>
      </c>
    </row>
    <row r="866" spans="1:18" x14ac:dyDescent="0.25">
      <c r="A866" s="7" t="s">
        <v>5861</v>
      </c>
      <c r="B866" s="8" t="s">
        <v>24</v>
      </c>
      <c r="C866" s="10">
        <f t="shared" si="41"/>
        <v>26936</v>
      </c>
      <c r="D866" t="s">
        <v>11</v>
      </c>
      <c r="E866" t="s">
        <v>12</v>
      </c>
      <c r="F866" t="s">
        <v>11</v>
      </c>
      <c r="G866" t="s">
        <v>12</v>
      </c>
      <c r="H866" t="s">
        <v>11</v>
      </c>
      <c r="I866" t="s">
        <v>12</v>
      </c>
      <c r="J866" t="s">
        <v>11</v>
      </c>
      <c r="K866" t="s">
        <v>12</v>
      </c>
      <c r="L866" s="12" t="s">
        <v>207</v>
      </c>
      <c r="M866" s="12" t="s">
        <v>31</v>
      </c>
      <c r="N866" s="12" t="s">
        <v>32</v>
      </c>
      <c r="O866" s="12" t="s">
        <v>23</v>
      </c>
      <c r="P866" s="12" t="s">
        <v>92</v>
      </c>
      <c r="Q866" s="7" t="str">
        <f t="shared" si="40"/>
        <v>(1973,39,'1973.09.29',2,12,22,60,68,0),</v>
      </c>
      <c r="R866" s="7" t="str">
        <f t="shared" si="42"/>
        <v>(1973,39,'1973.09.29',2,12,22,60,68),</v>
      </c>
    </row>
    <row r="867" spans="1:18" x14ac:dyDescent="0.25">
      <c r="A867" s="7" t="s">
        <v>5861</v>
      </c>
      <c r="B867" s="8" t="s">
        <v>10</v>
      </c>
      <c r="C867" s="10">
        <f t="shared" si="41"/>
        <v>26943</v>
      </c>
      <c r="D867" t="s">
        <v>11</v>
      </c>
      <c r="E867" t="s">
        <v>12</v>
      </c>
      <c r="F867" t="s">
        <v>11</v>
      </c>
      <c r="G867" t="s">
        <v>12</v>
      </c>
      <c r="H867" t="s">
        <v>11</v>
      </c>
      <c r="I867" t="s">
        <v>12</v>
      </c>
      <c r="J867" t="s">
        <v>11</v>
      </c>
      <c r="K867" t="s">
        <v>12</v>
      </c>
      <c r="L867" s="12" t="s">
        <v>168</v>
      </c>
      <c r="M867" s="12" t="s">
        <v>13</v>
      </c>
      <c r="N867" s="12" t="s">
        <v>200</v>
      </c>
      <c r="O867" s="12" t="s">
        <v>245</v>
      </c>
      <c r="P867" s="12" t="s">
        <v>125</v>
      </c>
      <c r="Q867" s="7" t="str">
        <f t="shared" si="40"/>
        <v>(1973,40,'1973.10.06',4,41,70,74,83,0),</v>
      </c>
      <c r="R867" s="7" t="str">
        <f t="shared" si="42"/>
        <v>(1973,40,'1973.10.06',4,41,70,74,83),</v>
      </c>
    </row>
    <row r="868" spans="1:18" x14ac:dyDescent="0.25">
      <c r="A868" s="7" t="s">
        <v>5861</v>
      </c>
      <c r="B868" s="8" t="s">
        <v>13</v>
      </c>
      <c r="C868" s="10">
        <f t="shared" si="41"/>
        <v>26950</v>
      </c>
      <c r="D868" t="s">
        <v>11</v>
      </c>
      <c r="E868" t="s">
        <v>12</v>
      </c>
      <c r="F868" t="s">
        <v>11</v>
      </c>
      <c r="G868" t="s">
        <v>12</v>
      </c>
      <c r="H868" t="s">
        <v>11</v>
      </c>
      <c r="I868" t="s">
        <v>12</v>
      </c>
      <c r="J868" t="s">
        <v>11</v>
      </c>
      <c r="K868" t="s">
        <v>12</v>
      </c>
      <c r="L868" s="12" t="s">
        <v>198</v>
      </c>
      <c r="M868" s="12" t="s">
        <v>31</v>
      </c>
      <c r="N868" s="12" t="s">
        <v>65</v>
      </c>
      <c r="O868" s="12" t="s">
        <v>192</v>
      </c>
      <c r="P868" s="12" t="s">
        <v>122</v>
      </c>
      <c r="Q868" s="7" t="str">
        <f t="shared" si="40"/>
        <v>(1973,41,'1973.10.13',9,12,13,46,51,0),</v>
      </c>
      <c r="R868" s="7" t="str">
        <f t="shared" si="42"/>
        <v>(1973,41,'1973.10.13',9,12,13,46,51),</v>
      </c>
    </row>
    <row r="869" spans="1:18" x14ac:dyDescent="0.25">
      <c r="A869" s="7" t="s">
        <v>5861</v>
      </c>
      <c r="B869" s="8" t="s">
        <v>98</v>
      </c>
      <c r="C869" s="10">
        <f t="shared" si="41"/>
        <v>26957</v>
      </c>
      <c r="D869" t="s">
        <v>11</v>
      </c>
      <c r="E869" t="s">
        <v>12</v>
      </c>
      <c r="F869" t="s">
        <v>11</v>
      </c>
      <c r="G869" t="s">
        <v>12</v>
      </c>
      <c r="H869" t="s">
        <v>11</v>
      </c>
      <c r="I869" t="s">
        <v>12</v>
      </c>
      <c r="J869" t="s">
        <v>11</v>
      </c>
      <c r="K869" t="s">
        <v>12</v>
      </c>
      <c r="L869" s="12" t="s">
        <v>270</v>
      </c>
      <c r="M869" s="12" t="s">
        <v>62</v>
      </c>
      <c r="N869" s="12" t="s">
        <v>150</v>
      </c>
      <c r="O869" s="12" t="s">
        <v>23</v>
      </c>
      <c r="P869" s="12" t="s">
        <v>106</v>
      </c>
      <c r="Q869" s="7" t="str">
        <f t="shared" si="40"/>
        <v>(1973,42,'1973.10.20',6,10,57,60,75,0),</v>
      </c>
      <c r="R869" s="7" t="str">
        <f t="shared" si="42"/>
        <v>(1973,42,'1973.10.20',6,10,57,60,75),</v>
      </c>
    </row>
    <row r="870" spans="1:18" x14ac:dyDescent="0.25">
      <c r="A870" s="7" t="s">
        <v>5861</v>
      </c>
      <c r="B870" s="8" t="s">
        <v>45</v>
      </c>
      <c r="C870" s="10">
        <f t="shared" si="41"/>
        <v>26964</v>
      </c>
      <c r="D870" t="s">
        <v>11</v>
      </c>
      <c r="E870" t="s">
        <v>12</v>
      </c>
      <c r="F870" t="s">
        <v>11</v>
      </c>
      <c r="G870" t="s">
        <v>12</v>
      </c>
      <c r="H870" t="s">
        <v>11</v>
      </c>
      <c r="I870" t="s">
        <v>12</v>
      </c>
      <c r="J870" t="s">
        <v>11</v>
      </c>
      <c r="K870" t="s">
        <v>12</v>
      </c>
      <c r="L870" s="12" t="s">
        <v>42</v>
      </c>
      <c r="M870" s="12" t="s">
        <v>36</v>
      </c>
      <c r="N870" s="12" t="s">
        <v>192</v>
      </c>
      <c r="O870" s="12" t="s">
        <v>82</v>
      </c>
      <c r="P870" s="12" t="s">
        <v>125</v>
      </c>
      <c r="Q870" s="7" t="str">
        <f t="shared" si="40"/>
        <v>(1973,43,'1973.10.27',3,38,46,59,83,0),</v>
      </c>
      <c r="R870" s="7" t="str">
        <f t="shared" si="42"/>
        <v>(1973,43,'1973.10.27',3,38,46,59,83),</v>
      </c>
    </row>
    <row r="871" spans="1:18" x14ac:dyDescent="0.25">
      <c r="A871" s="7" t="s">
        <v>5861</v>
      </c>
      <c r="B871" s="8" t="s">
        <v>142</v>
      </c>
      <c r="C871" s="10">
        <f t="shared" si="41"/>
        <v>26971</v>
      </c>
      <c r="D871" t="s">
        <v>11</v>
      </c>
      <c r="E871" t="s">
        <v>12</v>
      </c>
      <c r="F871" t="s">
        <v>11</v>
      </c>
      <c r="G871" t="s">
        <v>12</v>
      </c>
      <c r="H871" t="s">
        <v>11</v>
      </c>
      <c r="I871" t="s">
        <v>12</v>
      </c>
      <c r="J871" t="s">
        <v>11</v>
      </c>
      <c r="K871" t="s">
        <v>12</v>
      </c>
      <c r="L871" s="12" t="s">
        <v>43</v>
      </c>
      <c r="M871" s="12" t="s">
        <v>98</v>
      </c>
      <c r="N871" s="12" t="s">
        <v>56</v>
      </c>
      <c r="O871" s="12" t="s">
        <v>73</v>
      </c>
      <c r="P871" s="12" t="s">
        <v>186</v>
      </c>
      <c r="Q871" s="7" t="str">
        <f t="shared" si="40"/>
        <v>(1973,44,'1973.11.03',16,42,71,76,90,0),</v>
      </c>
      <c r="R871" s="7" t="str">
        <f t="shared" si="42"/>
        <v>(1973,44,'1973.11.03',16,42,71,76,90),</v>
      </c>
    </row>
    <row r="872" spans="1:18" x14ac:dyDescent="0.25">
      <c r="A872" s="7" t="s">
        <v>5861</v>
      </c>
      <c r="B872" s="8" t="s">
        <v>133</v>
      </c>
      <c r="C872" s="10">
        <f t="shared" si="41"/>
        <v>26978</v>
      </c>
      <c r="D872" t="s">
        <v>11</v>
      </c>
      <c r="E872" t="s">
        <v>12</v>
      </c>
      <c r="F872" t="s">
        <v>11</v>
      </c>
      <c r="G872" t="s">
        <v>12</v>
      </c>
      <c r="H872" t="s">
        <v>11</v>
      </c>
      <c r="I872" t="s">
        <v>12</v>
      </c>
      <c r="J872" t="s">
        <v>11</v>
      </c>
      <c r="K872" t="s">
        <v>12</v>
      </c>
      <c r="L872" s="12" t="s">
        <v>62</v>
      </c>
      <c r="M872" s="12" t="s">
        <v>99</v>
      </c>
      <c r="N872" s="12" t="s">
        <v>91</v>
      </c>
      <c r="O872" s="12" t="s">
        <v>63</v>
      </c>
      <c r="P872" s="12" t="s">
        <v>246</v>
      </c>
      <c r="Q872" s="7" t="str">
        <f t="shared" si="40"/>
        <v>(1973,45,'1973.11.10',10,52,61,78,84,0),</v>
      </c>
      <c r="R872" s="7" t="str">
        <f t="shared" si="42"/>
        <v>(1973,45,'1973.11.10',10,52,61,78,84),</v>
      </c>
    </row>
    <row r="873" spans="1:18" x14ac:dyDescent="0.25">
      <c r="A873" s="7" t="s">
        <v>5861</v>
      </c>
      <c r="B873" s="8" t="s">
        <v>192</v>
      </c>
      <c r="C873" s="10">
        <f t="shared" si="41"/>
        <v>26985</v>
      </c>
      <c r="D873" t="s">
        <v>11</v>
      </c>
      <c r="E873" t="s">
        <v>12</v>
      </c>
      <c r="F873" t="s">
        <v>11</v>
      </c>
      <c r="G873" t="s">
        <v>12</v>
      </c>
      <c r="H873" t="s">
        <v>11</v>
      </c>
      <c r="I873" t="s">
        <v>12</v>
      </c>
      <c r="J873" t="s">
        <v>11</v>
      </c>
      <c r="K873" t="s">
        <v>12</v>
      </c>
      <c r="L873" s="12" t="s">
        <v>270</v>
      </c>
      <c r="M873" s="12" t="s">
        <v>21</v>
      </c>
      <c r="N873" s="12" t="s">
        <v>142</v>
      </c>
      <c r="O873" s="12" t="s">
        <v>192</v>
      </c>
      <c r="P873" s="12" t="s">
        <v>308</v>
      </c>
      <c r="Q873" s="7" t="str">
        <f t="shared" si="40"/>
        <v>(1973,46,'1973.11.17',6,36,44,46,86,0),</v>
      </c>
      <c r="R873" s="7" t="str">
        <f t="shared" si="42"/>
        <v>(1973,46,'1973.11.17',6,36,44,46,86),</v>
      </c>
    </row>
    <row r="874" spans="1:18" x14ac:dyDescent="0.25">
      <c r="A874" s="7" t="s">
        <v>5861</v>
      </c>
      <c r="B874" s="8" t="s">
        <v>81</v>
      </c>
      <c r="C874" s="10">
        <f t="shared" si="41"/>
        <v>26992</v>
      </c>
      <c r="D874" t="s">
        <v>11</v>
      </c>
      <c r="E874" t="s">
        <v>12</v>
      </c>
      <c r="F874" t="s">
        <v>11</v>
      </c>
      <c r="G874" t="s">
        <v>12</v>
      </c>
      <c r="H874" t="s">
        <v>11</v>
      </c>
      <c r="I874" t="s">
        <v>12</v>
      </c>
      <c r="J874" t="s">
        <v>11</v>
      </c>
      <c r="K874" t="s">
        <v>12</v>
      </c>
      <c r="L874" s="12" t="s">
        <v>42</v>
      </c>
      <c r="M874" s="12" t="s">
        <v>152</v>
      </c>
      <c r="N874" s="12" t="s">
        <v>21</v>
      </c>
      <c r="O874" s="12" t="s">
        <v>22</v>
      </c>
      <c r="P874" s="12" t="s">
        <v>468</v>
      </c>
      <c r="Q874" s="7" t="str">
        <f t="shared" si="40"/>
        <v>(1973,47,'1973.11.24',3,25,36,48,85,0),</v>
      </c>
      <c r="R874" s="7" t="str">
        <f t="shared" si="42"/>
        <v>(1973,47,'1973.11.24',3,25,36,48,85),</v>
      </c>
    </row>
    <row r="875" spans="1:18" x14ac:dyDescent="0.25">
      <c r="A875" s="7" t="s">
        <v>5861</v>
      </c>
      <c r="B875" s="8" t="s">
        <v>22</v>
      </c>
      <c r="C875" s="10">
        <f t="shared" si="41"/>
        <v>26999</v>
      </c>
      <c r="D875" t="s">
        <v>11</v>
      </c>
      <c r="E875" t="s">
        <v>12</v>
      </c>
      <c r="F875" t="s">
        <v>11</v>
      </c>
      <c r="G875" t="s">
        <v>12</v>
      </c>
      <c r="H875" t="s">
        <v>11</v>
      </c>
      <c r="I875" t="s">
        <v>12</v>
      </c>
      <c r="J875" t="s">
        <v>11</v>
      </c>
      <c r="K875" t="s">
        <v>12</v>
      </c>
      <c r="L875" s="12" t="s">
        <v>44</v>
      </c>
      <c r="M875" s="12" t="s">
        <v>163</v>
      </c>
      <c r="N875" s="12" t="s">
        <v>74</v>
      </c>
      <c r="O875" s="12" t="s">
        <v>46</v>
      </c>
      <c r="P875" s="12" t="s">
        <v>36</v>
      </c>
      <c r="Q875" s="7" t="str">
        <f t="shared" si="40"/>
        <v>(1973,48,'1973.12.01',21,23,26,37,38,0),</v>
      </c>
      <c r="R875" s="7" t="str">
        <f t="shared" si="42"/>
        <v>(1973,48,'1973.12.01',21,23,26,37,38),</v>
      </c>
    </row>
    <row r="876" spans="1:18" x14ac:dyDescent="0.25">
      <c r="A876" s="7" t="s">
        <v>5861</v>
      </c>
      <c r="B876" s="8" t="s">
        <v>34</v>
      </c>
      <c r="C876" s="10">
        <f t="shared" si="41"/>
        <v>27006</v>
      </c>
      <c r="D876" t="s">
        <v>11</v>
      </c>
      <c r="E876" t="s">
        <v>12</v>
      </c>
      <c r="F876" t="s">
        <v>11</v>
      </c>
      <c r="G876" t="s">
        <v>12</v>
      </c>
      <c r="H876" t="s">
        <v>11</v>
      </c>
      <c r="I876" t="s">
        <v>12</v>
      </c>
      <c r="J876" t="s">
        <v>11</v>
      </c>
      <c r="K876" t="s">
        <v>12</v>
      </c>
      <c r="L876" s="12" t="s">
        <v>232</v>
      </c>
      <c r="M876" s="12" t="s">
        <v>80</v>
      </c>
      <c r="N876" s="12" t="s">
        <v>122</v>
      </c>
      <c r="O876" s="12" t="s">
        <v>143</v>
      </c>
      <c r="P876" s="12" t="s">
        <v>269</v>
      </c>
      <c r="Q876" s="7" t="str">
        <f t="shared" si="40"/>
        <v>(1973,49,'1973.12.08',8,32,51,77,87,0),</v>
      </c>
      <c r="R876" s="7" t="str">
        <f t="shared" si="42"/>
        <v>(1973,49,'1973.12.08',8,32,51,77,87),</v>
      </c>
    </row>
    <row r="877" spans="1:18" x14ac:dyDescent="0.25">
      <c r="A877" s="7" t="s">
        <v>5861</v>
      </c>
      <c r="B877" s="8" t="s">
        <v>105</v>
      </c>
      <c r="C877" s="10">
        <f t="shared" si="41"/>
        <v>27013</v>
      </c>
      <c r="D877" t="s">
        <v>11</v>
      </c>
      <c r="E877" t="s">
        <v>12</v>
      </c>
      <c r="F877" t="s">
        <v>11</v>
      </c>
      <c r="G877" t="s">
        <v>12</v>
      </c>
      <c r="H877" t="s">
        <v>11</v>
      </c>
      <c r="I877" t="s">
        <v>12</v>
      </c>
      <c r="J877" t="s">
        <v>11</v>
      </c>
      <c r="K877" t="s">
        <v>12</v>
      </c>
      <c r="L877" s="12" t="s">
        <v>90</v>
      </c>
      <c r="M877" s="12" t="s">
        <v>98</v>
      </c>
      <c r="N877" s="12" t="s">
        <v>91</v>
      </c>
      <c r="O877" s="12" t="s">
        <v>151</v>
      </c>
      <c r="P877" s="12" t="s">
        <v>622</v>
      </c>
      <c r="Q877" s="7" t="str">
        <f t="shared" si="40"/>
        <v>(1973,50,'1973.12.15',17,42,61,79,82,0),</v>
      </c>
      <c r="R877" s="7" t="str">
        <f t="shared" si="42"/>
        <v>(1973,50,'1973.12.15',17,42,61,79,82),</v>
      </c>
    </row>
    <row r="878" spans="1:18" x14ac:dyDescent="0.25">
      <c r="A878" s="7" t="s">
        <v>5861</v>
      </c>
      <c r="B878" s="8" t="s">
        <v>122</v>
      </c>
      <c r="C878" s="10">
        <f t="shared" si="41"/>
        <v>27020</v>
      </c>
      <c r="D878" t="s">
        <v>11</v>
      </c>
      <c r="E878" t="s">
        <v>12</v>
      </c>
      <c r="F878" t="s">
        <v>11</v>
      </c>
      <c r="G878" t="s">
        <v>12</v>
      </c>
      <c r="H878" t="s">
        <v>11</v>
      </c>
      <c r="I878" t="s">
        <v>12</v>
      </c>
      <c r="J878" t="s">
        <v>11</v>
      </c>
      <c r="K878" t="s">
        <v>12</v>
      </c>
      <c r="L878" s="12" t="s">
        <v>83</v>
      </c>
      <c r="M878" s="12" t="s">
        <v>13</v>
      </c>
      <c r="N878" s="12" t="s">
        <v>22</v>
      </c>
      <c r="O878" s="12" t="s">
        <v>134</v>
      </c>
      <c r="P878" s="12" t="s">
        <v>215</v>
      </c>
      <c r="Q878" s="7" t="str">
        <f t="shared" si="40"/>
        <v>(1973,51,'1973.12.22',11,41,48,56,81,0),</v>
      </c>
      <c r="R878" s="7" t="str">
        <f t="shared" si="42"/>
        <v>(1973,51,'1973.12.22',11,41,48,56,81),</v>
      </c>
    </row>
    <row r="879" spans="1:18" x14ac:dyDescent="0.25">
      <c r="A879" s="7" t="s">
        <v>5861</v>
      </c>
      <c r="B879" s="8" t="s">
        <v>99</v>
      </c>
      <c r="C879" s="10">
        <f t="shared" si="41"/>
        <v>27027</v>
      </c>
      <c r="D879" t="s">
        <v>11</v>
      </c>
      <c r="E879" t="s">
        <v>12</v>
      </c>
      <c r="F879" t="s">
        <v>11</v>
      </c>
      <c r="G879" t="s">
        <v>12</v>
      </c>
      <c r="H879" t="s">
        <v>11</v>
      </c>
      <c r="I879" t="s">
        <v>12</v>
      </c>
      <c r="J879" t="s">
        <v>11</v>
      </c>
      <c r="K879" t="s">
        <v>12</v>
      </c>
      <c r="L879" s="12" t="s">
        <v>33</v>
      </c>
      <c r="M879" s="12" t="s">
        <v>71</v>
      </c>
      <c r="N879" s="12" t="s">
        <v>21</v>
      </c>
      <c r="O879" s="12" t="s">
        <v>56</v>
      </c>
      <c r="P879" s="12" t="s">
        <v>63</v>
      </c>
      <c r="Q879" s="7" t="str">
        <f t="shared" si="40"/>
        <v>(1973,52,'1973.12.29',24,31,36,71,78,0),</v>
      </c>
      <c r="R879" s="7" t="str">
        <f t="shared" si="42"/>
        <v>(1973,52,'1973.12.29',24,31,36,71,78),</v>
      </c>
    </row>
    <row r="880" spans="1:18" x14ac:dyDescent="0.25">
      <c r="A880" s="7" t="s">
        <v>1371</v>
      </c>
      <c r="B880" s="8" t="s">
        <v>108</v>
      </c>
      <c r="C880" s="10">
        <f t="shared" si="41"/>
        <v>27034</v>
      </c>
      <c r="D880" t="s">
        <v>11</v>
      </c>
      <c r="E880" t="s">
        <v>12</v>
      </c>
      <c r="F880" t="s">
        <v>11</v>
      </c>
      <c r="G880" t="s">
        <v>12</v>
      </c>
      <c r="H880" t="s">
        <v>11</v>
      </c>
      <c r="I880" t="s">
        <v>12</v>
      </c>
      <c r="J880" t="s">
        <v>11</v>
      </c>
      <c r="K880" t="s">
        <v>12</v>
      </c>
      <c r="L880" s="12" t="s">
        <v>62</v>
      </c>
      <c r="M880" s="12" t="s">
        <v>163</v>
      </c>
      <c r="N880" s="12" t="s">
        <v>13</v>
      </c>
      <c r="O880" s="12" t="s">
        <v>123</v>
      </c>
      <c r="P880" s="12" t="s">
        <v>106</v>
      </c>
      <c r="Q880" s="7" t="str">
        <f t="shared" si="40"/>
        <v>(1974,1,'1974.01.05',10,23,41,54,75,0),</v>
      </c>
      <c r="R880" s="7" t="str">
        <f t="shared" si="42"/>
        <v>(1974,1,'1974.01.05',10,23,41,54,75),</v>
      </c>
    </row>
    <row r="881" spans="1:18" x14ac:dyDescent="0.25">
      <c r="A881" s="7" t="s">
        <v>1371</v>
      </c>
      <c r="B881" s="8" t="s">
        <v>207</v>
      </c>
      <c r="C881" s="10">
        <f t="shared" si="41"/>
        <v>27041</v>
      </c>
      <c r="D881" t="s">
        <v>11</v>
      </c>
      <c r="E881" t="s">
        <v>12</v>
      </c>
      <c r="F881" t="s">
        <v>11</v>
      </c>
      <c r="G881" t="s">
        <v>12</v>
      </c>
      <c r="H881" t="s">
        <v>11</v>
      </c>
      <c r="I881" t="s">
        <v>12</v>
      </c>
      <c r="J881" t="s">
        <v>11</v>
      </c>
      <c r="K881" t="s">
        <v>12</v>
      </c>
      <c r="L881" s="12" t="s">
        <v>32</v>
      </c>
      <c r="M881" s="12" t="s">
        <v>116</v>
      </c>
      <c r="N881" s="12" t="s">
        <v>134</v>
      </c>
      <c r="O881" s="12" t="s">
        <v>239</v>
      </c>
      <c r="P881" s="12" t="s">
        <v>125</v>
      </c>
      <c r="Q881" s="7" t="str">
        <f t="shared" si="40"/>
        <v>(1974,2,'1974.01.12',22,29,56,73,83,0),</v>
      </c>
      <c r="R881" s="7" t="str">
        <f t="shared" si="42"/>
        <v>(1974,2,'1974.01.12',22,29,56,73,83),</v>
      </c>
    </row>
    <row r="882" spans="1:18" x14ac:dyDescent="0.25">
      <c r="A882" s="7" t="s">
        <v>1371</v>
      </c>
      <c r="B882" s="8" t="s">
        <v>42</v>
      </c>
      <c r="C882" s="10">
        <f t="shared" si="41"/>
        <v>27048</v>
      </c>
      <c r="D882" t="s">
        <v>11</v>
      </c>
      <c r="E882" t="s">
        <v>12</v>
      </c>
      <c r="F882" t="s">
        <v>11</v>
      </c>
      <c r="G882" t="s">
        <v>12</v>
      </c>
      <c r="H882" t="s">
        <v>11</v>
      </c>
      <c r="I882" t="s">
        <v>12</v>
      </c>
      <c r="J882" t="s">
        <v>11</v>
      </c>
      <c r="K882" t="s">
        <v>12</v>
      </c>
      <c r="L882" s="12" t="s">
        <v>19</v>
      </c>
      <c r="M882" s="12" t="s">
        <v>115</v>
      </c>
      <c r="N882" s="12" t="s">
        <v>64</v>
      </c>
      <c r="O882" s="12" t="s">
        <v>122</v>
      </c>
      <c r="P882" s="12" t="s">
        <v>201</v>
      </c>
      <c r="Q882" s="7" t="str">
        <f t="shared" si="40"/>
        <v>(1974,3,'1974.01.19',18,20,35,51,72,0),</v>
      </c>
      <c r="R882" s="7" t="str">
        <f t="shared" si="42"/>
        <v>(1974,3,'1974.01.19',18,20,35,51,72),</v>
      </c>
    </row>
    <row r="883" spans="1:18" x14ac:dyDescent="0.25">
      <c r="A883" s="7" t="s">
        <v>1371</v>
      </c>
      <c r="B883" s="8" t="s">
        <v>168</v>
      </c>
      <c r="C883" s="10">
        <f t="shared" si="41"/>
        <v>27055</v>
      </c>
      <c r="D883" t="s">
        <v>11</v>
      </c>
      <c r="E883" t="s">
        <v>12</v>
      </c>
      <c r="F883" t="s">
        <v>11</v>
      </c>
      <c r="G883" t="s">
        <v>12</v>
      </c>
      <c r="H883" t="s">
        <v>11</v>
      </c>
      <c r="I883" t="s">
        <v>12</v>
      </c>
      <c r="J883" t="s">
        <v>11</v>
      </c>
      <c r="K883" t="s">
        <v>12</v>
      </c>
      <c r="L883" s="12" t="s">
        <v>116</v>
      </c>
      <c r="M883" s="12" t="s">
        <v>98</v>
      </c>
      <c r="N883" s="12" t="s">
        <v>192</v>
      </c>
      <c r="O883" s="12" t="s">
        <v>105</v>
      </c>
      <c r="P883" s="12" t="s">
        <v>150</v>
      </c>
      <c r="Q883" s="7" t="str">
        <f t="shared" si="40"/>
        <v>(1974,4,'1974.01.26',29,42,46,50,57,0),</v>
      </c>
      <c r="R883" s="7" t="str">
        <f t="shared" si="42"/>
        <v>(1974,4,'1974.01.26',29,42,46,50,57),</v>
      </c>
    </row>
    <row r="884" spans="1:18" x14ac:dyDescent="0.25">
      <c r="A884" s="7" t="s">
        <v>1371</v>
      </c>
      <c r="B884" s="8" t="s">
        <v>89</v>
      </c>
      <c r="C884" s="10">
        <f t="shared" si="41"/>
        <v>27062</v>
      </c>
      <c r="D884" t="s">
        <v>11</v>
      </c>
      <c r="E884" t="s">
        <v>12</v>
      </c>
      <c r="F884" t="s">
        <v>11</v>
      </c>
      <c r="G884" t="s">
        <v>12</v>
      </c>
      <c r="H884" t="s">
        <v>11</v>
      </c>
      <c r="I884" t="s">
        <v>12</v>
      </c>
      <c r="J884" t="s">
        <v>11</v>
      </c>
      <c r="K884" t="s">
        <v>12</v>
      </c>
      <c r="L884" s="12" t="s">
        <v>116</v>
      </c>
      <c r="M884" s="12" t="s">
        <v>107</v>
      </c>
      <c r="N884" s="12" t="s">
        <v>36</v>
      </c>
      <c r="O884" s="12" t="s">
        <v>45</v>
      </c>
      <c r="P884" s="12" t="s">
        <v>239</v>
      </c>
      <c r="Q884" s="7" t="str">
        <f t="shared" si="40"/>
        <v>(1974,5,'1974.02.02',29,30,38,43,73,0),</v>
      </c>
      <c r="R884" s="7" t="str">
        <f t="shared" si="42"/>
        <v>(1974,5,'1974.02.02',29,30,38,43,73),</v>
      </c>
    </row>
    <row r="885" spans="1:18" x14ac:dyDescent="0.25">
      <c r="A885" s="7" t="s">
        <v>1371</v>
      </c>
      <c r="B885" s="8" t="s">
        <v>270</v>
      </c>
      <c r="C885" s="10">
        <f t="shared" si="41"/>
        <v>27069</v>
      </c>
      <c r="D885" t="s">
        <v>11</v>
      </c>
      <c r="E885" t="s">
        <v>12</v>
      </c>
      <c r="F885" t="s">
        <v>11</v>
      </c>
      <c r="G885" t="s">
        <v>12</v>
      </c>
      <c r="H885" t="s">
        <v>11</v>
      </c>
      <c r="I885" t="s">
        <v>12</v>
      </c>
      <c r="J885" t="s">
        <v>11</v>
      </c>
      <c r="K885" t="s">
        <v>12</v>
      </c>
      <c r="L885" s="12" t="s">
        <v>270</v>
      </c>
      <c r="M885" s="12" t="s">
        <v>31</v>
      </c>
      <c r="N885" s="12" t="s">
        <v>127</v>
      </c>
      <c r="O885" s="12" t="s">
        <v>107</v>
      </c>
      <c r="P885" s="12" t="s">
        <v>133</v>
      </c>
      <c r="Q885" s="7" t="str">
        <f t="shared" si="40"/>
        <v>(1974,6,'1974.02.09',6,12,14,30,45,0),</v>
      </c>
      <c r="R885" s="7" t="str">
        <f t="shared" si="42"/>
        <v>(1974,6,'1974.02.09',6,12,14,30,45),</v>
      </c>
    </row>
    <row r="886" spans="1:18" x14ac:dyDescent="0.25">
      <c r="A886" s="7" t="s">
        <v>1371</v>
      </c>
      <c r="B886" s="8" t="s">
        <v>53</v>
      </c>
      <c r="C886" s="10">
        <f t="shared" si="41"/>
        <v>27076</v>
      </c>
      <c r="D886" t="s">
        <v>11</v>
      </c>
      <c r="E886" t="s">
        <v>12</v>
      </c>
      <c r="F886" t="s">
        <v>11</v>
      </c>
      <c r="G886" t="s">
        <v>12</v>
      </c>
      <c r="H886" t="s">
        <v>11</v>
      </c>
      <c r="I886" t="s">
        <v>12</v>
      </c>
      <c r="J886" t="s">
        <v>11</v>
      </c>
      <c r="K886" t="s">
        <v>12</v>
      </c>
      <c r="L886" s="12" t="s">
        <v>207</v>
      </c>
      <c r="M886" s="12" t="s">
        <v>90</v>
      </c>
      <c r="N886" s="12" t="s">
        <v>115</v>
      </c>
      <c r="O886" s="12" t="s">
        <v>32</v>
      </c>
      <c r="P886" s="12" t="s">
        <v>20</v>
      </c>
      <c r="Q886" s="7" t="str">
        <f t="shared" si="40"/>
        <v>(1974,7,'1974.02.16',2,17,20,22,33,0),</v>
      </c>
      <c r="R886" s="7" t="str">
        <f t="shared" si="42"/>
        <v>(1974,7,'1974.02.16',2,17,20,22,33),</v>
      </c>
    </row>
    <row r="887" spans="1:18" x14ac:dyDescent="0.25">
      <c r="A887" s="7" t="s">
        <v>1371</v>
      </c>
      <c r="B887" s="8" t="s">
        <v>232</v>
      </c>
      <c r="C887" s="10">
        <f t="shared" si="41"/>
        <v>27083</v>
      </c>
      <c r="D887" t="s">
        <v>11</v>
      </c>
      <c r="E887" t="s">
        <v>12</v>
      </c>
      <c r="F887" t="s">
        <v>11</v>
      </c>
      <c r="G887" t="s">
        <v>12</v>
      </c>
      <c r="H887" t="s">
        <v>11</v>
      </c>
      <c r="I887" t="s">
        <v>12</v>
      </c>
      <c r="J887" t="s">
        <v>11</v>
      </c>
      <c r="K887" t="s">
        <v>12</v>
      </c>
      <c r="L887" s="12" t="s">
        <v>105</v>
      </c>
      <c r="M887" s="12" t="s">
        <v>134</v>
      </c>
      <c r="N887" s="12" t="s">
        <v>72</v>
      </c>
      <c r="O887" s="12" t="s">
        <v>63</v>
      </c>
      <c r="P887" s="12" t="s">
        <v>622</v>
      </c>
      <c r="Q887" s="7" t="str">
        <f t="shared" si="40"/>
        <v>(1974,8,'1974.02.23',50,56,67,78,82,0),</v>
      </c>
      <c r="R887" s="7" t="str">
        <f t="shared" si="42"/>
        <v>(1974,8,'1974.02.23',50,56,67,78,82),</v>
      </c>
    </row>
    <row r="888" spans="1:18" x14ac:dyDescent="0.25">
      <c r="A888" s="7" t="s">
        <v>1371</v>
      </c>
      <c r="B888" s="8" t="s">
        <v>198</v>
      </c>
      <c r="C888" s="10">
        <f t="shared" si="41"/>
        <v>27090</v>
      </c>
      <c r="D888" t="s">
        <v>11</v>
      </c>
      <c r="E888" t="s">
        <v>12</v>
      </c>
      <c r="F888" t="s">
        <v>11</v>
      </c>
      <c r="G888" t="s">
        <v>12</v>
      </c>
      <c r="H888" t="s">
        <v>11</v>
      </c>
      <c r="I888" t="s">
        <v>12</v>
      </c>
      <c r="J888" t="s">
        <v>11</v>
      </c>
      <c r="K888" t="s">
        <v>12</v>
      </c>
      <c r="L888" s="12" t="s">
        <v>65</v>
      </c>
      <c r="M888" s="12" t="s">
        <v>20</v>
      </c>
      <c r="N888" s="12" t="s">
        <v>22</v>
      </c>
      <c r="O888" s="12" t="s">
        <v>106</v>
      </c>
      <c r="P888" s="12" t="s">
        <v>73</v>
      </c>
      <c r="Q888" s="7" t="str">
        <f t="shared" si="40"/>
        <v>(1974,9,'1974.03.02',13,33,48,75,76,0),</v>
      </c>
      <c r="R888" s="7" t="str">
        <f t="shared" si="42"/>
        <v>(1974,9,'1974.03.02',13,33,48,75,76),</v>
      </c>
    </row>
    <row r="889" spans="1:18" x14ac:dyDescent="0.25">
      <c r="A889" s="7" t="s">
        <v>1371</v>
      </c>
      <c r="B889" s="8" t="s">
        <v>62</v>
      </c>
      <c r="C889" s="10">
        <f t="shared" si="41"/>
        <v>27097</v>
      </c>
      <c r="D889" t="s">
        <v>11</v>
      </c>
      <c r="E889" t="s">
        <v>12</v>
      </c>
      <c r="F889" t="s">
        <v>11</v>
      </c>
      <c r="G889" t="s">
        <v>12</v>
      </c>
      <c r="H889" t="s">
        <v>11</v>
      </c>
      <c r="I889" t="s">
        <v>12</v>
      </c>
      <c r="J889" t="s">
        <v>11</v>
      </c>
      <c r="K889" t="s">
        <v>12</v>
      </c>
      <c r="L889" s="12" t="s">
        <v>25</v>
      </c>
      <c r="M889" s="12" t="s">
        <v>21</v>
      </c>
      <c r="N889" s="12" t="s">
        <v>123</v>
      </c>
      <c r="O889" s="12" t="s">
        <v>169</v>
      </c>
      <c r="P889" s="12" t="s">
        <v>269</v>
      </c>
      <c r="Q889" s="7" t="str">
        <f t="shared" si="40"/>
        <v>(1974,10,'1974.03.09',34,36,54,58,87,0),</v>
      </c>
      <c r="R889" s="7" t="str">
        <f t="shared" si="42"/>
        <v>(1974,10,'1974.03.09',34,36,54,58,87),</v>
      </c>
    </row>
    <row r="890" spans="1:18" x14ac:dyDescent="0.25">
      <c r="A890" s="7" t="s">
        <v>1371</v>
      </c>
      <c r="B890" s="8" t="s">
        <v>83</v>
      </c>
      <c r="C890" s="10">
        <f t="shared" si="41"/>
        <v>27104</v>
      </c>
      <c r="D890" t="s">
        <v>11</v>
      </c>
      <c r="E890" t="s">
        <v>12</v>
      </c>
      <c r="F890" t="s">
        <v>11</v>
      </c>
      <c r="G890" t="s">
        <v>12</v>
      </c>
      <c r="H890" t="s">
        <v>11</v>
      </c>
      <c r="I890" t="s">
        <v>12</v>
      </c>
      <c r="J890" t="s">
        <v>11</v>
      </c>
      <c r="K890" t="s">
        <v>12</v>
      </c>
      <c r="L890" s="12" t="s">
        <v>13</v>
      </c>
      <c r="M890" s="12" t="s">
        <v>122</v>
      </c>
      <c r="N890" s="12" t="s">
        <v>169</v>
      </c>
      <c r="O890" s="12" t="s">
        <v>35</v>
      </c>
      <c r="P890" s="12" t="s">
        <v>73</v>
      </c>
      <c r="Q890" s="7" t="str">
        <f t="shared" si="40"/>
        <v>(1974,11,'1974.03.16',41,51,58,65,76,0),</v>
      </c>
      <c r="R890" s="7" t="str">
        <f t="shared" si="42"/>
        <v>(1974,11,'1974.03.16',41,51,58,65,76),</v>
      </c>
    </row>
    <row r="891" spans="1:18" x14ac:dyDescent="0.25">
      <c r="A891" s="7" t="s">
        <v>1371</v>
      </c>
      <c r="B891" s="8" t="s">
        <v>31</v>
      </c>
      <c r="C891" s="10">
        <f t="shared" si="41"/>
        <v>27111</v>
      </c>
      <c r="D891" t="s">
        <v>11</v>
      </c>
      <c r="E891" t="s">
        <v>12</v>
      </c>
      <c r="F891" t="s">
        <v>11</v>
      </c>
      <c r="G891" t="s">
        <v>12</v>
      </c>
      <c r="H891" t="s">
        <v>11</v>
      </c>
      <c r="I891" t="s">
        <v>12</v>
      </c>
      <c r="J891" t="s">
        <v>11</v>
      </c>
      <c r="K891" t="s">
        <v>12</v>
      </c>
      <c r="L891" s="12" t="s">
        <v>270</v>
      </c>
      <c r="M891" s="12" t="s">
        <v>127</v>
      </c>
      <c r="N891" s="12" t="s">
        <v>46</v>
      </c>
      <c r="O891" s="12" t="s">
        <v>192</v>
      </c>
      <c r="P891" s="12" t="s">
        <v>123</v>
      </c>
      <c r="Q891" s="7" t="str">
        <f t="shared" si="40"/>
        <v>(1974,12,'1974.03.23',6,14,37,46,54,0),</v>
      </c>
      <c r="R891" s="7" t="str">
        <f t="shared" si="42"/>
        <v>(1974,12,'1974.03.23',6,14,37,46,54),</v>
      </c>
    </row>
    <row r="892" spans="1:18" x14ac:dyDescent="0.25">
      <c r="A892" s="7" t="s">
        <v>1371</v>
      </c>
      <c r="B892" s="8" t="s">
        <v>65</v>
      </c>
      <c r="C892" s="10">
        <f t="shared" si="41"/>
        <v>27118</v>
      </c>
      <c r="D892" t="s">
        <v>11</v>
      </c>
      <c r="E892" t="s">
        <v>12</v>
      </c>
      <c r="F892" t="s">
        <v>11</v>
      </c>
      <c r="G892" t="s">
        <v>12</v>
      </c>
      <c r="H892" t="s">
        <v>11</v>
      </c>
      <c r="I892" t="s">
        <v>12</v>
      </c>
      <c r="J892" t="s">
        <v>11</v>
      </c>
      <c r="K892" t="s">
        <v>12</v>
      </c>
      <c r="L892" s="12" t="s">
        <v>31</v>
      </c>
      <c r="M892" s="12" t="s">
        <v>44</v>
      </c>
      <c r="N892" s="12" t="s">
        <v>98</v>
      </c>
      <c r="O892" s="12" t="s">
        <v>23</v>
      </c>
      <c r="P892" s="12" t="s">
        <v>246</v>
      </c>
      <c r="Q892" s="7" t="str">
        <f t="shared" si="40"/>
        <v>(1974,13,'1974.03.30',12,21,42,60,84,0),</v>
      </c>
      <c r="R892" s="7" t="str">
        <f t="shared" si="42"/>
        <v>(1974,13,'1974.03.30',12,21,42,60,84),</v>
      </c>
    </row>
    <row r="893" spans="1:18" x14ac:dyDescent="0.25">
      <c r="A893" s="7" t="s">
        <v>1371</v>
      </c>
      <c r="B893" s="8" t="s">
        <v>127</v>
      </c>
      <c r="C893" s="10">
        <f t="shared" si="41"/>
        <v>27125</v>
      </c>
      <c r="D893" t="s">
        <v>11</v>
      </c>
      <c r="E893" t="s">
        <v>12</v>
      </c>
      <c r="F893" t="s">
        <v>11</v>
      </c>
      <c r="G893" t="s">
        <v>12</v>
      </c>
      <c r="H893" t="s">
        <v>11</v>
      </c>
      <c r="I893" t="s">
        <v>12</v>
      </c>
      <c r="J893" t="s">
        <v>11</v>
      </c>
      <c r="K893" t="s">
        <v>12</v>
      </c>
      <c r="L893" s="12" t="s">
        <v>32</v>
      </c>
      <c r="M893" s="12" t="s">
        <v>24</v>
      </c>
      <c r="N893" s="12" t="s">
        <v>45</v>
      </c>
      <c r="O893" s="12" t="s">
        <v>142</v>
      </c>
      <c r="P893" s="12" t="s">
        <v>99</v>
      </c>
      <c r="Q893" s="7" t="str">
        <f t="shared" si="40"/>
        <v>(1974,14,'1974.04.06',22,39,43,44,52,0),</v>
      </c>
      <c r="R893" s="7" t="str">
        <f t="shared" si="42"/>
        <v>(1974,14,'1974.04.06',22,39,43,44,52),</v>
      </c>
    </row>
    <row r="894" spans="1:18" x14ac:dyDescent="0.25">
      <c r="A894" s="7" t="s">
        <v>1371</v>
      </c>
      <c r="B894" s="8" t="s">
        <v>54</v>
      </c>
      <c r="C894" s="10">
        <f t="shared" si="41"/>
        <v>27132</v>
      </c>
      <c r="D894" t="s">
        <v>11</v>
      </c>
      <c r="E894" t="s">
        <v>12</v>
      </c>
      <c r="F894" t="s">
        <v>11</v>
      </c>
      <c r="G894" t="s">
        <v>12</v>
      </c>
      <c r="H894" t="s">
        <v>11</v>
      </c>
      <c r="I894" t="s">
        <v>12</v>
      </c>
      <c r="J894" t="s">
        <v>11</v>
      </c>
      <c r="K894" t="s">
        <v>12</v>
      </c>
      <c r="L894" s="12" t="s">
        <v>71</v>
      </c>
      <c r="M894" s="12" t="s">
        <v>20</v>
      </c>
      <c r="N894" s="12" t="s">
        <v>123</v>
      </c>
      <c r="O894" s="12" t="s">
        <v>124</v>
      </c>
      <c r="P894" s="12" t="s">
        <v>468</v>
      </c>
      <c r="Q894" s="7" t="str">
        <f t="shared" si="40"/>
        <v>(1974,15,'1974.04.13',31,33,54,62,85,0),</v>
      </c>
      <c r="R894" s="7" t="str">
        <f t="shared" si="42"/>
        <v>(1974,15,'1974.04.13',31,33,54,62,85),</v>
      </c>
    </row>
    <row r="895" spans="1:18" x14ac:dyDescent="0.25">
      <c r="A895" s="7" t="s">
        <v>1371</v>
      </c>
      <c r="B895" s="8" t="s">
        <v>43</v>
      </c>
      <c r="C895" s="10">
        <f t="shared" si="41"/>
        <v>27139</v>
      </c>
      <c r="D895" t="s">
        <v>11</v>
      </c>
      <c r="E895" t="s">
        <v>12</v>
      </c>
      <c r="F895" t="s">
        <v>11</v>
      </c>
      <c r="G895" t="s">
        <v>12</v>
      </c>
      <c r="H895" t="s">
        <v>11</v>
      </c>
      <c r="I895" t="s">
        <v>12</v>
      </c>
      <c r="J895" t="s">
        <v>11</v>
      </c>
      <c r="K895" t="s">
        <v>12</v>
      </c>
      <c r="L895" s="12" t="s">
        <v>65</v>
      </c>
      <c r="M895" s="12" t="s">
        <v>25</v>
      </c>
      <c r="N895" s="12" t="s">
        <v>81</v>
      </c>
      <c r="O895" s="12" t="s">
        <v>22</v>
      </c>
      <c r="P895" s="12" t="s">
        <v>239</v>
      </c>
      <c r="Q895" s="7" t="str">
        <f t="shared" si="40"/>
        <v>(1974,16,'1974.04.20',13,34,47,48,73,0),</v>
      </c>
      <c r="R895" s="7" t="str">
        <f t="shared" si="42"/>
        <v>(1974,16,'1974.04.20',13,34,47,48,73),</v>
      </c>
    </row>
    <row r="896" spans="1:18" x14ac:dyDescent="0.25">
      <c r="A896" s="7" t="s">
        <v>1371</v>
      </c>
      <c r="B896" s="8" t="s">
        <v>90</v>
      </c>
      <c r="C896" s="10">
        <f t="shared" si="41"/>
        <v>27146</v>
      </c>
      <c r="D896" t="s">
        <v>11</v>
      </c>
      <c r="E896" t="s">
        <v>12</v>
      </c>
      <c r="F896" t="s">
        <v>11</v>
      </c>
      <c r="G896" t="s">
        <v>12</v>
      </c>
      <c r="H896" t="s">
        <v>11</v>
      </c>
      <c r="I896" t="s">
        <v>12</v>
      </c>
      <c r="J896" t="s">
        <v>11</v>
      </c>
      <c r="K896" t="s">
        <v>12</v>
      </c>
      <c r="L896" s="12" t="s">
        <v>62</v>
      </c>
      <c r="M896" s="12" t="s">
        <v>25</v>
      </c>
      <c r="N896" s="12" t="s">
        <v>81</v>
      </c>
      <c r="O896" s="12" t="s">
        <v>246</v>
      </c>
      <c r="P896" s="12" t="s">
        <v>468</v>
      </c>
      <c r="Q896" s="7" t="str">
        <f t="shared" si="40"/>
        <v>(1974,17,'1974.04.27',10,34,47,84,85,0),</v>
      </c>
      <c r="R896" s="7" t="str">
        <f t="shared" si="42"/>
        <v>(1974,17,'1974.04.27',10,34,47,84,85),</v>
      </c>
    </row>
    <row r="897" spans="1:18" x14ac:dyDescent="0.25">
      <c r="A897" s="7" t="s">
        <v>1371</v>
      </c>
      <c r="B897" s="8" t="s">
        <v>19</v>
      </c>
      <c r="C897" s="10">
        <f t="shared" si="41"/>
        <v>27153</v>
      </c>
      <c r="D897" t="s">
        <v>11</v>
      </c>
      <c r="E897" t="s">
        <v>12</v>
      </c>
      <c r="F897" t="s">
        <v>11</v>
      </c>
      <c r="G897" t="s">
        <v>12</v>
      </c>
      <c r="H897" t="s">
        <v>11</v>
      </c>
      <c r="I897" t="s">
        <v>12</v>
      </c>
      <c r="J897" t="s">
        <v>11</v>
      </c>
      <c r="K897" t="s">
        <v>12</v>
      </c>
      <c r="L897" s="12" t="s">
        <v>32</v>
      </c>
      <c r="M897" s="12" t="s">
        <v>163</v>
      </c>
      <c r="N897" s="12" t="s">
        <v>72</v>
      </c>
      <c r="O897" s="12" t="s">
        <v>151</v>
      </c>
      <c r="P897" s="12" t="s">
        <v>215</v>
      </c>
      <c r="Q897" s="7" t="str">
        <f t="shared" si="40"/>
        <v>(1974,18,'1974.05.04',22,23,67,79,81,0),</v>
      </c>
      <c r="R897" s="7" t="str">
        <f t="shared" si="42"/>
        <v>(1974,18,'1974.05.04',22,23,67,79,81),</v>
      </c>
    </row>
    <row r="898" spans="1:18" x14ac:dyDescent="0.25">
      <c r="A898" s="7" t="s">
        <v>1371</v>
      </c>
      <c r="B898" s="8" t="s">
        <v>55</v>
      </c>
      <c r="C898" s="10">
        <f t="shared" si="41"/>
        <v>27160</v>
      </c>
      <c r="D898" t="s">
        <v>11</v>
      </c>
      <c r="E898" t="s">
        <v>12</v>
      </c>
      <c r="F898" t="s">
        <v>11</v>
      </c>
      <c r="G898" t="s">
        <v>12</v>
      </c>
      <c r="H898" t="s">
        <v>11</v>
      </c>
      <c r="I898" t="s">
        <v>12</v>
      </c>
      <c r="J898" t="s">
        <v>11</v>
      </c>
      <c r="K898" t="s">
        <v>12</v>
      </c>
      <c r="L898" s="12" t="s">
        <v>207</v>
      </c>
      <c r="M898" s="12" t="s">
        <v>42</v>
      </c>
      <c r="N898" s="12" t="s">
        <v>45</v>
      </c>
      <c r="O898" s="12" t="s">
        <v>81</v>
      </c>
      <c r="P898" s="12" t="s">
        <v>301</v>
      </c>
      <c r="Q898" s="7" t="str">
        <f t="shared" ref="Q898:Q961" si="43">"("&amp;A898&amp;","&amp;B898&amp;",'"&amp;TEXT(C898,"éééé.hh.nn")&amp;"',"&amp;L898&amp;","&amp;M898&amp;","&amp;N898&amp;","&amp;O898&amp;","&amp;P898&amp;",0)"&amp;IF(P899&lt;&gt;0,",","")</f>
        <v>(1974,19,'1974.05.11',2,3,43,47,80,0),</v>
      </c>
      <c r="R898" s="7" t="str">
        <f t="shared" si="42"/>
        <v>(1974,19,'1974.05.11',2,3,43,47,80),</v>
      </c>
    </row>
    <row r="899" spans="1:18" x14ac:dyDescent="0.25">
      <c r="A899" s="7" t="s">
        <v>1371</v>
      </c>
      <c r="B899" s="8" t="s">
        <v>115</v>
      </c>
      <c r="C899" s="10">
        <f t="shared" ref="C899:C962" si="44">+C898+7</f>
        <v>27167</v>
      </c>
      <c r="D899" t="s">
        <v>11</v>
      </c>
      <c r="E899" t="s">
        <v>12</v>
      </c>
      <c r="F899" t="s">
        <v>11</v>
      </c>
      <c r="G899" t="s">
        <v>12</v>
      </c>
      <c r="H899" t="s">
        <v>11</v>
      </c>
      <c r="I899" t="s">
        <v>12</v>
      </c>
      <c r="J899" t="s">
        <v>11</v>
      </c>
      <c r="K899" t="s">
        <v>12</v>
      </c>
      <c r="L899" s="12" t="s">
        <v>62</v>
      </c>
      <c r="M899" s="12" t="s">
        <v>32</v>
      </c>
      <c r="N899" s="12" t="s">
        <v>201</v>
      </c>
      <c r="O899" s="12" t="s">
        <v>106</v>
      </c>
      <c r="P899" s="12" t="s">
        <v>301</v>
      </c>
      <c r="Q899" s="7" t="str">
        <f t="shared" si="43"/>
        <v>(1974,20,'1974.05.18',10,22,72,75,80,0),</v>
      </c>
      <c r="R899" s="7" t="str">
        <f t="shared" ref="R899:R962" si="45">IF(TRIM(P899)="","","("&amp;A899&amp;","&amp;B899&amp;",'"&amp;TEXT(C899,"éééé.hh.nn")&amp;"',"&amp;L899&amp;","&amp;M899&amp;","&amp;N899&amp;","&amp;O899&amp;","&amp;P899&amp;")"&amp;IF(P900=0,";",","))</f>
        <v>(1974,20,'1974.05.18',10,22,72,75,80),</v>
      </c>
    </row>
    <row r="900" spans="1:18" x14ac:dyDescent="0.25">
      <c r="A900" s="7" t="s">
        <v>1371</v>
      </c>
      <c r="B900" s="8" t="s">
        <v>44</v>
      </c>
      <c r="C900" s="10">
        <f t="shared" si="44"/>
        <v>27174</v>
      </c>
      <c r="D900" t="s">
        <v>11</v>
      </c>
      <c r="E900" t="s">
        <v>12</v>
      </c>
      <c r="F900" t="s">
        <v>11</v>
      </c>
      <c r="G900" t="s">
        <v>12</v>
      </c>
      <c r="H900" t="s">
        <v>11</v>
      </c>
      <c r="I900" t="s">
        <v>12</v>
      </c>
      <c r="J900" t="s">
        <v>11</v>
      </c>
      <c r="K900" t="s">
        <v>12</v>
      </c>
      <c r="L900" s="12" t="s">
        <v>42</v>
      </c>
      <c r="M900" s="12" t="s">
        <v>232</v>
      </c>
      <c r="N900" s="12" t="s">
        <v>32</v>
      </c>
      <c r="O900" s="12" t="s">
        <v>24</v>
      </c>
      <c r="P900" s="12" t="s">
        <v>175</v>
      </c>
      <c r="Q900" s="7" t="str">
        <f t="shared" si="43"/>
        <v>(1974,21,'1974.05.25',3,8,22,39,55,0),</v>
      </c>
      <c r="R900" s="7" t="str">
        <f t="shared" si="45"/>
        <v>(1974,21,'1974.05.25',3,8,22,39,55),</v>
      </c>
    </row>
    <row r="901" spans="1:18" x14ac:dyDescent="0.25">
      <c r="A901" s="7" t="s">
        <v>1371</v>
      </c>
      <c r="B901" s="8" t="s">
        <v>32</v>
      </c>
      <c r="C901" s="10">
        <f t="shared" si="44"/>
        <v>27181</v>
      </c>
      <c r="D901" t="s">
        <v>11</v>
      </c>
      <c r="E901" t="s">
        <v>12</v>
      </c>
      <c r="F901" t="s">
        <v>11</v>
      </c>
      <c r="G901" t="s">
        <v>12</v>
      </c>
      <c r="H901" t="s">
        <v>11</v>
      </c>
      <c r="I901" t="s">
        <v>12</v>
      </c>
      <c r="J901" t="s">
        <v>11</v>
      </c>
      <c r="K901" t="s">
        <v>12</v>
      </c>
      <c r="L901" s="12" t="s">
        <v>270</v>
      </c>
      <c r="M901" s="12" t="s">
        <v>54</v>
      </c>
      <c r="N901" s="12" t="s">
        <v>13</v>
      </c>
      <c r="O901" s="12" t="s">
        <v>22</v>
      </c>
      <c r="P901" s="12" t="s">
        <v>246</v>
      </c>
      <c r="Q901" s="7" t="str">
        <f t="shared" si="43"/>
        <v>(1974,22,'1974.06.01',6,15,41,48,84,0),</v>
      </c>
      <c r="R901" s="7" t="str">
        <f t="shared" si="45"/>
        <v>(1974,22,'1974.06.01',6,15,41,48,84),</v>
      </c>
    </row>
    <row r="902" spans="1:18" x14ac:dyDescent="0.25">
      <c r="A902" s="7" t="s">
        <v>1371</v>
      </c>
      <c r="B902" s="8" t="s">
        <v>163</v>
      </c>
      <c r="C902" s="10">
        <f t="shared" si="44"/>
        <v>27188</v>
      </c>
      <c r="D902" t="s">
        <v>11</v>
      </c>
      <c r="E902" t="s">
        <v>12</v>
      </c>
      <c r="F902" t="s">
        <v>11</v>
      </c>
      <c r="G902" t="s">
        <v>12</v>
      </c>
      <c r="H902" t="s">
        <v>11</v>
      </c>
      <c r="I902" t="s">
        <v>12</v>
      </c>
      <c r="J902" t="s">
        <v>11</v>
      </c>
      <c r="K902" t="s">
        <v>12</v>
      </c>
      <c r="L902" s="12" t="s">
        <v>232</v>
      </c>
      <c r="M902" s="12" t="s">
        <v>135</v>
      </c>
      <c r="N902" s="12" t="s">
        <v>34</v>
      </c>
      <c r="O902" s="12" t="s">
        <v>73</v>
      </c>
      <c r="P902" s="12" t="s">
        <v>215</v>
      </c>
      <c r="Q902" s="7" t="str">
        <f t="shared" si="43"/>
        <v>(1974,23,'1974.06.08',8,27,49,76,81,0),</v>
      </c>
      <c r="R902" s="7" t="str">
        <f t="shared" si="45"/>
        <v>(1974,23,'1974.06.08',8,27,49,76,81),</v>
      </c>
    </row>
    <row r="903" spans="1:18" x14ac:dyDescent="0.25">
      <c r="A903" s="7" t="s">
        <v>1371</v>
      </c>
      <c r="B903" s="8" t="s">
        <v>33</v>
      </c>
      <c r="C903" s="10">
        <f t="shared" si="44"/>
        <v>27195</v>
      </c>
      <c r="D903" t="s">
        <v>11</v>
      </c>
      <c r="E903" t="s">
        <v>12</v>
      </c>
      <c r="F903" t="s">
        <v>11</v>
      </c>
      <c r="G903" t="s">
        <v>12</v>
      </c>
      <c r="H903" t="s">
        <v>11</v>
      </c>
      <c r="I903" t="s">
        <v>12</v>
      </c>
      <c r="J903" t="s">
        <v>11</v>
      </c>
      <c r="K903" t="s">
        <v>12</v>
      </c>
      <c r="L903" s="12" t="s">
        <v>108</v>
      </c>
      <c r="M903" s="12" t="s">
        <v>34</v>
      </c>
      <c r="N903" s="12" t="s">
        <v>199</v>
      </c>
      <c r="O903" s="12" t="s">
        <v>106</v>
      </c>
      <c r="P903" s="12" t="s">
        <v>308</v>
      </c>
      <c r="Q903" s="7" t="str">
        <f t="shared" si="43"/>
        <v>(1974,24,'1974.06.15',1,49,53,75,86,0),</v>
      </c>
      <c r="R903" s="7" t="str">
        <f t="shared" si="45"/>
        <v>(1974,24,'1974.06.15',1,49,53,75,86),</v>
      </c>
    </row>
    <row r="904" spans="1:18" x14ac:dyDescent="0.25">
      <c r="A904" s="7" t="s">
        <v>1371</v>
      </c>
      <c r="B904" s="8" t="s">
        <v>152</v>
      </c>
      <c r="C904" s="10">
        <f t="shared" si="44"/>
        <v>27202</v>
      </c>
      <c r="D904" t="s">
        <v>11</v>
      </c>
      <c r="E904" t="s">
        <v>12</v>
      </c>
      <c r="F904" t="s">
        <v>11</v>
      </c>
      <c r="G904" t="s">
        <v>12</v>
      </c>
      <c r="H904" t="s">
        <v>11</v>
      </c>
      <c r="I904" t="s">
        <v>12</v>
      </c>
      <c r="J904" t="s">
        <v>11</v>
      </c>
      <c r="K904" t="s">
        <v>12</v>
      </c>
      <c r="L904" s="12" t="s">
        <v>43</v>
      </c>
      <c r="M904" s="12" t="s">
        <v>33</v>
      </c>
      <c r="N904" s="12" t="s">
        <v>150</v>
      </c>
      <c r="O904" s="12" t="s">
        <v>143</v>
      </c>
      <c r="P904" s="12" t="s">
        <v>308</v>
      </c>
      <c r="Q904" s="7" t="str">
        <f t="shared" si="43"/>
        <v>(1974,25,'1974.06.22',16,24,57,77,86,0),</v>
      </c>
      <c r="R904" s="7" t="str">
        <f t="shared" si="45"/>
        <v>(1974,25,'1974.06.22',16,24,57,77,86),</v>
      </c>
    </row>
    <row r="905" spans="1:18" x14ac:dyDescent="0.25">
      <c r="A905" s="7" t="s">
        <v>1371</v>
      </c>
      <c r="B905" s="8" t="s">
        <v>74</v>
      </c>
      <c r="C905" s="10">
        <f t="shared" si="44"/>
        <v>27209</v>
      </c>
      <c r="D905" t="s">
        <v>11</v>
      </c>
      <c r="E905" t="s">
        <v>12</v>
      </c>
      <c r="F905" t="s">
        <v>11</v>
      </c>
      <c r="G905" t="s">
        <v>12</v>
      </c>
      <c r="H905" t="s">
        <v>11</v>
      </c>
      <c r="I905" t="s">
        <v>12</v>
      </c>
      <c r="J905" t="s">
        <v>11</v>
      </c>
      <c r="K905" t="s">
        <v>12</v>
      </c>
      <c r="L905" s="12" t="s">
        <v>64</v>
      </c>
      <c r="M905" s="12" t="s">
        <v>81</v>
      </c>
      <c r="N905" s="12" t="s">
        <v>150</v>
      </c>
      <c r="O905" s="12" t="s">
        <v>56</v>
      </c>
      <c r="P905" s="12" t="s">
        <v>308</v>
      </c>
      <c r="Q905" s="7" t="str">
        <f t="shared" si="43"/>
        <v>(1974,26,'1974.06.29',35,47,57,71,86,0),</v>
      </c>
      <c r="R905" s="7" t="str">
        <f t="shared" si="45"/>
        <v>(1974,26,'1974.06.29',35,47,57,71,86),</v>
      </c>
    </row>
    <row r="906" spans="1:18" x14ac:dyDescent="0.25">
      <c r="A906" s="7" t="s">
        <v>1371</v>
      </c>
      <c r="B906" s="8" t="s">
        <v>135</v>
      </c>
      <c r="C906" s="10">
        <f t="shared" si="44"/>
        <v>27216</v>
      </c>
      <c r="D906" t="s">
        <v>11</v>
      </c>
      <c r="E906" t="s">
        <v>12</v>
      </c>
      <c r="F906" t="s">
        <v>11</v>
      </c>
      <c r="G906" t="s">
        <v>12</v>
      </c>
      <c r="H906" t="s">
        <v>11</v>
      </c>
      <c r="I906" t="s">
        <v>12</v>
      </c>
      <c r="J906" t="s">
        <v>11</v>
      </c>
      <c r="K906" t="s">
        <v>12</v>
      </c>
      <c r="L906" s="12" t="s">
        <v>89</v>
      </c>
      <c r="M906" s="12" t="s">
        <v>54</v>
      </c>
      <c r="N906" s="12" t="s">
        <v>105</v>
      </c>
      <c r="O906" s="12" t="s">
        <v>248</v>
      </c>
      <c r="P906" s="12" t="s">
        <v>63</v>
      </c>
      <c r="Q906" s="7" t="str">
        <f t="shared" si="43"/>
        <v>(1974,27,'1974.07.06',5,15,50,63,78,0),</v>
      </c>
      <c r="R906" s="7" t="str">
        <f t="shared" si="45"/>
        <v>(1974,27,'1974.07.06',5,15,50,63,78),</v>
      </c>
    </row>
    <row r="907" spans="1:18" x14ac:dyDescent="0.25">
      <c r="A907" s="7" t="s">
        <v>1371</v>
      </c>
      <c r="B907" s="8" t="s">
        <v>126</v>
      </c>
      <c r="C907" s="10">
        <f t="shared" si="44"/>
        <v>27223</v>
      </c>
      <c r="D907" t="s">
        <v>11</v>
      </c>
      <c r="E907" t="s">
        <v>12</v>
      </c>
      <c r="F907" t="s">
        <v>11</v>
      </c>
      <c r="G907" t="s">
        <v>12</v>
      </c>
      <c r="H907" t="s">
        <v>11</v>
      </c>
      <c r="I907" t="s">
        <v>12</v>
      </c>
      <c r="J907" t="s">
        <v>11</v>
      </c>
      <c r="K907" t="s">
        <v>12</v>
      </c>
      <c r="L907" s="12" t="s">
        <v>45</v>
      </c>
      <c r="M907" s="12" t="s">
        <v>134</v>
      </c>
      <c r="N907" s="12" t="s">
        <v>214</v>
      </c>
      <c r="O907" s="12" t="s">
        <v>47</v>
      </c>
      <c r="P907" s="12" t="s">
        <v>215</v>
      </c>
      <c r="Q907" s="7" t="str">
        <f t="shared" si="43"/>
        <v>(1974,28,'1974.07.13',43,56,64,69,81,0),</v>
      </c>
      <c r="R907" s="7" t="str">
        <f t="shared" si="45"/>
        <v>(1974,28,'1974.07.13',43,56,64,69,81),</v>
      </c>
    </row>
    <row r="908" spans="1:18" x14ac:dyDescent="0.25">
      <c r="A908" s="7" t="s">
        <v>1371</v>
      </c>
      <c r="B908" s="8" t="s">
        <v>116</v>
      </c>
      <c r="C908" s="10">
        <f t="shared" si="44"/>
        <v>27230</v>
      </c>
      <c r="D908" t="s">
        <v>11</v>
      </c>
      <c r="E908" t="s">
        <v>12</v>
      </c>
      <c r="F908" t="s">
        <v>11</v>
      </c>
      <c r="G908" t="s">
        <v>12</v>
      </c>
      <c r="H908" t="s">
        <v>11</v>
      </c>
      <c r="I908" t="s">
        <v>12</v>
      </c>
      <c r="J908" t="s">
        <v>11</v>
      </c>
      <c r="K908" t="s">
        <v>12</v>
      </c>
      <c r="L908" s="12" t="s">
        <v>83</v>
      </c>
      <c r="M908" s="12" t="s">
        <v>115</v>
      </c>
      <c r="N908" s="12" t="s">
        <v>56</v>
      </c>
      <c r="O908" s="12" t="s">
        <v>151</v>
      </c>
      <c r="P908" s="12" t="s">
        <v>301</v>
      </c>
      <c r="Q908" s="7" t="str">
        <f t="shared" si="43"/>
        <v>(1974,29,'1974.07.20',11,20,71,79,80,0),</v>
      </c>
      <c r="R908" s="7" t="str">
        <f t="shared" si="45"/>
        <v>(1974,29,'1974.07.20',11,20,71,79,80),</v>
      </c>
    </row>
    <row r="909" spans="1:18" x14ac:dyDescent="0.25">
      <c r="A909" s="7" t="s">
        <v>1371</v>
      </c>
      <c r="B909" s="8" t="s">
        <v>107</v>
      </c>
      <c r="C909" s="10">
        <f t="shared" si="44"/>
        <v>27237</v>
      </c>
      <c r="D909" t="s">
        <v>11</v>
      </c>
      <c r="E909" t="s">
        <v>12</v>
      </c>
      <c r="F909" t="s">
        <v>11</v>
      </c>
      <c r="G909" t="s">
        <v>12</v>
      </c>
      <c r="H909" t="s">
        <v>11</v>
      </c>
      <c r="I909" t="s">
        <v>12</v>
      </c>
      <c r="J909" t="s">
        <v>11</v>
      </c>
      <c r="K909" t="s">
        <v>12</v>
      </c>
      <c r="L909" s="12" t="s">
        <v>207</v>
      </c>
      <c r="M909" s="12" t="s">
        <v>43</v>
      </c>
      <c r="N909" s="12" t="s">
        <v>25</v>
      </c>
      <c r="O909" s="12" t="s">
        <v>92</v>
      </c>
      <c r="P909" s="12" t="s">
        <v>151</v>
      </c>
      <c r="Q909" s="7" t="str">
        <f t="shared" si="43"/>
        <v>(1974,30,'1974.07.27',2,16,34,68,79,0),</v>
      </c>
      <c r="R909" s="7" t="str">
        <f t="shared" si="45"/>
        <v>(1974,30,'1974.07.27',2,16,34,68,79),</v>
      </c>
    </row>
    <row r="910" spans="1:18" x14ac:dyDescent="0.25">
      <c r="A910" s="7" t="s">
        <v>1371</v>
      </c>
      <c r="B910" s="8" t="s">
        <v>71</v>
      </c>
      <c r="C910" s="10">
        <f t="shared" si="44"/>
        <v>27244</v>
      </c>
      <c r="D910" t="s">
        <v>11</v>
      </c>
      <c r="E910" t="s">
        <v>12</v>
      </c>
      <c r="F910" t="s">
        <v>11</v>
      </c>
      <c r="G910" t="s">
        <v>12</v>
      </c>
      <c r="H910" t="s">
        <v>11</v>
      </c>
      <c r="I910" t="s">
        <v>12</v>
      </c>
      <c r="J910" t="s">
        <v>11</v>
      </c>
      <c r="K910" t="s">
        <v>12</v>
      </c>
      <c r="L910" s="12" t="s">
        <v>89</v>
      </c>
      <c r="M910" s="12" t="s">
        <v>116</v>
      </c>
      <c r="N910" s="12" t="s">
        <v>20</v>
      </c>
      <c r="O910" s="12" t="s">
        <v>47</v>
      </c>
      <c r="P910" s="12" t="s">
        <v>622</v>
      </c>
      <c r="Q910" s="7" t="str">
        <f t="shared" si="43"/>
        <v>(1974,31,'1974.08.03',5,29,33,69,82,0),</v>
      </c>
      <c r="R910" s="7" t="str">
        <f t="shared" si="45"/>
        <v>(1974,31,'1974.08.03',5,29,33,69,82),</v>
      </c>
    </row>
    <row r="911" spans="1:18" x14ac:dyDescent="0.25">
      <c r="A911" s="7" t="s">
        <v>1371</v>
      </c>
      <c r="B911" s="8" t="s">
        <v>80</v>
      </c>
      <c r="C911" s="10">
        <f t="shared" si="44"/>
        <v>27251</v>
      </c>
      <c r="D911" t="s">
        <v>11</v>
      </c>
      <c r="E911" t="s">
        <v>12</v>
      </c>
      <c r="F911" t="s">
        <v>11</v>
      </c>
      <c r="G911" t="s">
        <v>12</v>
      </c>
      <c r="H911" t="s">
        <v>11</v>
      </c>
      <c r="I911" t="s">
        <v>12</v>
      </c>
      <c r="J911" t="s">
        <v>11</v>
      </c>
      <c r="K911" t="s">
        <v>12</v>
      </c>
      <c r="L911" s="12" t="s">
        <v>198</v>
      </c>
      <c r="M911" s="12" t="s">
        <v>45</v>
      </c>
      <c r="N911" s="12" t="s">
        <v>199</v>
      </c>
      <c r="O911" s="12" t="s">
        <v>151</v>
      </c>
      <c r="P911" s="12" t="s">
        <v>215</v>
      </c>
      <c r="Q911" s="7" t="str">
        <f t="shared" si="43"/>
        <v>(1974,32,'1974.08.10',9,43,53,79,81,0),</v>
      </c>
      <c r="R911" s="7" t="str">
        <f t="shared" si="45"/>
        <v>(1974,32,'1974.08.10',9,43,53,79,81),</v>
      </c>
    </row>
    <row r="912" spans="1:18" x14ac:dyDescent="0.25">
      <c r="A912" s="7" t="s">
        <v>1371</v>
      </c>
      <c r="B912" s="8" t="s">
        <v>20</v>
      </c>
      <c r="C912" s="10">
        <f t="shared" si="44"/>
        <v>27258</v>
      </c>
      <c r="D912" t="s">
        <v>11</v>
      </c>
      <c r="E912" t="s">
        <v>12</v>
      </c>
      <c r="F912" t="s">
        <v>11</v>
      </c>
      <c r="G912" t="s">
        <v>12</v>
      </c>
      <c r="H912" t="s">
        <v>11</v>
      </c>
      <c r="I912" t="s">
        <v>12</v>
      </c>
      <c r="J912" t="s">
        <v>11</v>
      </c>
      <c r="K912" t="s">
        <v>12</v>
      </c>
      <c r="L912" s="12" t="s">
        <v>126</v>
      </c>
      <c r="M912" s="12" t="s">
        <v>81</v>
      </c>
      <c r="N912" s="12" t="s">
        <v>35</v>
      </c>
      <c r="O912" s="12" t="s">
        <v>92</v>
      </c>
      <c r="P912" s="12" t="s">
        <v>246</v>
      </c>
      <c r="Q912" s="7" t="str">
        <f t="shared" si="43"/>
        <v>(1974,33,'1974.08.17',28,47,65,68,84,0),</v>
      </c>
      <c r="R912" s="7" t="str">
        <f t="shared" si="45"/>
        <v>(1974,33,'1974.08.17',28,47,65,68,84),</v>
      </c>
    </row>
    <row r="913" spans="1:18" x14ac:dyDescent="0.25">
      <c r="A913" s="7" t="s">
        <v>1371</v>
      </c>
      <c r="B913" s="8" t="s">
        <v>25</v>
      </c>
      <c r="C913" s="10">
        <f t="shared" si="44"/>
        <v>27265</v>
      </c>
      <c r="D913" t="s">
        <v>11</v>
      </c>
      <c r="E913" t="s">
        <v>12</v>
      </c>
      <c r="F913" t="s">
        <v>11</v>
      </c>
      <c r="G913" t="s">
        <v>12</v>
      </c>
      <c r="H913" t="s">
        <v>11</v>
      </c>
      <c r="I913" t="s">
        <v>12</v>
      </c>
      <c r="J913" t="s">
        <v>11</v>
      </c>
      <c r="K913" t="s">
        <v>12</v>
      </c>
      <c r="L913" s="12" t="s">
        <v>13</v>
      </c>
      <c r="M913" s="12" t="s">
        <v>199</v>
      </c>
      <c r="N913" s="12" t="s">
        <v>169</v>
      </c>
      <c r="O913" s="12" t="s">
        <v>622</v>
      </c>
      <c r="P913" s="12" t="s">
        <v>186</v>
      </c>
      <c r="Q913" s="7" t="str">
        <f t="shared" si="43"/>
        <v>(1974,34,'1974.08.24',41,53,58,82,90,0),</v>
      </c>
      <c r="R913" s="7" t="str">
        <f t="shared" si="45"/>
        <v>(1974,34,'1974.08.24',41,53,58,82,90),</v>
      </c>
    </row>
    <row r="914" spans="1:18" x14ac:dyDescent="0.25">
      <c r="A914" s="7" t="s">
        <v>1371</v>
      </c>
      <c r="B914" s="8" t="s">
        <v>64</v>
      </c>
      <c r="C914" s="10">
        <f t="shared" si="44"/>
        <v>27272</v>
      </c>
      <c r="D914" t="s">
        <v>11</v>
      </c>
      <c r="E914" t="s">
        <v>12</v>
      </c>
      <c r="F914" t="s">
        <v>11</v>
      </c>
      <c r="G914" t="s">
        <v>12</v>
      </c>
      <c r="H914" t="s">
        <v>11</v>
      </c>
      <c r="I914" t="s">
        <v>12</v>
      </c>
      <c r="J914" t="s">
        <v>11</v>
      </c>
      <c r="K914" t="s">
        <v>12</v>
      </c>
      <c r="L914" s="12" t="s">
        <v>20</v>
      </c>
      <c r="M914" s="12" t="s">
        <v>10</v>
      </c>
      <c r="N914" s="12" t="s">
        <v>47</v>
      </c>
      <c r="O914" s="12" t="s">
        <v>208</v>
      </c>
      <c r="P914" s="12" t="s">
        <v>379</v>
      </c>
      <c r="Q914" s="7" t="str">
        <f t="shared" si="43"/>
        <v>(1974,35,'1974.08.31',33,40,69,88,89,0),</v>
      </c>
      <c r="R914" s="7" t="str">
        <f t="shared" si="45"/>
        <v>(1974,35,'1974.08.31',33,40,69,88,89),</v>
      </c>
    </row>
    <row r="915" spans="1:18" x14ac:dyDescent="0.25">
      <c r="A915" s="7" t="s">
        <v>1371</v>
      </c>
      <c r="B915" s="8" t="s">
        <v>21</v>
      </c>
      <c r="C915" s="10">
        <f t="shared" si="44"/>
        <v>27279</v>
      </c>
      <c r="D915" t="s">
        <v>11</v>
      </c>
      <c r="E915" t="s">
        <v>12</v>
      </c>
      <c r="F915" t="s">
        <v>11</v>
      </c>
      <c r="G915" t="s">
        <v>12</v>
      </c>
      <c r="H915" t="s">
        <v>11</v>
      </c>
      <c r="I915" t="s">
        <v>12</v>
      </c>
      <c r="J915" t="s">
        <v>11</v>
      </c>
      <c r="K915" t="s">
        <v>12</v>
      </c>
      <c r="L915" s="12" t="s">
        <v>198</v>
      </c>
      <c r="M915" s="12" t="s">
        <v>65</v>
      </c>
      <c r="N915" s="12" t="s">
        <v>90</v>
      </c>
      <c r="O915" s="12" t="s">
        <v>55</v>
      </c>
      <c r="P915" s="12" t="s">
        <v>379</v>
      </c>
      <c r="Q915" s="7" t="str">
        <f t="shared" si="43"/>
        <v>(1974,36,'1974.09.07',9,13,17,19,89,0),</v>
      </c>
      <c r="R915" s="7" t="str">
        <f t="shared" si="45"/>
        <v>(1974,36,'1974.09.07',9,13,17,19,89),</v>
      </c>
    </row>
    <row r="916" spans="1:18" x14ac:dyDescent="0.25">
      <c r="A916" s="7" t="s">
        <v>1371</v>
      </c>
      <c r="B916" s="8" t="s">
        <v>46</v>
      </c>
      <c r="C916" s="10">
        <f t="shared" si="44"/>
        <v>27286</v>
      </c>
      <c r="D916" t="s">
        <v>11</v>
      </c>
      <c r="E916" t="s">
        <v>12</v>
      </c>
      <c r="F916" t="s">
        <v>11</v>
      </c>
      <c r="G916" t="s">
        <v>12</v>
      </c>
      <c r="H916" t="s">
        <v>11</v>
      </c>
      <c r="I916" t="s">
        <v>12</v>
      </c>
      <c r="J916" t="s">
        <v>11</v>
      </c>
      <c r="K916" t="s">
        <v>12</v>
      </c>
      <c r="L916" s="12" t="s">
        <v>90</v>
      </c>
      <c r="M916" s="12" t="s">
        <v>13</v>
      </c>
      <c r="N916" s="12" t="s">
        <v>82</v>
      </c>
      <c r="O916" s="12" t="s">
        <v>92</v>
      </c>
      <c r="P916" s="12" t="s">
        <v>246</v>
      </c>
      <c r="Q916" s="7" t="str">
        <f t="shared" si="43"/>
        <v>(1974,37,'1974.09.14',17,41,59,68,84,0),</v>
      </c>
      <c r="R916" s="7" t="str">
        <f t="shared" si="45"/>
        <v>(1974,37,'1974.09.14',17,41,59,68,84),</v>
      </c>
    </row>
    <row r="917" spans="1:18" x14ac:dyDescent="0.25">
      <c r="A917" s="7" t="s">
        <v>1371</v>
      </c>
      <c r="B917" s="8" t="s">
        <v>36</v>
      </c>
      <c r="C917" s="10">
        <f t="shared" si="44"/>
        <v>27293</v>
      </c>
      <c r="D917" t="s">
        <v>11</v>
      </c>
      <c r="E917" t="s">
        <v>12</v>
      </c>
      <c r="F917" t="s">
        <v>11</v>
      </c>
      <c r="G917" t="s">
        <v>12</v>
      </c>
      <c r="H917" t="s">
        <v>11</v>
      </c>
      <c r="I917" t="s">
        <v>12</v>
      </c>
      <c r="J917" t="s">
        <v>11</v>
      </c>
      <c r="K917" t="s">
        <v>12</v>
      </c>
      <c r="L917" s="12" t="s">
        <v>10</v>
      </c>
      <c r="M917" s="12" t="s">
        <v>98</v>
      </c>
      <c r="N917" s="12" t="s">
        <v>99</v>
      </c>
      <c r="O917" s="12" t="s">
        <v>91</v>
      </c>
      <c r="P917" s="12" t="s">
        <v>106</v>
      </c>
      <c r="Q917" s="7" t="str">
        <f t="shared" si="43"/>
        <v>(1974,38,'1974.09.21',40,42,52,61,75,0),</v>
      </c>
      <c r="R917" s="7" t="str">
        <f t="shared" si="45"/>
        <v>(1974,38,'1974.09.21',40,42,52,61,75),</v>
      </c>
    </row>
    <row r="918" spans="1:18" x14ac:dyDescent="0.25">
      <c r="A918" s="7" t="s">
        <v>1371</v>
      </c>
      <c r="B918" s="8" t="s">
        <v>24</v>
      </c>
      <c r="C918" s="10">
        <f t="shared" si="44"/>
        <v>27300</v>
      </c>
      <c r="D918" t="s">
        <v>11</v>
      </c>
      <c r="E918" t="s">
        <v>12</v>
      </c>
      <c r="F918" t="s">
        <v>11</v>
      </c>
      <c r="G918" t="s">
        <v>12</v>
      </c>
      <c r="H918" t="s">
        <v>11</v>
      </c>
      <c r="I918" t="s">
        <v>12</v>
      </c>
      <c r="J918" t="s">
        <v>11</v>
      </c>
      <c r="K918" t="s">
        <v>12</v>
      </c>
      <c r="L918" s="12" t="s">
        <v>232</v>
      </c>
      <c r="M918" s="12" t="s">
        <v>135</v>
      </c>
      <c r="N918" s="12" t="s">
        <v>21</v>
      </c>
      <c r="O918" s="12" t="s">
        <v>143</v>
      </c>
      <c r="P918" s="12" t="s">
        <v>125</v>
      </c>
      <c r="Q918" s="7" t="str">
        <f t="shared" si="43"/>
        <v>(1974,39,'1974.09.28',8,27,36,77,83,0),</v>
      </c>
      <c r="R918" s="7" t="str">
        <f t="shared" si="45"/>
        <v>(1974,39,'1974.09.28',8,27,36,77,83),</v>
      </c>
    </row>
    <row r="919" spans="1:18" x14ac:dyDescent="0.25">
      <c r="A919" s="7" t="s">
        <v>1371</v>
      </c>
      <c r="B919" s="8" t="s">
        <v>10</v>
      </c>
      <c r="C919" s="10">
        <f t="shared" si="44"/>
        <v>27307</v>
      </c>
      <c r="D919" t="s">
        <v>11</v>
      </c>
      <c r="E919" t="s">
        <v>12</v>
      </c>
      <c r="F919" t="s">
        <v>11</v>
      </c>
      <c r="G919" t="s">
        <v>12</v>
      </c>
      <c r="H919" t="s">
        <v>11</v>
      </c>
      <c r="I919" t="s">
        <v>12</v>
      </c>
      <c r="J919" t="s">
        <v>11</v>
      </c>
      <c r="K919" t="s">
        <v>12</v>
      </c>
      <c r="L919" s="12" t="s">
        <v>32</v>
      </c>
      <c r="M919" s="12" t="s">
        <v>80</v>
      </c>
      <c r="N919" s="12" t="s">
        <v>36</v>
      </c>
      <c r="O919" s="12" t="s">
        <v>133</v>
      </c>
      <c r="P919" s="12" t="s">
        <v>82</v>
      </c>
      <c r="Q919" s="7" t="str">
        <f t="shared" si="43"/>
        <v>(1974,40,'1974.10.05',22,32,38,45,59,0),</v>
      </c>
      <c r="R919" s="7" t="str">
        <f t="shared" si="45"/>
        <v>(1974,40,'1974.10.05',22,32,38,45,59),</v>
      </c>
    </row>
    <row r="920" spans="1:18" x14ac:dyDescent="0.25">
      <c r="A920" s="7" t="s">
        <v>1371</v>
      </c>
      <c r="B920" s="8" t="s">
        <v>13</v>
      </c>
      <c r="C920" s="10">
        <f t="shared" si="44"/>
        <v>27314</v>
      </c>
      <c r="D920" t="s">
        <v>11</v>
      </c>
      <c r="E920" t="s">
        <v>12</v>
      </c>
      <c r="F920" t="s">
        <v>11</v>
      </c>
      <c r="G920" t="s">
        <v>12</v>
      </c>
      <c r="H920" t="s">
        <v>11</v>
      </c>
      <c r="I920" t="s">
        <v>12</v>
      </c>
      <c r="J920" t="s">
        <v>11</v>
      </c>
      <c r="K920" t="s">
        <v>12</v>
      </c>
      <c r="L920" s="12" t="s">
        <v>45</v>
      </c>
      <c r="M920" s="12" t="s">
        <v>133</v>
      </c>
      <c r="N920" s="12" t="s">
        <v>72</v>
      </c>
      <c r="O920" s="12" t="s">
        <v>56</v>
      </c>
      <c r="P920" s="12" t="s">
        <v>125</v>
      </c>
      <c r="Q920" s="7" t="str">
        <f t="shared" si="43"/>
        <v>(1974,41,'1974.10.12',43,45,67,71,83,0),</v>
      </c>
      <c r="R920" s="7" t="str">
        <f t="shared" si="45"/>
        <v>(1974,41,'1974.10.12',43,45,67,71,83),</v>
      </c>
    </row>
    <row r="921" spans="1:18" x14ac:dyDescent="0.25">
      <c r="A921" s="7" t="s">
        <v>1371</v>
      </c>
      <c r="B921" s="8" t="s">
        <v>98</v>
      </c>
      <c r="C921" s="10">
        <f t="shared" si="44"/>
        <v>27321</v>
      </c>
      <c r="D921" t="s">
        <v>11</v>
      </c>
      <c r="E921" t="s">
        <v>12</v>
      </c>
      <c r="F921" t="s">
        <v>11</v>
      </c>
      <c r="G921" t="s">
        <v>12</v>
      </c>
      <c r="H921" t="s">
        <v>11</v>
      </c>
      <c r="I921" t="s">
        <v>12</v>
      </c>
      <c r="J921" t="s">
        <v>11</v>
      </c>
      <c r="K921" t="s">
        <v>12</v>
      </c>
      <c r="L921" s="12" t="s">
        <v>54</v>
      </c>
      <c r="M921" s="12" t="s">
        <v>152</v>
      </c>
      <c r="N921" s="12" t="s">
        <v>35</v>
      </c>
      <c r="O921" s="12" t="s">
        <v>143</v>
      </c>
      <c r="P921" s="12" t="s">
        <v>186</v>
      </c>
      <c r="Q921" s="7" t="str">
        <f t="shared" si="43"/>
        <v>(1974,42,'1974.10.19',15,25,65,77,90,0),</v>
      </c>
      <c r="R921" s="7" t="str">
        <f t="shared" si="45"/>
        <v>(1974,42,'1974.10.19',15,25,65,77,90),</v>
      </c>
    </row>
    <row r="922" spans="1:18" x14ac:dyDescent="0.25">
      <c r="A922" s="7" t="s">
        <v>1371</v>
      </c>
      <c r="B922" s="8" t="s">
        <v>45</v>
      </c>
      <c r="C922" s="10">
        <f t="shared" si="44"/>
        <v>27328</v>
      </c>
      <c r="D922" t="s">
        <v>11</v>
      </c>
      <c r="E922" t="s">
        <v>12</v>
      </c>
      <c r="F922" t="s">
        <v>11</v>
      </c>
      <c r="G922" t="s">
        <v>12</v>
      </c>
      <c r="H922" t="s">
        <v>11</v>
      </c>
      <c r="I922" t="s">
        <v>12</v>
      </c>
      <c r="J922" t="s">
        <v>11</v>
      </c>
      <c r="K922" t="s">
        <v>12</v>
      </c>
      <c r="L922" s="12" t="s">
        <v>19</v>
      </c>
      <c r="M922" s="12" t="s">
        <v>116</v>
      </c>
      <c r="N922" s="12" t="s">
        <v>20</v>
      </c>
      <c r="O922" s="12" t="s">
        <v>24</v>
      </c>
      <c r="P922" s="12" t="s">
        <v>106</v>
      </c>
      <c r="Q922" s="7" t="str">
        <f t="shared" si="43"/>
        <v>(1974,43,'1974.10.26',18,29,33,39,75,0),</v>
      </c>
      <c r="R922" s="7" t="str">
        <f t="shared" si="45"/>
        <v>(1974,43,'1974.10.26',18,29,33,39,75),</v>
      </c>
    </row>
    <row r="923" spans="1:18" x14ac:dyDescent="0.25">
      <c r="A923" s="7" t="s">
        <v>1371</v>
      </c>
      <c r="B923" s="8" t="s">
        <v>142</v>
      </c>
      <c r="C923" s="10">
        <f t="shared" si="44"/>
        <v>27335</v>
      </c>
      <c r="D923" t="s">
        <v>11</v>
      </c>
      <c r="E923" t="s">
        <v>12</v>
      </c>
      <c r="F923" t="s">
        <v>11</v>
      </c>
      <c r="G923" t="s">
        <v>12</v>
      </c>
      <c r="H923" t="s">
        <v>11</v>
      </c>
      <c r="I923" t="s">
        <v>12</v>
      </c>
      <c r="J923" t="s">
        <v>11</v>
      </c>
      <c r="K923" t="s">
        <v>12</v>
      </c>
      <c r="L923" s="12" t="s">
        <v>127</v>
      </c>
      <c r="M923" s="12" t="s">
        <v>142</v>
      </c>
      <c r="N923" s="12" t="s">
        <v>192</v>
      </c>
      <c r="O923" s="12" t="s">
        <v>22</v>
      </c>
      <c r="P923" s="12" t="s">
        <v>72</v>
      </c>
      <c r="Q923" s="7" t="str">
        <f t="shared" si="43"/>
        <v>(1974,44,'1974.11.02',14,44,46,48,67,0),</v>
      </c>
      <c r="R923" s="7" t="str">
        <f t="shared" si="45"/>
        <v>(1974,44,'1974.11.02',14,44,46,48,67),</v>
      </c>
    </row>
    <row r="924" spans="1:18" x14ac:dyDescent="0.25">
      <c r="A924" s="7" t="s">
        <v>1371</v>
      </c>
      <c r="B924" s="8" t="s">
        <v>133</v>
      </c>
      <c r="C924" s="10">
        <f t="shared" si="44"/>
        <v>27342</v>
      </c>
      <c r="D924" t="s">
        <v>11</v>
      </c>
      <c r="E924" t="s">
        <v>12</v>
      </c>
      <c r="F924" t="s">
        <v>11</v>
      </c>
      <c r="G924" t="s">
        <v>12</v>
      </c>
      <c r="H924" t="s">
        <v>11</v>
      </c>
      <c r="I924" t="s">
        <v>12</v>
      </c>
      <c r="J924" t="s">
        <v>11</v>
      </c>
      <c r="K924" t="s">
        <v>12</v>
      </c>
      <c r="L924" s="12" t="s">
        <v>53</v>
      </c>
      <c r="M924" s="12" t="s">
        <v>44</v>
      </c>
      <c r="N924" s="12" t="s">
        <v>122</v>
      </c>
      <c r="O924" s="12" t="s">
        <v>248</v>
      </c>
      <c r="P924" s="12" t="s">
        <v>269</v>
      </c>
      <c r="Q924" s="7" t="str">
        <f t="shared" si="43"/>
        <v>(1974,45,'1974.11.09',7,21,51,63,87,0),</v>
      </c>
      <c r="R924" s="7" t="str">
        <f t="shared" si="45"/>
        <v>(1974,45,'1974.11.09',7,21,51,63,87),</v>
      </c>
    </row>
    <row r="925" spans="1:18" x14ac:dyDescent="0.25">
      <c r="A925" s="7" t="s">
        <v>1371</v>
      </c>
      <c r="B925" s="8" t="s">
        <v>192</v>
      </c>
      <c r="C925" s="10">
        <f t="shared" si="44"/>
        <v>27349</v>
      </c>
      <c r="D925" t="s">
        <v>11</v>
      </c>
      <c r="E925" t="s">
        <v>12</v>
      </c>
      <c r="F925" t="s">
        <v>11</v>
      </c>
      <c r="G925" t="s">
        <v>12</v>
      </c>
      <c r="H925" t="s">
        <v>11</v>
      </c>
      <c r="I925" t="s">
        <v>12</v>
      </c>
      <c r="J925" t="s">
        <v>11</v>
      </c>
      <c r="K925" t="s">
        <v>12</v>
      </c>
      <c r="L925" s="12" t="s">
        <v>232</v>
      </c>
      <c r="M925" s="12" t="s">
        <v>127</v>
      </c>
      <c r="N925" s="12" t="s">
        <v>134</v>
      </c>
      <c r="O925" s="12" t="s">
        <v>200</v>
      </c>
      <c r="P925" s="12" t="s">
        <v>308</v>
      </c>
      <c r="Q925" s="7" t="str">
        <f t="shared" si="43"/>
        <v>(1974,46,'1974.11.16',8,14,56,70,86,0),</v>
      </c>
      <c r="R925" s="7" t="str">
        <f t="shared" si="45"/>
        <v>(1974,46,'1974.11.16',8,14,56,70,86),</v>
      </c>
    </row>
    <row r="926" spans="1:18" x14ac:dyDescent="0.25">
      <c r="A926" s="7" t="s">
        <v>1371</v>
      </c>
      <c r="B926" s="8" t="s">
        <v>81</v>
      </c>
      <c r="C926" s="10">
        <f t="shared" si="44"/>
        <v>27356</v>
      </c>
      <c r="D926" t="s">
        <v>11</v>
      </c>
      <c r="E926" t="s">
        <v>12</v>
      </c>
      <c r="F926" t="s">
        <v>11</v>
      </c>
      <c r="G926" t="s">
        <v>12</v>
      </c>
      <c r="H926" t="s">
        <v>11</v>
      </c>
      <c r="I926" t="s">
        <v>12</v>
      </c>
      <c r="J926" t="s">
        <v>11</v>
      </c>
      <c r="K926" t="s">
        <v>12</v>
      </c>
      <c r="L926" s="12" t="s">
        <v>32</v>
      </c>
      <c r="M926" s="12" t="s">
        <v>34</v>
      </c>
      <c r="N926" s="12" t="s">
        <v>123</v>
      </c>
      <c r="O926" s="12" t="s">
        <v>215</v>
      </c>
      <c r="P926" s="12" t="s">
        <v>208</v>
      </c>
      <c r="Q926" s="7" t="str">
        <f t="shared" si="43"/>
        <v>(1974,47,'1974.11.23',22,49,54,81,88,0),</v>
      </c>
      <c r="R926" s="7" t="str">
        <f t="shared" si="45"/>
        <v>(1974,47,'1974.11.23',22,49,54,81,88),</v>
      </c>
    </row>
    <row r="927" spans="1:18" x14ac:dyDescent="0.25">
      <c r="A927" s="7" t="s">
        <v>1371</v>
      </c>
      <c r="B927" s="8" t="s">
        <v>22</v>
      </c>
      <c r="C927" s="10">
        <f t="shared" si="44"/>
        <v>27363</v>
      </c>
      <c r="D927" t="s">
        <v>11</v>
      </c>
      <c r="E927" t="s">
        <v>12</v>
      </c>
      <c r="F927" t="s">
        <v>11</v>
      </c>
      <c r="G927" t="s">
        <v>12</v>
      </c>
      <c r="H927" t="s">
        <v>11</v>
      </c>
      <c r="I927" t="s">
        <v>12</v>
      </c>
      <c r="J927" t="s">
        <v>11</v>
      </c>
      <c r="K927" t="s">
        <v>12</v>
      </c>
      <c r="L927" s="12" t="s">
        <v>83</v>
      </c>
      <c r="M927" s="12" t="s">
        <v>20</v>
      </c>
      <c r="N927" s="12" t="s">
        <v>64</v>
      </c>
      <c r="O927" s="12" t="s">
        <v>36</v>
      </c>
      <c r="P927" s="12" t="s">
        <v>123</v>
      </c>
      <c r="Q927" s="7" t="str">
        <f t="shared" si="43"/>
        <v>(1974,48,'1974.11.30',11,33,35,38,54,0),</v>
      </c>
      <c r="R927" s="7" t="str">
        <f t="shared" si="45"/>
        <v>(1974,48,'1974.11.30',11,33,35,38,54),</v>
      </c>
    </row>
    <row r="928" spans="1:18" x14ac:dyDescent="0.25">
      <c r="A928" s="7" t="s">
        <v>1371</v>
      </c>
      <c r="B928" s="8" t="s">
        <v>34</v>
      </c>
      <c r="C928" s="10">
        <f t="shared" si="44"/>
        <v>27370</v>
      </c>
      <c r="D928" t="s">
        <v>11</v>
      </c>
      <c r="E928" t="s">
        <v>12</v>
      </c>
      <c r="F928" t="s">
        <v>11</v>
      </c>
      <c r="G928" t="s">
        <v>12</v>
      </c>
      <c r="H928" t="s">
        <v>11</v>
      </c>
      <c r="I928" t="s">
        <v>12</v>
      </c>
      <c r="J928" t="s">
        <v>11</v>
      </c>
      <c r="K928" t="s">
        <v>12</v>
      </c>
      <c r="L928" s="12" t="s">
        <v>43</v>
      </c>
      <c r="M928" s="12" t="s">
        <v>107</v>
      </c>
      <c r="N928" s="12" t="s">
        <v>80</v>
      </c>
      <c r="O928" s="12" t="s">
        <v>105</v>
      </c>
      <c r="P928" s="12" t="s">
        <v>245</v>
      </c>
      <c r="Q928" s="7" t="str">
        <f t="shared" si="43"/>
        <v>(1974,49,'1974.12.07',16,30,32,50,74,0),</v>
      </c>
      <c r="R928" s="7" t="str">
        <f t="shared" si="45"/>
        <v>(1974,49,'1974.12.07',16,30,32,50,74),</v>
      </c>
    </row>
    <row r="929" spans="1:18" x14ac:dyDescent="0.25">
      <c r="A929" s="7" t="s">
        <v>1371</v>
      </c>
      <c r="B929" s="8" t="s">
        <v>105</v>
      </c>
      <c r="C929" s="10">
        <f t="shared" si="44"/>
        <v>27377</v>
      </c>
      <c r="D929" t="s">
        <v>11</v>
      </c>
      <c r="E929" t="s">
        <v>12</v>
      </c>
      <c r="F929" t="s">
        <v>11</v>
      </c>
      <c r="G929" t="s">
        <v>12</v>
      </c>
      <c r="H929" t="s">
        <v>11</v>
      </c>
      <c r="I929" t="s">
        <v>12</v>
      </c>
      <c r="J929" t="s">
        <v>11</v>
      </c>
      <c r="K929" t="s">
        <v>12</v>
      </c>
      <c r="L929" s="12" t="s">
        <v>71</v>
      </c>
      <c r="M929" s="12" t="s">
        <v>24</v>
      </c>
      <c r="N929" s="12" t="s">
        <v>13</v>
      </c>
      <c r="O929" s="12" t="s">
        <v>248</v>
      </c>
      <c r="P929" s="12" t="s">
        <v>245</v>
      </c>
      <c r="Q929" s="7" t="str">
        <f t="shared" si="43"/>
        <v>(1974,50,'1974.12.14',31,39,41,63,74,0),</v>
      </c>
      <c r="R929" s="7" t="str">
        <f t="shared" si="45"/>
        <v>(1974,50,'1974.12.14',31,39,41,63,74),</v>
      </c>
    </row>
    <row r="930" spans="1:18" x14ac:dyDescent="0.25">
      <c r="A930" s="7" t="s">
        <v>1371</v>
      </c>
      <c r="B930" s="8" t="s">
        <v>122</v>
      </c>
      <c r="C930" s="10">
        <f t="shared" si="44"/>
        <v>27384</v>
      </c>
      <c r="D930" t="s">
        <v>11</v>
      </c>
      <c r="E930" t="s">
        <v>12</v>
      </c>
      <c r="F930" t="s">
        <v>11</v>
      </c>
      <c r="G930" t="s">
        <v>12</v>
      </c>
      <c r="H930" t="s">
        <v>11</v>
      </c>
      <c r="I930" t="s">
        <v>12</v>
      </c>
      <c r="J930" t="s">
        <v>11</v>
      </c>
      <c r="K930" t="s">
        <v>12</v>
      </c>
      <c r="L930" s="12" t="s">
        <v>108</v>
      </c>
      <c r="M930" s="12" t="s">
        <v>163</v>
      </c>
      <c r="N930" s="12" t="s">
        <v>99</v>
      </c>
      <c r="O930" s="12" t="s">
        <v>91</v>
      </c>
      <c r="P930" s="12" t="s">
        <v>269</v>
      </c>
      <c r="Q930" s="7" t="str">
        <f t="shared" si="43"/>
        <v>(1974,51,'1974.12.21',1,23,52,61,87,0),</v>
      </c>
      <c r="R930" s="7" t="str">
        <f t="shared" si="45"/>
        <v>(1974,51,'1974.12.21',1,23,52,61,87),</v>
      </c>
    </row>
    <row r="931" spans="1:18" x14ac:dyDescent="0.25">
      <c r="A931" s="7" t="s">
        <v>1371</v>
      </c>
      <c r="B931" s="8" t="s">
        <v>99</v>
      </c>
      <c r="C931" s="10">
        <f t="shared" si="44"/>
        <v>27391</v>
      </c>
      <c r="D931" t="s">
        <v>11</v>
      </c>
      <c r="E931" t="s">
        <v>12</v>
      </c>
      <c r="F931" t="s">
        <v>11</v>
      </c>
      <c r="G931" t="s">
        <v>12</v>
      </c>
      <c r="H931" t="s">
        <v>11</v>
      </c>
      <c r="I931" t="s">
        <v>12</v>
      </c>
      <c r="J931" t="s">
        <v>11</v>
      </c>
      <c r="K931" t="s">
        <v>12</v>
      </c>
      <c r="L931" s="12" t="s">
        <v>64</v>
      </c>
      <c r="M931" s="12" t="s">
        <v>105</v>
      </c>
      <c r="N931" s="12" t="s">
        <v>99</v>
      </c>
      <c r="O931" s="12" t="s">
        <v>125</v>
      </c>
      <c r="P931" s="12" t="s">
        <v>308</v>
      </c>
      <c r="Q931" s="7" t="str">
        <f t="shared" si="43"/>
        <v>(1974,52,'1974.12.28',35,50,52,83,86,0),</v>
      </c>
      <c r="R931" s="7" t="str">
        <f t="shared" si="45"/>
        <v>(1974,52,'1974.12.28',35,50,52,83,86),</v>
      </c>
    </row>
    <row r="932" spans="1:18" x14ac:dyDescent="0.25">
      <c r="A932" s="7" t="s">
        <v>5860</v>
      </c>
      <c r="B932" s="8" t="s">
        <v>108</v>
      </c>
      <c r="C932" s="10">
        <f t="shared" si="44"/>
        <v>27398</v>
      </c>
      <c r="D932" t="s">
        <v>11</v>
      </c>
      <c r="E932" t="s">
        <v>12</v>
      </c>
      <c r="F932" t="s">
        <v>11</v>
      </c>
      <c r="G932" t="s">
        <v>12</v>
      </c>
      <c r="H932" t="s">
        <v>11</v>
      </c>
      <c r="I932" t="s">
        <v>12</v>
      </c>
      <c r="J932" t="s">
        <v>11</v>
      </c>
      <c r="K932" t="s">
        <v>12</v>
      </c>
      <c r="L932" s="12" t="s">
        <v>89</v>
      </c>
      <c r="M932" s="12" t="s">
        <v>54</v>
      </c>
      <c r="N932" s="12" t="s">
        <v>13</v>
      </c>
      <c r="O932" s="12" t="s">
        <v>233</v>
      </c>
      <c r="P932" s="12" t="s">
        <v>308</v>
      </c>
      <c r="Q932" s="7" t="str">
        <f t="shared" si="43"/>
        <v>(1975,1,'1975.01.04',5,15,41,66,86,0),</v>
      </c>
      <c r="R932" s="7" t="str">
        <f t="shared" si="45"/>
        <v>(1975,1,'1975.01.04',5,15,41,66,86),</v>
      </c>
    </row>
    <row r="933" spans="1:18" x14ac:dyDescent="0.25">
      <c r="A933" s="7" t="s">
        <v>5860</v>
      </c>
      <c r="B933" s="8" t="s">
        <v>207</v>
      </c>
      <c r="C933" s="10">
        <f t="shared" si="44"/>
        <v>27405</v>
      </c>
      <c r="D933" t="s">
        <v>11</v>
      </c>
      <c r="E933" t="s">
        <v>12</v>
      </c>
      <c r="F933" t="s">
        <v>11</v>
      </c>
      <c r="G933" t="s">
        <v>12</v>
      </c>
      <c r="H933" t="s">
        <v>11</v>
      </c>
      <c r="I933" t="s">
        <v>12</v>
      </c>
      <c r="J933" t="s">
        <v>11</v>
      </c>
      <c r="K933" t="s">
        <v>12</v>
      </c>
      <c r="L933" s="12" t="s">
        <v>42</v>
      </c>
      <c r="M933" s="12" t="s">
        <v>65</v>
      </c>
      <c r="N933" s="12" t="s">
        <v>36</v>
      </c>
      <c r="O933" s="12" t="s">
        <v>47</v>
      </c>
      <c r="P933" s="12" t="s">
        <v>56</v>
      </c>
      <c r="Q933" s="7" t="str">
        <f t="shared" si="43"/>
        <v>(1975,2,'1975.01.11',3,13,38,69,71,0),</v>
      </c>
      <c r="R933" s="7" t="str">
        <f t="shared" si="45"/>
        <v>(1975,2,'1975.01.11',3,13,38,69,71),</v>
      </c>
    </row>
    <row r="934" spans="1:18" x14ac:dyDescent="0.25">
      <c r="A934" s="7" t="s">
        <v>5860</v>
      </c>
      <c r="B934" s="8" t="s">
        <v>42</v>
      </c>
      <c r="C934" s="10">
        <f t="shared" si="44"/>
        <v>27412</v>
      </c>
      <c r="D934" t="s">
        <v>11</v>
      </c>
      <c r="E934" t="s">
        <v>12</v>
      </c>
      <c r="F934" t="s">
        <v>11</v>
      </c>
      <c r="G934" t="s">
        <v>12</v>
      </c>
      <c r="H934" t="s">
        <v>11</v>
      </c>
      <c r="I934" t="s">
        <v>12</v>
      </c>
      <c r="J934" t="s">
        <v>11</v>
      </c>
      <c r="K934" t="s">
        <v>12</v>
      </c>
      <c r="L934" s="12" t="s">
        <v>108</v>
      </c>
      <c r="M934" s="12" t="s">
        <v>25</v>
      </c>
      <c r="N934" s="12" t="s">
        <v>150</v>
      </c>
      <c r="O934" s="12" t="s">
        <v>169</v>
      </c>
      <c r="P934" s="12" t="s">
        <v>91</v>
      </c>
      <c r="Q934" s="7" t="str">
        <f t="shared" si="43"/>
        <v>(1975,3,'1975.01.18',1,34,57,58,61,0),</v>
      </c>
      <c r="R934" s="7" t="str">
        <f t="shared" si="45"/>
        <v>(1975,3,'1975.01.18',1,34,57,58,61),</v>
      </c>
    </row>
    <row r="935" spans="1:18" x14ac:dyDescent="0.25">
      <c r="A935" s="7" t="s">
        <v>5860</v>
      </c>
      <c r="B935" s="8" t="s">
        <v>168</v>
      </c>
      <c r="C935" s="10">
        <f t="shared" si="44"/>
        <v>27419</v>
      </c>
      <c r="D935" t="s">
        <v>11</v>
      </c>
      <c r="E935" t="s">
        <v>12</v>
      </c>
      <c r="F935" t="s">
        <v>11</v>
      </c>
      <c r="G935" t="s">
        <v>12</v>
      </c>
      <c r="H935" t="s">
        <v>11</v>
      </c>
      <c r="I935" t="s">
        <v>12</v>
      </c>
      <c r="J935" t="s">
        <v>11</v>
      </c>
      <c r="K935" t="s">
        <v>12</v>
      </c>
      <c r="L935" s="12" t="s">
        <v>43</v>
      </c>
      <c r="M935" s="12" t="s">
        <v>64</v>
      </c>
      <c r="N935" s="12" t="s">
        <v>24</v>
      </c>
      <c r="O935" s="12" t="s">
        <v>10</v>
      </c>
      <c r="P935" s="12" t="s">
        <v>98</v>
      </c>
      <c r="Q935" s="7" t="str">
        <f t="shared" si="43"/>
        <v>(1975,4,'1975.01.25',16,35,39,40,42,0),</v>
      </c>
      <c r="R935" s="7" t="str">
        <f t="shared" si="45"/>
        <v>(1975,4,'1975.01.25',16,35,39,40,42),</v>
      </c>
    </row>
    <row r="936" spans="1:18" x14ac:dyDescent="0.25">
      <c r="A936" s="7" t="s">
        <v>5860</v>
      </c>
      <c r="B936" s="8" t="s">
        <v>89</v>
      </c>
      <c r="C936" s="10">
        <f t="shared" si="44"/>
        <v>27426</v>
      </c>
      <c r="D936" t="s">
        <v>11</v>
      </c>
      <c r="E936" t="s">
        <v>12</v>
      </c>
      <c r="F936" t="s">
        <v>11</v>
      </c>
      <c r="G936" t="s">
        <v>12</v>
      </c>
      <c r="H936" t="s">
        <v>11</v>
      </c>
      <c r="I936" t="s">
        <v>12</v>
      </c>
      <c r="J936" t="s">
        <v>11</v>
      </c>
      <c r="K936" t="s">
        <v>12</v>
      </c>
      <c r="L936" s="12" t="s">
        <v>31</v>
      </c>
      <c r="M936" s="12" t="s">
        <v>115</v>
      </c>
      <c r="N936" s="12" t="s">
        <v>116</v>
      </c>
      <c r="O936" s="12" t="s">
        <v>36</v>
      </c>
      <c r="P936" s="12" t="s">
        <v>10</v>
      </c>
      <c r="Q936" s="7" t="str">
        <f t="shared" si="43"/>
        <v>(1975,5,'1975.02.01',12,20,29,38,40,0),</v>
      </c>
      <c r="R936" s="7" t="str">
        <f t="shared" si="45"/>
        <v>(1975,5,'1975.02.01',12,20,29,38,40),</v>
      </c>
    </row>
    <row r="937" spans="1:18" x14ac:dyDescent="0.25">
      <c r="A937" s="7" t="s">
        <v>5860</v>
      </c>
      <c r="B937" s="8" t="s">
        <v>270</v>
      </c>
      <c r="C937" s="10">
        <f t="shared" si="44"/>
        <v>27433</v>
      </c>
      <c r="D937" t="s">
        <v>11</v>
      </c>
      <c r="E937" t="s">
        <v>12</v>
      </c>
      <c r="F937" t="s">
        <v>11</v>
      </c>
      <c r="G937" t="s">
        <v>12</v>
      </c>
      <c r="H937" t="s">
        <v>11</v>
      </c>
      <c r="I937" t="s">
        <v>12</v>
      </c>
      <c r="J937" t="s">
        <v>11</v>
      </c>
      <c r="K937" t="s">
        <v>12</v>
      </c>
      <c r="L937" s="12" t="s">
        <v>90</v>
      </c>
      <c r="M937" s="12" t="s">
        <v>74</v>
      </c>
      <c r="N937" s="12" t="s">
        <v>36</v>
      </c>
      <c r="O937" s="12" t="s">
        <v>246</v>
      </c>
      <c r="P937" s="12" t="s">
        <v>308</v>
      </c>
      <c r="Q937" s="7" t="str">
        <f t="shared" si="43"/>
        <v>(1975,6,'1975.02.08',17,26,38,84,86,0),</v>
      </c>
      <c r="R937" s="7" t="str">
        <f t="shared" si="45"/>
        <v>(1975,6,'1975.02.08',17,26,38,84,86),</v>
      </c>
    </row>
    <row r="938" spans="1:18" x14ac:dyDescent="0.25">
      <c r="A938" s="7" t="s">
        <v>5860</v>
      </c>
      <c r="B938" s="8" t="s">
        <v>53</v>
      </c>
      <c r="C938" s="10">
        <f t="shared" si="44"/>
        <v>27440</v>
      </c>
      <c r="D938" t="s">
        <v>11</v>
      </c>
      <c r="E938" t="s">
        <v>12</v>
      </c>
      <c r="F938" t="s">
        <v>11</v>
      </c>
      <c r="G938" t="s">
        <v>12</v>
      </c>
      <c r="H938" t="s">
        <v>11</v>
      </c>
      <c r="I938" t="s">
        <v>12</v>
      </c>
      <c r="J938" t="s">
        <v>11</v>
      </c>
      <c r="K938" t="s">
        <v>12</v>
      </c>
      <c r="L938" s="12" t="s">
        <v>44</v>
      </c>
      <c r="M938" s="12" t="s">
        <v>46</v>
      </c>
      <c r="N938" s="12" t="s">
        <v>24</v>
      </c>
      <c r="O938" s="12" t="s">
        <v>134</v>
      </c>
      <c r="P938" s="12" t="s">
        <v>143</v>
      </c>
      <c r="Q938" s="7" t="str">
        <f t="shared" si="43"/>
        <v>(1975,7,'1975.02.15',21,37,39,56,77,0),</v>
      </c>
      <c r="R938" s="7" t="str">
        <f t="shared" si="45"/>
        <v>(1975,7,'1975.02.15',21,37,39,56,77),</v>
      </c>
    </row>
    <row r="939" spans="1:18" x14ac:dyDescent="0.25">
      <c r="A939" s="7" t="s">
        <v>5860</v>
      </c>
      <c r="B939" s="8" t="s">
        <v>232</v>
      </c>
      <c r="C939" s="10">
        <f t="shared" si="44"/>
        <v>27447</v>
      </c>
      <c r="D939" t="s">
        <v>11</v>
      </c>
      <c r="E939" t="s">
        <v>12</v>
      </c>
      <c r="F939" t="s">
        <v>11</v>
      </c>
      <c r="G939" t="s">
        <v>12</v>
      </c>
      <c r="H939" t="s">
        <v>11</v>
      </c>
      <c r="I939" t="s">
        <v>12</v>
      </c>
      <c r="J939" t="s">
        <v>11</v>
      </c>
      <c r="K939" t="s">
        <v>12</v>
      </c>
      <c r="L939" s="12" t="s">
        <v>108</v>
      </c>
      <c r="M939" s="12" t="s">
        <v>42</v>
      </c>
      <c r="N939" s="12" t="s">
        <v>83</v>
      </c>
      <c r="O939" s="12" t="s">
        <v>55</v>
      </c>
      <c r="P939" s="12" t="s">
        <v>246</v>
      </c>
      <c r="Q939" s="7" t="str">
        <f t="shared" si="43"/>
        <v>(1975,8,'1975.02.22',1,3,11,19,84,0),</v>
      </c>
      <c r="R939" s="7" t="str">
        <f t="shared" si="45"/>
        <v>(1975,8,'1975.02.22',1,3,11,19,84),</v>
      </c>
    </row>
    <row r="940" spans="1:18" x14ac:dyDescent="0.25">
      <c r="A940" s="7" t="s">
        <v>5860</v>
      </c>
      <c r="B940" s="8" t="s">
        <v>198</v>
      </c>
      <c r="C940" s="10">
        <f t="shared" si="44"/>
        <v>27454</v>
      </c>
      <c r="D940" t="s">
        <v>11</v>
      </c>
      <c r="E940" t="s">
        <v>12</v>
      </c>
      <c r="F940" t="s">
        <v>11</v>
      </c>
      <c r="G940" t="s">
        <v>12</v>
      </c>
      <c r="H940" t="s">
        <v>11</v>
      </c>
      <c r="I940" t="s">
        <v>12</v>
      </c>
      <c r="J940" t="s">
        <v>11</v>
      </c>
      <c r="K940" t="s">
        <v>12</v>
      </c>
      <c r="L940" s="12" t="s">
        <v>42</v>
      </c>
      <c r="M940" s="12" t="s">
        <v>127</v>
      </c>
      <c r="N940" s="12" t="s">
        <v>116</v>
      </c>
      <c r="O940" s="12" t="s">
        <v>20</v>
      </c>
      <c r="P940" s="12" t="s">
        <v>82</v>
      </c>
      <c r="Q940" s="7" t="str">
        <f t="shared" si="43"/>
        <v>(1975,9,'1975.03.01',3,14,29,33,59,0),</v>
      </c>
      <c r="R940" s="7" t="str">
        <f t="shared" si="45"/>
        <v>(1975,9,'1975.03.01',3,14,29,33,59),</v>
      </c>
    </row>
    <row r="941" spans="1:18" x14ac:dyDescent="0.25">
      <c r="A941" s="7" t="s">
        <v>5860</v>
      </c>
      <c r="B941" s="8" t="s">
        <v>62</v>
      </c>
      <c r="C941" s="10">
        <f t="shared" si="44"/>
        <v>27461</v>
      </c>
      <c r="D941" t="s">
        <v>11</v>
      </c>
      <c r="E941" t="s">
        <v>12</v>
      </c>
      <c r="F941" t="s">
        <v>11</v>
      </c>
      <c r="G941" t="s">
        <v>12</v>
      </c>
      <c r="H941" t="s">
        <v>11</v>
      </c>
      <c r="I941" t="s">
        <v>12</v>
      </c>
      <c r="J941" t="s">
        <v>11</v>
      </c>
      <c r="K941" t="s">
        <v>12</v>
      </c>
      <c r="L941" s="12" t="s">
        <v>62</v>
      </c>
      <c r="M941" s="12" t="s">
        <v>74</v>
      </c>
      <c r="N941" s="12" t="s">
        <v>142</v>
      </c>
      <c r="O941" s="12" t="s">
        <v>123</v>
      </c>
      <c r="P941" s="12" t="s">
        <v>239</v>
      </c>
      <c r="Q941" s="7" t="str">
        <f t="shared" si="43"/>
        <v>(1975,10,'1975.03.08',10,26,44,54,73,0),</v>
      </c>
      <c r="R941" s="7" t="str">
        <f t="shared" si="45"/>
        <v>(1975,10,'1975.03.08',10,26,44,54,73),</v>
      </c>
    </row>
    <row r="942" spans="1:18" x14ac:dyDescent="0.25">
      <c r="A942" s="7" t="s">
        <v>5860</v>
      </c>
      <c r="B942" s="8" t="s">
        <v>83</v>
      </c>
      <c r="C942" s="10">
        <f t="shared" si="44"/>
        <v>27468</v>
      </c>
      <c r="D942" t="s">
        <v>11</v>
      </c>
      <c r="E942" t="s">
        <v>12</v>
      </c>
      <c r="F942" t="s">
        <v>11</v>
      </c>
      <c r="G942" t="s">
        <v>12</v>
      </c>
      <c r="H942" t="s">
        <v>11</v>
      </c>
      <c r="I942" t="s">
        <v>12</v>
      </c>
      <c r="J942" t="s">
        <v>11</v>
      </c>
      <c r="K942" t="s">
        <v>12</v>
      </c>
      <c r="L942" s="12" t="s">
        <v>65</v>
      </c>
      <c r="M942" s="12" t="s">
        <v>13</v>
      </c>
      <c r="N942" s="12" t="s">
        <v>45</v>
      </c>
      <c r="O942" s="12" t="s">
        <v>468</v>
      </c>
      <c r="P942" s="12" t="s">
        <v>208</v>
      </c>
      <c r="Q942" s="7" t="str">
        <f t="shared" si="43"/>
        <v>(1975,11,'1975.03.15',13,41,43,85,88,0),</v>
      </c>
      <c r="R942" s="7" t="str">
        <f t="shared" si="45"/>
        <v>(1975,11,'1975.03.15',13,41,43,85,88),</v>
      </c>
    </row>
    <row r="943" spans="1:18" x14ac:dyDescent="0.25">
      <c r="A943" s="7" t="s">
        <v>5860</v>
      </c>
      <c r="B943" s="8" t="s">
        <v>31</v>
      </c>
      <c r="C943" s="10">
        <f t="shared" si="44"/>
        <v>27475</v>
      </c>
      <c r="D943" t="s">
        <v>11</v>
      </c>
      <c r="E943" t="s">
        <v>12</v>
      </c>
      <c r="F943" t="s">
        <v>11</v>
      </c>
      <c r="G943" t="s">
        <v>12</v>
      </c>
      <c r="H943" t="s">
        <v>11</v>
      </c>
      <c r="I943" t="s">
        <v>12</v>
      </c>
      <c r="J943" t="s">
        <v>11</v>
      </c>
      <c r="K943" t="s">
        <v>12</v>
      </c>
      <c r="L943" s="12" t="s">
        <v>115</v>
      </c>
      <c r="M943" s="12" t="s">
        <v>33</v>
      </c>
      <c r="N943" s="12" t="s">
        <v>46</v>
      </c>
      <c r="O943" s="12" t="s">
        <v>123</v>
      </c>
      <c r="P943" s="12" t="s">
        <v>186</v>
      </c>
      <c r="Q943" s="7" t="str">
        <f t="shared" si="43"/>
        <v>(1975,12,'1975.03.22',20,24,37,54,90,0),</v>
      </c>
      <c r="R943" s="7" t="str">
        <f t="shared" si="45"/>
        <v>(1975,12,'1975.03.22',20,24,37,54,90),</v>
      </c>
    </row>
    <row r="944" spans="1:18" x14ac:dyDescent="0.25">
      <c r="A944" s="7" t="s">
        <v>5860</v>
      </c>
      <c r="B944" s="8" t="s">
        <v>65</v>
      </c>
      <c r="C944" s="10">
        <f t="shared" si="44"/>
        <v>27482</v>
      </c>
      <c r="D944" t="s">
        <v>11</v>
      </c>
      <c r="E944" t="s">
        <v>12</v>
      </c>
      <c r="F944" t="s">
        <v>11</v>
      </c>
      <c r="G944" t="s">
        <v>12</v>
      </c>
      <c r="H944" t="s">
        <v>11</v>
      </c>
      <c r="I944" t="s">
        <v>12</v>
      </c>
      <c r="J944" t="s">
        <v>11</v>
      </c>
      <c r="K944" t="s">
        <v>12</v>
      </c>
      <c r="L944" s="12" t="s">
        <v>89</v>
      </c>
      <c r="M944" s="12" t="s">
        <v>44</v>
      </c>
      <c r="N944" s="12" t="s">
        <v>24</v>
      </c>
      <c r="O944" s="12" t="s">
        <v>91</v>
      </c>
      <c r="P944" s="12" t="s">
        <v>73</v>
      </c>
      <c r="Q944" s="7" t="str">
        <f t="shared" si="43"/>
        <v>(1975,13,'1975.03.29',5,21,39,61,76,0),</v>
      </c>
      <c r="R944" s="7" t="str">
        <f t="shared" si="45"/>
        <v>(1975,13,'1975.03.29',5,21,39,61,76),</v>
      </c>
    </row>
    <row r="945" spans="1:18" x14ac:dyDescent="0.25">
      <c r="A945" s="7" t="s">
        <v>5860</v>
      </c>
      <c r="B945" s="8" t="s">
        <v>127</v>
      </c>
      <c r="C945" s="10">
        <f t="shared" si="44"/>
        <v>27489</v>
      </c>
      <c r="D945" t="s">
        <v>11</v>
      </c>
      <c r="E945" t="s">
        <v>12</v>
      </c>
      <c r="F945" t="s">
        <v>11</v>
      </c>
      <c r="G945" t="s">
        <v>12</v>
      </c>
      <c r="H945" t="s">
        <v>11</v>
      </c>
      <c r="I945" t="s">
        <v>12</v>
      </c>
      <c r="J945" t="s">
        <v>11</v>
      </c>
      <c r="K945" t="s">
        <v>12</v>
      </c>
      <c r="L945" s="12" t="s">
        <v>168</v>
      </c>
      <c r="M945" s="12" t="s">
        <v>232</v>
      </c>
      <c r="N945" s="12" t="s">
        <v>20</v>
      </c>
      <c r="O945" s="12" t="s">
        <v>81</v>
      </c>
      <c r="P945" s="12" t="s">
        <v>246</v>
      </c>
      <c r="Q945" s="7" t="str">
        <f t="shared" si="43"/>
        <v>(1975,14,'1975.04.05',4,8,33,47,84,0),</v>
      </c>
      <c r="R945" s="7" t="str">
        <f t="shared" si="45"/>
        <v>(1975,14,'1975.04.05',4,8,33,47,84),</v>
      </c>
    </row>
    <row r="946" spans="1:18" x14ac:dyDescent="0.25">
      <c r="A946" s="7" t="s">
        <v>5860</v>
      </c>
      <c r="B946" s="8" t="s">
        <v>54</v>
      </c>
      <c r="C946" s="10">
        <f t="shared" si="44"/>
        <v>27496</v>
      </c>
      <c r="D946" t="s">
        <v>11</v>
      </c>
      <c r="E946" t="s">
        <v>12</v>
      </c>
      <c r="F946" t="s">
        <v>11</v>
      </c>
      <c r="G946" t="s">
        <v>12</v>
      </c>
      <c r="H946" t="s">
        <v>11</v>
      </c>
      <c r="I946" t="s">
        <v>12</v>
      </c>
      <c r="J946" t="s">
        <v>11</v>
      </c>
      <c r="K946" t="s">
        <v>12</v>
      </c>
      <c r="L946" s="12" t="s">
        <v>42</v>
      </c>
      <c r="M946" s="12" t="s">
        <v>134</v>
      </c>
      <c r="N946" s="12" t="s">
        <v>91</v>
      </c>
      <c r="O946" s="12" t="s">
        <v>468</v>
      </c>
      <c r="P946" s="12" t="s">
        <v>379</v>
      </c>
      <c r="Q946" s="7" t="str">
        <f t="shared" si="43"/>
        <v>(1975,15,'1975.04.12',3,56,61,85,89,0),</v>
      </c>
      <c r="R946" s="7" t="str">
        <f t="shared" si="45"/>
        <v>(1975,15,'1975.04.12',3,56,61,85,89),</v>
      </c>
    </row>
    <row r="947" spans="1:18" x14ac:dyDescent="0.25">
      <c r="A947" s="7" t="s">
        <v>5860</v>
      </c>
      <c r="B947" s="8" t="s">
        <v>43</v>
      </c>
      <c r="C947" s="10">
        <f t="shared" si="44"/>
        <v>27503</v>
      </c>
      <c r="D947" t="s">
        <v>11</v>
      </c>
      <c r="E947" t="s">
        <v>12</v>
      </c>
      <c r="F947" t="s">
        <v>11</v>
      </c>
      <c r="G947" t="s">
        <v>12</v>
      </c>
      <c r="H947" t="s">
        <v>11</v>
      </c>
      <c r="I947" t="s">
        <v>12</v>
      </c>
      <c r="J947" t="s">
        <v>11</v>
      </c>
      <c r="K947" t="s">
        <v>12</v>
      </c>
      <c r="L947" s="12" t="s">
        <v>168</v>
      </c>
      <c r="M947" s="12" t="s">
        <v>46</v>
      </c>
      <c r="N947" s="12" t="s">
        <v>124</v>
      </c>
      <c r="O947" s="12" t="s">
        <v>201</v>
      </c>
      <c r="P947" s="12" t="s">
        <v>468</v>
      </c>
      <c r="Q947" s="7" t="str">
        <f t="shared" si="43"/>
        <v>(1975,16,'1975.04.19',4,37,62,72,85,0),</v>
      </c>
      <c r="R947" s="7" t="str">
        <f t="shared" si="45"/>
        <v>(1975,16,'1975.04.19',4,37,62,72,85),</v>
      </c>
    </row>
    <row r="948" spans="1:18" x14ac:dyDescent="0.25">
      <c r="A948" s="7" t="s">
        <v>5860</v>
      </c>
      <c r="B948" s="8" t="s">
        <v>90</v>
      </c>
      <c r="C948" s="10">
        <f t="shared" si="44"/>
        <v>27510</v>
      </c>
      <c r="D948" t="s">
        <v>11</v>
      </c>
      <c r="E948" t="s">
        <v>12</v>
      </c>
      <c r="F948" t="s">
        <v>11</v>
      </c>
      <c r="G948" t="s">
        <v>12</v>
      </c>
      <c r="H948" t="s">
        <v>11</v>
      </c>
      <c r="I948" t="s">
        <v>12</v>
      </c>
      <c r="J948" t="s">
        <v>11</v>
      </c>
      <c r="K948" t="s">
        <v>12</v>
      </c>
      <c r="L948" s="12" t="s">
        <v>90</v>
      </c>
      <c r="M948" s="12" t="s">
        <v>32</v>
      </c>
      <c r="N948" s="12" t="s">
        <v>33</v>
      </c>
      <c r="O948" s="12" t="s">
        <v>116</v>
      </c>
      <c r="P948" s="12" t="s">
        <v>82</v>
      </c>
      <c r="Q948" s="7" t="str">
        <f t="shared" si="43"/>
        <v>(1975,17,'1975.04.26',17,22,24,29,59,0),</v>
      </c>
      <c r="R948" s="7" t="str">
        <f t="shared" si="45"/>
        <v>(1975,17,'1975.04.26',17,22,24,29,59),</v>
      </c>
    </row>
    <row r="949" spans="1:18" x14ac:dyDescent="0.25">
      <c r="A949" s="7" t="s">
        <v>5860</v>
      </c>
      <c r="B949" s="8" t="s">
        <v>19</v>
      </c>
      <c r="C949" s="10">
        <f t="shared" si="44"/>
        <v>27517</v>
      </c>
      <c r="D949" t="s">
        <v>11</v>
      </c>
      <c r="E949" t="s">
        <v>12</v>
      </c>
      <c r="F949" t="s">
        <v>11</v>
      </c>
      <c r="G949" t="s">
        <v>12</v>
      </c>
      <c r="H949" t="s">
        <v>11</v>
      </c>
      <c r="I949" t="s">
        <v>12</v>
      </c>
      <c r="J949" t="s">
        <v>11</v>
      </c>
      <c r="K949" t="s">
        <v>12</v>
      </c>
      <c r="L949" s="12" t="s">
        <v>168</v>
      </c>
      <c r="M949" s="12" t="s">
        <v>45</v>
      </c>
      <c r="N949" s="12" t="s">
        <v>105</v>
      </c>
      <c r="O949" s="12" t="s">
        <v>123</v>
      </c>
      <c r="P949" s="12" t="s">
        <v>35</v>
      </c>
      <c r="Q949" s="7" t="str">
        <f t="shared" si="43"/>
        <v>(1975,18,'1975.05.03',4,43,50,54,65,0),</v>
      </c>
      <c r="R949" s="7" t="str">
        <f t="shared" si="45"/>
        <v>(1975,18,'1975.05.03',4,43,50,54,65),</v>
      </c>
    </row>
    <row r="950" spans="1:18" x14ac:dyDescent="0.25">
      <c r="A950" s="7" t="s">
        <v>5860</v>
      </c>
      <c r="B950" s="8" t="s">
        <v>55</v>
      </c>
      <c r="C950" s="10">
        <f t="shared" si="44"/>
        <v>27524</v>
      </c>
      <c r="D950" t="s">
        <v>11</v>
      </c>
      <c r="E950" t="s">
        <v>12</v>
      </c>
      <c r="F950" t="s">
        <v>11</v>
      </c>
      <c r="G950" t="s">
        <v>12</v>
      </c>
      <c r="H950" t="s">
        <v>11</v>
      </c>
      <c r="I950" t="s">
        <v>12</v>
      </c>
      <c r="J950" t="s">
        <v>11</v>
      </c>
      <c r="K950" t="s">
        <v>12</v>
      </c>
      <c r="L950" s="12" t="s">
        <v>108</v>
      </c>
      <c r="M950" s="12" t="s">
        <v>54</v>
      </c>
      <c r="N950" s="12" t="s">
        <v>25</v>
      </c>
      <c r="O950" s="12" t="s">
        <v>21</v>
      </c>
      <c r="P950" s="12" t="s">
        <v>199</v>
      </c>
      <c r="Q950" s="7" t="str">
        <f t="shared" si="43"/>
        <v>(1975,19,'1975.05.10',1,15,34,36,53,0),</v>
      </c>
      <c r="R950" s="7" t="str">
        <f t="shared" si="45"/>
        <v>(1975,19,'1975.05.10',1,15,34,36,53),</v>
      </c>
    </row>
    <row r="951" spans="1:18" x14ac:dyDescent="0.25">
      <c r="A951" s="7" t="s">
        <v>5860</v>
      </c>
      <c r="B951" s="8" t="s">
        <v>115</v>
      </c>
      <c r="C951" s="10">
        <f t="shared" si="44"/>
        <v>27531</v>
      </c>
      <c r="D951" t="s">
        <v>11</v>
      </c>
      <c r="E951" t="s">
        <v>12</v>
      </c>
      <c r="F951" t="s">
        <v>11</v>
      </c>
      <c r="G951" t="s">
        <v>12</v>
      </c>
      <c r="H951" t="s">
        <v>11</v>
      </c>
      <c r="I951" t="s">
        <v>12</v>
      </c>
      <c r="J951" t="s">
        <v>11</v>
      </c>
      <c r="K951" t="s">
        <v>12</v>
      </c>
      <c r="L951" s="12" t="s">
        <v>89</v>
      </c>
      <c r="M951" s="12" t="s">
        <v>62</v>
      </c>
      <c r="N951" s="12" t="s">
        <v>46</v>
      </c>
      <c r="O951" s="12" t="s">
        <v>134</v>
      </c>
      <c r="P951" s="12" t="s">
        <v>56</v>
      </c>
      <c r="Q951" s="7" t="str">
        <f t="shared" si="43"/>
        <v>(1975,20,'1975.05.17',5,10,37,56,71,0),</v>
      </c>
      <c r="R951" s="7" t="str">
        <f t="shared" si="45"/>
        <v>(1975,20,'1975.05.17',5,10,37,56,71),</v>
      </c>
    </row>
    <row r="952" spans="1:18" x14ac:dyDescent="0.25">
      <c r="A952" s="7" t="s">
        <v>5860</v>
      </c>
      <c r="B952" s="8" t="s">
        <v>44</v>
      </c>
      <c r="C952" s="10">
        <f t="shared" si="44"/>
        <v>27538</v>
      </c>
      <c r="D952" t="s">
        <v>11</v>
      </c>
      <c r="E952" t="s">
        <v>12</v>
      </c>
      <c r="F952" t="s">
        <v>11</v>
      </c>
      <c r="G952" t="s">
        <v>12</v>
      </c>
      <c r="H952" t="s">
        <v>11</v>
      </c>
      <c r="I952" t="s">
        <v>12</v>
      </c>
      <c r="J952" t="s">
        <v>11</v>
      </c>
      <c r="K952" t="s">
        <v>12</v>
      </c>
      <c r="L952" s="12" t="s">
        <v>270</v>
      </c>
      <c r="M952" s="12" t="s">
        <v>25</v>
      </c>
      <c r="N952" s="12" t="s">
        <v>21</v>
      </c>
      <c r="O952" s="12" t="s">
        <v>72</v>
      </c>
      <c r="P952" s="12" t="s">
        <v>379</v>
      </c>
      <c r="Q952" s="7" t="str">
        <f t="shared" si="43"/>
        <v>(1975,21,'1975.05.24',6,34,36,67,89,0),</v>
      </c>
      <c r="R952" s="7" t="str">
        <f t="shared" si="45"/>
        <v>(1975,21,'1975.05.24',6,34,36,67,89),</v>
      </c>
    </row>
    <row r="953" spans="1:18" x14ac:dyDescent="0.25">
      <c r="A953" s="7" t="s">
        <v>5860</v>
      </c>
      <c r="B953" s="8" t="s">
        <v>32</v>
      </c>
      <c r="C953" s="10">
        <f t="shared" si="44"/>
        <v>27545</v>
      </c>
      <c r="D953" t="s">
        <v>11</v>
      </c>
      <c r="E953" t="s">
        <v>12</v>
      </c>
      <c r="F953" t="s">
        <v>11</v>
      </c>
      <c r="G953" t="s">
        <v>12</v>
      </c>
      <c r="H953" t="s">
        <v>11</v>
      </c>
      <c r="I953" t="s">
        <v>12</v>
      </c>
      <c r="J953" t="s">
        <v>11</v>
      </c>
      <c r="K953" t="s">
        <v>12</v>
      </c>
      <c r="L953" s="12" t="s">
        <v>31</v>
      </c>
      <c r="M953" s="12" t="s">
        <v>32</v>
      </c>
      <c r="N953" s="12" t="s">
        <v>105</v>
      </c>
      <c r="O953" s="12" t="s">
        <v>73</v>
      </c>
      <c r="P953" s="12" t="s">
        <v>468</v>
      </c>
      <c r="Q953" s="7" t="str">
        <f t="shared" si="43"/>
        <v>(1975,22,'1975.05.31',12,22,50,76,85,0),</v>
      </c>
      <c r="R953" s="7" t="str">
        <f t="shared" si="45"/>
        <v>(1975,22,'1975.05.31',12,22,50,76,85),</v>
      </c>
    </row>
    <row r="954" spans="1:18" x14ac:dyDescent="0.25">
      <c r="A954" s="7" t="s">
        <v>5860</v>
      </c>
      <c r="B954" s="8" t="s">
        <v>163</v>
      </c>
      <c r="C954" s="10">
        <f t="shared" si="44"/>
        <v>27552</v>
      </c>
      <c r="D954" t="s">
        <v>11</v>
      </c>
      <c r="E954" t="s">
        <v>12</v>
      </c>
      <c r="F954" t="s">
        <v>11</v>
      </c>
      <c r="G954" t="s">
        <v>12</v>
      </c>
      <c r="H954" t="s">
        <v>11</v>
      </c>
      <c r="I954" t="s">
        <v>12</v>
      </c>
      <c r="J954" t="s">
        <v>11</v>
      </c>
      <c r="K954" t="s">
        <v>12</v>
      </c>
      <c r="L954" s="12" t="s">
        <v>71</v>
      </c>
      <c r="M954" s="12" t="s">
        <v>175</v>
      </c>
      <c r="N954" s="12" t="s">
        <v>35</v>
      </c>
      <c r="O954" s="12" t="s">
        <v>47</v>
      </c>
      <c r="P954" s="12" t="s">
        <v>308</v>
      </c>
      <c r="Q954" s="7" t="str">
        <f t="shared" si="43"/>
        <v>(1975,23,'1975.06.07',31,55,65,69,86,0),</v>
      </c>
      <c r="R954" s="7" t="str">
        <f t="shared" si="45"/>
        <v>(1975,23,'1975.06.07',31,55,65,69,86),</v>
      </c>
    </row>
    <row r="955" spans="1:18" x14ac:dyDescent="0.25">
      <c r="A955" s="7" t="s">
        <v>5860</v>
      </c>
      <c r="B955" s="8" t="s">
        <v>33</v>
      </c>
      <c r="C955" s="10">
        <f t="shared" si="44"/>
        <v>27559</v>
      </c>
      <c r="D955" t="s">
        <v>11</v>
      </c>
      <c r="E955" t="s">
        <v>12</v>
      </c>
      <c r="F955" t="s">
        <v>11</v>
      </c>
      <c r="G955" t="s">
        <v>12</v>
      </c>
      <c r="H955" t="s">
        <v>11</v>
      </c>
      <c r="I955" t="s">
        <v>12</v>
      </c>
      <c r="J955" t="s">
        <v>11</v>
      </c>
      <c r="K955" t="s">
        <v>12</v>
      </c>
      <c r="L955" s="12" t="s">
        <v>64</v>
      </c>
      <c r="M955" s="12" t="s">
        <v>21</v>
      </c>
      <c r="N955" s="12" t="s">
        <v>99</v>
      </c>
      <c r="O955" s="12" t="s">
        <v>215</v>
      </c>
      <c r="P955" s="12" t="s">
        <v>308</v>
      </c>
      <c r="Q955" s="7" t="str">
        <f t="shared" si="43"/>
        <v>(1975,24,'1975.06.14',35,36,52,81,86,0),</v>
      </c>
      <c r="R955" s="7" t="str">
        <f t="shared" si="45"/>
        <v>(1975,24,'1975.06.14',35,36,52,81,86),</v>
      </c>
    </row>
    <row r="956" spans="1:18" x14ac:dyDescent="0.25">
      <c r="A956" s="7" t="s">
        <v>5860</v>
      </c>
      <c r="B956" s="8" t="s">
        <v>152</v>
      </c>
      <c r="C956" s="10">
        <f t="shared" si="44"/>
        <v>27566</v>
      </c>
      <c r="D956" t="s">
        <v>11</v>
      </c>
      <c r="E956" t="s">
        <v>12</v>
      </c>
      <c r="F956" t="s">
        <v>11</v>
      </c>
      <c r="G956" t="s">
        <v>12</v>
      </c>
      <c r="H956" t="s">
        <v>11</v>
      </c>
      <c r="I956" t="s">
        <v>12</v>
      </c>
      <c r="J956" t="s">
        <v>11</v>
      </c>
      <c r="K956" t="s">
        <v>12</v>
      </c>
      <c r="L956" s="12" t="s">
        <v>207</v>
      </c>
      <c r="M956" s="12" t="s">
        <v>232</v>
      </c>
      <c r="N956" s="12" t="s">
        <v>82</v>
      </c>
      <c r="O956" s="12" t="s">
        <v>248</v>
      </c>
      <c r="P956" s="12" t="s">
        <v>622</v>
      </c>
      <c r="Q956" s="7" t="str">
        <f t="shared" si="43"/>
        <v>(1975,25,'1975.06.21',2,8,59,63,82,0),</v>
      </c>
      <c r="R956" s="7" t="str">
        <f t="shared" si="45"/>
        <v>(1975,25,'1975.06.21',2,8,59,63,82),</v>
      </c>
    </row>
    <row r="957" spans="1:18" x14ac:dyDescent="0.25">
      <c r="A957" s="7" t="s">
        <v>5860</v>
      </c>
      <c r="B957" s="8" t="s">
        <v>74</v>
      </c>
      <c r="C957" s="10">
        <f t="shared" si="44"/>
        <v>27573</v>
      </c>
      <c r="D957" t="s">
        <v>11</v>
      </c>
      <c r="E957" t="s">
        <v>12</v>
      </c>
      <c r="F957" t="s">
        <v>11</v>
      </c>
      <c r="G957" t="s">
        <v>12</v>
      </c>
      <c r="H957" t="s">
        <v>11</v>
      </c>
      <c r="I957" t="s">
        <v>12</v>
      </c>
      <c r="J957" t="s">
        <v>11</v>
      </c>
      <c r="K957" t="s">
        <v>12</v>
      </c>
      <c r="L957" s="12" t="s">
        <v>90</v>
      </c>
      <c r="M957" s="12" t="s">
        <v>105</v>
      </c>
      <c r="N957" s="12" t="s">
        <v>169</v>
      </c>
      <c r="O957" s="12" t="s">
        <v>35</v>
      </c>
      <c r="P957" s="12" t="s">
        <v>246</v>
      </c>
      <c r="Q957" s="7" t="str">
        <f t="shared" si="43"/>
        <v>(1975,26,'1975.06.28',17,50,58,65,84,0),</v>
      </c>
      <c r="R957" s="7" t="str">
        <f t="shared" si="45"/>
        <v>(1975,26,'1975.06.28',17,50,58,65,84),</v>
      </c>
    </row>
    <row r="958" spans="1:18" x14ac:dyDescent="0.25">
      <c r="A958" s="7" t="s">
        <v>5860</v>
      </c>
      <c r="B958" s="8" t="s">
        <v>135</v>
      </c>
      <c r="C958" s="10">
        <f t="shared" si="44"/>
        <v>27580</v>
      </c>
      <c r="D958" t="s">
        <v>11</v>
      </c>
      <c r="E958" t="s">
        <v>12</v>
      </c>
      <c r="F958" t="s">
        <v>11</v>
      </c>
      <c r="G958" t="s">
        <v>12</v>
      </c>
      <c r="H958" t="s">
        <v>11</v>
      </c>
      <c r="I958" t="s">
        <v>12</v>
      </c>
      <c r="J958" t="s">
        <v>11</v>
      </c>
      <c r="K958" t="s">
        <v>12</v>
      </c>
      <c r="L958" s="12" t="s">
        <v>31</v>
      </c>
      <c r="M958" s="12" t="s">
        <v>43</v>
      </c>
      <c r="N958" s="12" t="s">
        <v>115</v>
      </c>
      <c r="O958" s="12" t="s">
        <v>46</v>
      </c>
      <c r="P958" s="12" t="s">
        <v>81</v>
      </c>
      <c r="Q958" s="7" t="str">
        <f t="shared" si="43"/>
        <v>(1975,27,'1975.07.05',12,16,20,37,47,0),</v>
      </c>
      <c r="R958" s="7" t="str">
        <f t="shared" si="45"/>
        <v>(1975,27,'1975.07.05',12,16,20,37,47),</v>
      </c>
    </row>
    <row r="959" spans="1:18" x14ac:dyDescent="0.25">
      <c r="A959" s="7" t="s">
        <v>5860</v>
      </c>
      <c r="B959" s="8" t="s">
        <v>126</v>
      </c>
      <c r="C959" s="10">
        <f t="shared" si="44"/>
        <v>27587</v>
      </c>
      <c r="D959" t="s">
        <v>11</v>
      </c>
      <c r="E959" t="s">
        <v>12</v>
      </c>
      <c r="F959" t="s">
        <v>11</v>
      </c>
      <c r="G959" t="s">
        <v>12</v>
      </c>
      <c r="H959" t="s">
        <v>11</v>
      </c>
      <c r="I959" t="s">
        <v>12</v>
      </c>
      <c r="J959" t="s">
        <v>11</v>
      </c>
      <c r="K959" t="s">
        <v>12</v>
      </c>
      <c r="L959" s="12" t="s">
        <v>33</v>
      </c>
      <c r="M959" s="12" t="s">
        <v>10</v>
      </c>
      <c r="N959" s="12" t="s">
        <v>98</v>
      </c>
      <c r="O959" s="12" t="s">
        <v>142</v>
      </c>
      <c r="P959" s="12" t="s">
        <v>56</v>
      </c>
      <c r="Q959" s="7" t="str">
        <f t="shared" si="43"/>
        <v>(1975,28,'1975.07.12',24,40,42,44,71,0),</v>
      </c>
      <c r="R959" s="7" t="str">
        <f t="shared" si="45"/>
        <v>(1975,28,'1975.07.12',24,40,42,44,71),</v>
      </c>
    </row>
    <row r="960" spans="1:18" x14ac:dyDescent="0.25">
      <c r="A960" s="7" t="s">
        <v>5860</v>
      </c>
      <c r="B960" s="8" t="s">
        <v>116</v>
      </c>
      <c r="C960" s="10">
        <f t="shared" si="44"/>
        <v>27594</v>
      </c>
      <c r="D960" t="s">
        <v>11</v>
      </c>
      <c r="E960" t="s">
        <v>12</v>
      </c>
      <c r="F960" t="s">
        <v>11</v>
      </c>
      <c r="G960" t="s">
        <v>12</v>
      </c>
      <c r="H960" t="s">
        <v>11</v>
      </c>
      <c r="I960" t="s">
        <v>12</v>
      </c>
      <c r="J960" t="s">
        <v>11</v>
      </c>
      <c r="K960" t="s">
        <v>12</v>
      </c>
      <c r="L960" s="12" t="s">
        <v>46</v>
      </c>
      <c r="M960" s="12" t="s">
        <v>45</v>
      </c>
      <c r="N960" s="12" t="s">
        <v>105</v>
      </c>
      <c r="O960" s="12" t="s">
        <v>200</v>
      </c>
      <c r="P960" s="12" t="s">
        <v>246</v>
      </c>
      <c r="Q960" s="7" t="str">
        <f t="shared" si="43"/>
        <v>(1975,29,'1975.07.19',37,43,50,70,84,0),</v>
      </c>
      <c r="R960" s="7" t="str">
        <f t="shared" si="45"/>
        <v>(1975,29,'1975.07.19',37,43,50,70,84),</v>
      </c>
    </row>
    <row r="961" spans="1:18" x14ac:dyDescent="0.25">
      <c r="A961" s="7" t="s">
        <v>5860</v>
      </c>
      <c r="B961" s="8" t="s">
        <v>107</v>
      </c>
      <c r="C961" s="10">
        <f t="shared" si="44"/>
        <v>27601</v>
      </c>
      <c r="D961" t="s">
        <v>11</v>
      </c>
      <c r="E961" t="s">
        <v>12</v>
      </c>
      <c r="F961" t="s">
        <v>11</v>
      </c>
      <c r="G961" t="s">
        <v>12</v>
      </c>
      <c r="H961" t="s">
        <v>11</v>
      </c>
      <c r="I961" t="s">
        <v>12</v>
      </c>
      <c r="J961" t="s">
        <v>11</v>
      </c>
      <c r="K961" t="s">
        <v>12</v>
      </c>
      <c r="L961" s="12" t="s">
        <v>62</v>
      </c>
      <c r="M961" s="12" t="s">
        <v>107</v>
      </c>
      <c r="N961" s="12" t="s">
        <v>98</v>
      </c>
      <c r="O961" s="12" t="s">
        <v>105</v>
      </c>
      <c r="P961" s="12" t="s">
        <v>122</v>
      </c>
      <c r="Q961" s="7" t="str">
        <f t="shared" si="43"/>
        <v>(1975,30,'1975.07.26',10,30,42,50,51,0),</v>
      </c>
      <c r="R961" s="7" t="str">
        <f t="shared" si="45"/>
        <v>(1975,30,'1975.07.26',10,30,42,50,51),</v>
      </c>
    </row>
    <row r="962" spans="1:18" x14ac:dyDescent="0.25">
      <c r="A962" s="7" t="s">
        <v>5860</v>
      </c>
      <c r="B962" s="8" t="s">
        <v>71</v>
      </c>
      <c r="C962" s="10">
        <f t="shared" si="44"/>
        <v>27608</v>
      </c>
      <c r="D962" t="s">
        <v>11</v>
      </c>
      <c r="E962" t="s">
        <v>12</v>
      </c>
      <c r="F962" t="s">
        <v>11</v>
      </c>
      <c r="G962" t="s">
        <v>12</v>
      </c>
      <c r="H962" t="s">
        <v>11</v>
      </c>
      <c r="I962" t="s">
        <v>12</v>
      </c>
      <c r="J962" t="s">
        <v>11</v>
      </c>
      <c r="K962" t="s">
        <v>12</v>
      </c>
      <c r="L962" s="12" t="s">
        <v>42</v>
      </c>
      <c r="M962" s="12" t="s">
        <v>163</v>
      </c>
      <c r="N962" s="12" t="s">
        <v>150</v>
      </c>
      <c r="O962" s="12" t="s">
        <v>169</v>
      </c>
      <c r="P962" s="12" t="s">
        <v>622</v>
      </c>
      <c r="Q962" s="7" t="str">
        <f t="shared" ref="Q962:Q1025" si="46">"("&amp;A962&amp;","&amp;B962&amp;",'"&amp;TEXT(C962,"éééé.hh.nn")&amp;"',"&amp;L962&amp;","&amp;M962&amp;","&amp;N962&amp;","&amp;O962&amp;","&amp;P962&amp;",0)"&amp;IF(P963&lt;&gt;0,",","")</f>
        <v>(1975,31,'1975.08.02',3,23,57,58,82,0),</v>
      </c>
      <c r="R962" s="7" t="str">
        <f t="shared" si="45"/>
        <v>(1975,31,'1975.08.02',3,23,57,58,82),</v>
      </c>
    </row>
    <row r="963" spans="1:18" x14ac:dyDescent="0.25">
      <c r="A963" s="7" t="s">
        <v>5860</v>
      </c>
      <c r="B963" s="8" t="s">
        <v>80</v>
      </c>
      <c r="C963" s="10">
        <f t="shared" ref="C963:C1026" si="47">+C962+7</f>
        <v>27615</v>
      </c>
      <c r="D963" t="s">
        <v>11</v>
      </c>
      <c r="E963" t="s">
        <v>12</v>
      </c>
      <c r="F963" t="s">
        <v>11</v>
      </c>
      <c r="G963" t="s">
        <v>12</v>
      </c>
      <c r="H963" t="s">
        <v>11</v>
      </c>
      <c r="I963" t="s">
        <v>12</v>
      </c>
      <c r="J963" t="s">
        <v>11</v>
      </c>
      <c r="K963" t="s">
        <v>12</v>
      </c>
      <c r="L963" s="12" t="s">
        <v>31</v>
      </c>
      <c r="M963" s="12" t="s">
        <v>54</v>
      </c>
      <c r="N963" s="12" t="s">
        <v>135</v>
      </c>
      <c r="O963" s="12" t="s">
        <v>10</v>
      </c>
      <c r="P963" s="12" t="s">
        <v>124</v>
      </c>
      <c r="Q963" s="7" t="str">
        <f t="shared" si="46"/>
        <v>(1975,32,'1975.08.09',12,15,27,40,62,0),</v>
      </c>
      <c r="R963" s="7" t="str">
        <f t="shared" ref="R963:R1026" si="48">IF(TRIM(P963)="","","("&amp;A963&amp;","&amp;B963&amp;",'"&amp;TEXT(C963,"éééé.hh.nn")&amp;"',"&amp;L963&amp;","&amp;M963&amp;","&amp;N963&amp;","&amp;O963&amp;","&amp;P963&amp;")"&amp;IF(P964=0,";",","))</f>
        <v>(1975,32,'1975.08.09',12,15,27,40,62),</v>
      </c>
    </row>
    <row r="964" spans="1:18" x14ac:dyDescent="0.25">
      <c r="A964" s="7" t="s">
        <v>5860</v>
      </c>
      <c r="B964" s="8" t="s">
        <v>20</v>
      </c>
      <c r="C964" s="10">
        <f t="shared" si="47"/>
        <v>27622</v>
      </c>
      <c r="D964" t="s">
        <v>11</v>
      </c>
      <c r="E964" t="s">
        <v>12</v>
      </c>
      <c r="F964" t="s">
        <v>11</v>
      </c>
      <c r="G964" t="s">
        <v>12</v>
      </c>
      <c r="H964" t="s">
        <v>11</v>
      </c>
      <c r="I964" t="s">
        <v>12</v>
      </c>
      <c r="J964" t="s">
        <v>11</v>
      </c>
      <c r="K964" t="s">
        <v>12</v>
      </c>
      <c r="L964" s="12" t="s">
        <v>65</v>
      </c>
      <c r="M964" s="12" t="s">
        <v>142</v>
      </c>
      <c r="N964" s="12" t="s">
        <v>81</v>
      </c>
      <c r="O964" s="12" t="s">
        <v>106</v>
      </c>
      <c r="P964" s="12" t="s">
        <v>308</v>
      </c>
      <c r="Q964" s="7" t="str">
        <f t="shared" si="46"/>
        <v>(1975,33,'1975.08.16',13,44,47,75,86,0),</v>
      </c>
      <c r="R964" s="7" t="str">
        <f t="shared" si="48"/>
        <v>(1975,33,'1975.08.16',13,44,47,75,86),</v>
      </c>
    </row>
    <row r="965" spans="1:18" x14ac:dyDescent="0.25">
      <c r="A965" s="7" t="s">
        <v>5860</v>
      </c>
      <c r="B965" s="8" t="s">
        <v>25</v>
      </c>
      <c r="C965" s="10">
        <f t="shared" si="47"/>
        <v>27629</v>
      </c>
      <c r="D965" t="s">
        <v>11</v>
      </c>
      <c r="E965" t="s">
        <v>12</v>
      </c>
      <c r="F965" t="s">
        <v>11</v>
      </c>
      <c r="G965" t="s">
        <v>12</v>
      </c>
      <c r="H965" t="s">
        <v>11</v>
      </c>
      <c r="I965" t="s">
        <v>12</v>
      </c>
      <c r="J965" t="s">
        <v>11</v>
      </c>
      <c r="K965" t="s">
        <v>12</v>
      </c>
      <c r="L965" s="12" t="s">
        <v>42</v>
      </c>
      <c r="M965" s="12" t="s">
        <v>31</v>
      </c>
      <c r="N965" s="12" t="s">
        <v>116</v>
      </c>
      <c r="O965" s="12" t="s">
        <v>105</v>
      </c>
      <c r="P965" s="12" t="s">
        <v>143</v>
      </c>
      <c r="Q965" s="7" t="str">
        <f t="shared" si="46"/>
        <v>(1975,34,'1975.08.23',3,12,29,50,77,0),</v>
      </c>
      <c r="R965" s="7" t="str">
        <f t="shared" si="48"/>
        <v>(1975,34,'1975.08.23',3,12,29,50,77),</v>
      </c>
    </row>
    <row r="966" spans="1:18" x14ac:dyDescent="0.25">
      <c r="A966" s="7" t="s">
        <v>5860</v>
      </c>
      <c r="B966" s="8" t="s">
        <v>64</v>
      </c>
      <c r="C966" s="10">
        <f t="shared" si="47"/>
        <v>27636</v>
      </c>
      <c r="D966" t="s">
        <v>11</v>
      </c>
      <c r="E966" t="s">
        <v>12</v>
      </c>
      <c r="F966" t="s">
        <v>11</v>
      </c>
      <c r="G966" t="s">
        <v>12</v>
      </c>
      <c r="H966" t="s">
        <v>11</v>
      </c>
      <c r="I966" t="s">
        <v>12</v>
      </c>
      <c r="J966" t="s">
        <v>11</v>
      </c>
      <c r="K966" t="s">
        <v>12</v>
      </c>
      <c r="L966" s="12" t="s">
        <v>232</v>
      </c>
      <c r="M966" s="12" t="s">
        <v>74</v>
      </c>
      <c r="N966" s="12" t="s">
        <v>24</v>
      </c>
      <c r="O966" s="12" t="s">
        <v>379</v>
      </c>
      <c r="P966" s="12" t="s">
        <v>186</v>
      </c>
      <c r="Q966" s="7" t="str">
        <f t="shared" si="46"/>
        <v>(1975,35,'1975.08.30',8,26,39,89,90,0),</v>
      </c>
      <c r="R966" s="7" t="str">
        <f t="shared" si="48"/>
        <v>(1975,35,'1975.08.30',8,26,39,89,90),</v>
      </c>
    </row>
    <row r="967" spans="1:18" x14ac:dyDescent="0.25">
      <c r="A967" s="7" t="s">
        <v>5860</v>
      </c>
      <c r="B967" s="8" t="s">
        <v>21</v>
      </c>
      <c r="C967" s="10">
        <f t="shared" si="47"/>
        <v>27643</v>
      </c>
      <c r="D967" t="s">
        <v>11</v>
      </c>
      <c r="E967" t="s">
        <v>12</v>
      </c>
      <c r="F967" t="s">
        <v>11</v>
      </c>
      <c r="G967" t="s">
        <v>12</v>
      </c>
      <c r="H967" t="s">
        <v>11</v>
      </c>
      <c r="I967" t="s">
        <v>12</v>
      </c>
      <c r="J967" t="s">
        <v>11</v>
      </c>
      <c r="K967" t="s">
        <v>12</v>
      </c>
      <c r="L967" s="12" t="s">
        <v>168</v>
      </c>
      <c r="M967" s="12" t="s">
        <v>65</v>
      </c>
      <c r="N967" s="12" t="s">
        <v>126</v>
      </c>
      <c r="O967" s="12" t="s">
        <v>201</v>
      </c>
      <c r="P967" s="12" t="s">
        <v>143</v>
      </c>
      <c r="Q967" s="7" t="str">
        <f t="shared" si="46"/>
        <v>(1975,36,'1975.09.06',4,13,28,72,77,0),</v>
      </c>
      <c r="R967" s="7" t="str">
        <f t="shared" si="48"/>
        <v>(1975,36,'1975.09.06',4,13,28,72,77),</v>
      </c>
    </row>
    <row r="968" spans="1:18" x14ac:dyDescent="0.25">
      <c r="A968" s="7" t="s">
        <v>5860</v>
      </c>
      <c r="B968" s="8" t="s">
        <v>46</v>
      </c>
      <c r="C968" s="10">
        <f t="shared" si="47"/>
        <v>27650</v>
      </c>
      <c r="D968" t="s">
        <v>11</v>
      </c>
      <c r="E968" t="s">
        <v>12</v>
      </c>
      <c r="F968" t="s">
        <v>11</v>
      </c>
      <c r="G968" t="s">
        <v>12</v>
      </c>
      <c r="H968" t="s">
        <v>11</v>
      </c>
      <c r="I968" t="s">
        <v>12</v>
      </c>
      <c r="J968" t="s">
        <v>11</v>
      </c>
      <c r="K968" t="s">
        <v>12</v>
      </c>
      <c r="L968" s="12" t="s">
        <v>135</v>
      </c>
      <c r="M968" s="12" t="s">
        <v>126</v>
      </c>
      <c r="N968" s="12" t="s">
        <v>192</v>
      </c>
      <c r="O968" s="12" t="s">
        <v>34</v>
      </c>
      <c r="P968" s="12" t="s">
        <v>239</v>
      </c>
      <c r="Q968" s="7" t="str">
        <f t="shared" si="46"/>
        <v>(1975,37,'1975.09.13',27,28,46,49,73,0),</v>
      </c>
      <c r="R968" s="7" t="str">
        <f t="shared" si="48"/>
        <v>(1975,37,'1975.09.13',27,28,46,49,73),</v>
      </c>
    </row>
    <row r="969" spans="1:18" x14ac:dyDescent="0.25">
      <c r="A969" s="7" t="s">
        <v>5860</v>
      </c>
      <c r="B969" s="8" t="s">
        <v>36</v>
      </c>
      <c r="C969" s="10">
        <f t="shared" si="47"/>
        <v>27657</v>
      </c>
      <c r="D969" t="s">
        <v>11</v>
      </c>
      <c r="E969" t="s">
        <v>12</v>
      </c>
      <c r="F969" t="s">
        <v>11</v>
      </c>
      <c r="G969" t="s">
        <v>12</v>
      </c>
      <c r="H969" t="s">
        <v>11</v>
      </c>
      <c r="I969" t="s">
        <v>12</v>
      </c>
      <c r="J969" t="s">
        <v>11</v>
      </c>
      <c r="K969" t="s">
        <v>12</v>
      </c>
      <c r="L969" s="12" t="s">
        <v>207</v>
      </c>
      <c r="M969" s="12" t="s">
        <v>34</v>
      </c>
      <c r="N969" s="12" t="s">
        <v>151</v>
      </c>
      <c r="O969" s="12" t="s">
        <v>215</v>
      </c>
      <c r="P969" s="12" t="s">
        <v>208</v>
      </c>
      <c r="Q969" s="7" t="str">
        <f t="shared" si="46"/>
        <v>(1975,38,'1975.09.20',2,49,79,81,88,0),</v>
      </c>
      <c r="R969" s="7" t="str">
        <f t="shared" si="48"/>
        <v>(1975,38,'1975.09.20',2,49,79,81,88),</v>
      </c>
    </row>
    <row r="970" spans="1:18" x14ac:dyDescent="0.25">
      <c r="A970" s="7" t="s">
        <v>5860</v>
      </c>
      <c r="B970" s="8" t="s">
        <v>24</v>
      </c>
      <c r="C970" s="10">
        <f t="shared" si="47"/>
        <v>27664</v>
      </c>
      <c r="D970" t="s">
        <v>11</v>
      </c>
      <c r="E970" t="s">
        <v>12</v>
      </c>
      <c r="F970" t="s">
        <v>11</v>
      </c>
      <c r="G970" t="s">
        <v>12</v>
      </c>
      <c r="H970" t="s">
        <v>11</v>
      </c>
      <c r="I970" t="s">
        <v>12</v>
      </c>
      <c r="J970" t="s">
        <v>11</v>
      </c>
      <c r="K970" t="s">
        <v>12</v>
      </c>
      <c r="L970" s="12" t="s">
        <v>43</v>
      </c>
      <c r="M970" s="12" t="s">
        <v>45</v>
      </c>
      <c r="N970" s="12" t="s">
        <v>123</v>
      </c>
      <c r="O970" s="12" t="s">
        <v>63</v>
      </c>
      <c r="P970" s="12" t="s">
        <v>151</v>
      </c>
      <c r="Q970" s="7" t="str">
        <f t="shared" si="46"/>
        <v>(1975,39,'1975.09.27',16,43,54,78,79,0),</v>
      </c>
      <c r="R970" s="7" t="str">
        <f t="shared" si="48"/>
        <v>(1975,39,'1975.09.27',16,43,54,78,79),</v>
      </c>
    </row>
    <row r="971" spans="1:18" x14ac:dyDescent="0.25">
      <c r="A971" s="7" t="s">
        <v>5860</v>
      </c>
      <c r="B971" s="8" t="s">
        <v>10</v>
      </c>
      <c r="C971" s="10">
        <f t="shared" si="47"/>
        <v>27671</v>
      </c>
      <c r="D971" t="s">
        <v>11</v>
      </c>
      <c r="E971" t="s">
        <v>12</v>
      </c>
      <c r="F971" t="s">
        <v>11</v>
      </c>
      <c r="G971" t="s">
        <v>12</v>
      </c>
      <c r="H971" t="s">
        <v>11</v>
      </c>
      <c r="I971" t="s">
        <v>12</v>
      </c>
      <c r="J971" t="s">
        <v>11</v>
      </c>
      <c r="K971" t="s">
        <v>12</v>
      </c>
      <c r="L971" s="12" t="s">
        <v>62</v>
      </c>
      <c r="M971" s="12" t="s">
        <v>31</v>
      </c>
      <c r="N971" s="12" t="s">
        <v>43</v>
      </c>
      <c r="O971" s="12" t="s">
        <v>23</v>
      </c>
      <c r="P971" s="12" t="s">
        <v>269</v>
      </c>
      <c r="Q971" s="7" t="str">
        <f t="shared" si="46"/>
        <v>(1975,40,'1975.10.04',10,12,16,60,87,0),</v>
      </c>
      <c r="R971" s="7" t="str">
        <f t="shared" si="48"/>
        <v>(1975,40,'1975.10.04',10,12,16,60,87),</v>
      </c>
    </row>
    <row r="972" spans="1:18" x14ac:dyDescent="0.25">
      <c r="A972" s="7" t="s">
        <v>5860</v>
      </c>
      <c r="B972" s="8" t="s">
        <v>13</v>
      </c>
      <c r="C972" s="10">
        <f t="shared" si="47"/>
        <v>27678</v>
      </c>
      <c r="D972" t="s">
        <v>11</v>
      </c>
      <c r="E972" t="s">
        <v>12</v>
      </c>
      <c r="F972" t="s">
        <v>11</v>
      </c>
      <c r="G972" t="s">
        <v>12</v>
      </c>
      <c r="H972" t="s">
        <v>11</v>
      </c>
      <c r="I972" t="s">
        <v>12</v>
      </c>
      <c r="J972" t="s">
        <v>11</v>
      </c>
      <c r="K972" t="s">
        <v>12</v>
      </c>
      <c r="L972" s="12" t="s">
        <v>19</v>
      </c>
      <c r="M972" s="12" t="s">
        <v>163</v>
      </c>
      <c r="N972" s="12" t="s">
        <v>10</v>
      </c>
      <c r="O972" s="12" t="s">
        <v>200</v>
      </c>
      <c r="P972" s="12" t="s">
        <v>73</v>
      </c>
      <c r="Q972" s="7" t="str">
        <f t="shared" si="46"/>
        <v>(1975,41,'1975.10.11',18,23,40,70,76,0),</v>
      </c>
      <c r="R972" s="7" t="str">
        <f t="shared" si="48"/>
        <v>(1975,41,'1975.10.11',18,23,40,70,76),</v>
      </c>
    </row>
    <row r="973" spans="1:18" x14ac:dyDescent="0.25">
      <c r="A973" s="7" t="s">
        <v>5860</v>
      </c>
      <c r="B973" s="8" t="s">
        <v>98</v>
      </c>
      <c r="C973" s="10">
        <f t="shared" si="47"/>
        <v>27685</v>
      </c>
      <c r="D973" t="s">
        <v>11</v>
      </c>
      <c r="E973" t="s">
        <v>12</v>
      </c>
      <c r="F973" t="s">
        <v>11</v>
      </c>
      <c r="G973" t="s">
        <v>12</v>
      </c>
      <c r="H973" t="s">
        <v>11</v>
      </c>
      <c r="I973" t="s">
        <v>12</v>
      </c>
      <c r="J973" t="s">
        <v>11</v>
      </c>
      <c r="K973" t="s">
        <v>12</v>
      </c>
      <c r="L973" s="12" t="s">
        <v>152</v>
      </c>
      <c r="M973" s="12" t="s">
        <v>45</v>
      </c>
      <c r="N973" s="12" t="s">
        <v>22</v>
      </c>
      <c r="O973" s="12" t="s">
        <v>91</v>
      </c>
      <c r="P973" s="12" t="s">
        <v>215</v>
      </c>
      <c r="Q973" s="7" t="str">
        <f t="shared" si="46"/>
        <v>(1975,42,'1975.10.18',25,43,48,61,81,0),</v>
      </c>
      <c r="R973" s="7" t="str">
        <f t="shared" si="48"/>
        <v>(1975,42,'1975.10.18',25,43,48,61,81),</v>
      </c>
    </row>
    <row r="974" spans="1:18" x14ac:dyDescent="0.25">
      <c r="A974" s="7" t="s">
        <v>5860</v>
      </c>
      <c r="B974" s="8" t="s">
        <v>45</v>
      </c>
      <c r="C974" s="10">
        <f t="shared" si="47"/>
        <v>27692</v>
      </c>
      <c r="D974" t="s">
        <v>11</v>
      </c>
      <c r="E974" t="s">
        <v>12</v>
      </c>
      <c r="F974" t="s">
        <v>11</v>
      </c>
      <c r="G974" t="s">
        <v>12</v>
      </c>
      <c r="H974" t="s">
        <v>11</v>
      </c>
      <c r="I974" t="s">
        <v>12</v>
      </c>
      <c r="J974" t="s">
        <v>11</v>
      </c>
      <c r="K974" t="s">
        <v>12</v>
      </c>
      <c r="L974" s="12" t="s">
        <v>207</v>
      </c>
      <c r="M974" s="12" t="s">
        <v>90</v>
      </c>
      <c r="N974" s="12" t="s">
        <v>116</v>
      </c>
      <c r="O974" s="12" t="s">
        <v>23</v>
      </c>
      <c r="P974" s="12" t="s">
        <v>56</v>
      </c>
      <c r="Q974" s="7" t="str">
        <f t="shared" si="46"/>
        <v>(1975,43,'1975.10.25',2,17,29,60,71,0),</v>
      </c>
      <c r="R974" s="7" t="str">
        <f t="shared" si="48"/>
        <v>(1975,43,'1975.10.25',2,17,29,60,71),</v>
      </c>
    </row>
    <row r="975" spans="1:18" x14ac:dyDescent="0.25">
      <c r="A975" s="7" t="s">
        <v>5860</v>
      </c>
      <c r="B975" s="8" t="s">
        <v>142</v>
      </c>
      <c r="C975" s="10">
        <f t="shared" si="47"/>
        <v>27699</v>
      </c>
      <c r="D975" t="s">
        <v>11</v>
      </c>
      <c r="E975" t="s">
        <v>12</v>
      </c>
      <c r="F975" t="s">
        <v>11</v>
      </c>
      <c r="G975" t="s">
        <v>12</v>
      </c>
      <c r="H975" t="s">
        <v>11</v>
      </c>
      <c r="I975" t="s">
        <v>12</v>
      </c>
      <c r="J975" t="s">
        <v>11</v>
      </c>
      <c r="K975" t="s">
        <v>12</v>
      </c>
      <c r="L975" s="12" t="s">
        <v>198</v>
      </c>
      <c r="M975" s="12" t="s">
        <v>83</v>
      </c>
      <c r="N975" s="12" t="s">
        <v>123</v>
      </c>
      <c r="O975" s="12" t="s">
        <v>201</v>
      </c>
      <c r="P975" s="12" t="s">
        <v>186</v>
      </c>
      <c r="Q975" s="7" t="str">
        <f t="shared" si="46"/>
        <v>(1975,44,'1975.11.01',9,11,54,72,90,0),</v>
      </c>
      <c r="R975" s="7" t="str">
        <f t="shared" si="48"/>
        <v>(1975,44,'1975.11.01',9,11,54,72,90),</v>
      </c>
    </row>
    <row r="976" spans="1:18" x14ac:dyDescent="0.25">
      <c r="A976" s="7" t="s">
        <v>5860</v>
      </c>
      <c r="B976" s="8" t="s">
        <v>133</v>
      </c>
      <c r="C976" s="10">
        <f t="shared" si="47"/>
        <v>27706</v>
      </c>
      <c r="D976" t="s">
        <v>11</v>
      </c>
      <c r="E976" t="s">
        <v>12</v>
      </c>
      <c r="F976" t="s">
        <v>11</v>
      </c>
      <c r="G976" t="s">
        <v>12</v>
      </c>
      <c r="H976" t="s">
        <v>11</v>
      </c>
      <c r="I976" t="s">
        <v>12</v>
      </c>
      <c r="J976" t="s">
        <v>11</v>
      </c>
      <c r="K976" t="s">
        <v>12</v>
      </c>
      <c r="L976" s="12" t="s">
        <v>20</v>
      </c>
      <c r="M976" s="12" t="s">
        <v>13</v>
      </c>
      <c r="N976" s="12" t="s">
        <v>133</v>
      </c>
      <c r="O976" s="12" t="s">
        <v>143</v>
      </c>
      <c r="P976" s="12" t="s">
        <v>125</v>
      </c>
      <c r="Q976" s="7" t="str">
        <f t="shared" si="46"/>
        <v>(1975,45,'1975.11.08',33,41,45,77,83,0),</v>
      </c>
      <c r="R976" s="7" t="str">
        <f t="shared" si="48"/>
        <v>(1975,45,'1975.11.08',33,41,45,77,83),</v>
      </c>
    </row>
    <row r="977" spans="1:18" x14ac:dyDescent="0.25">
      <c r="A977" s="7" t="s">
        <v>5860</v>
      </c>
      <c r="B977" s="8" t="s">
        <v>192</v>
      </c>
      <c r="C977" s="10">
        <f t="shared" si="47"/>
        <v>27713</v>
      </c>
      <c r="D977" t="s">
        <v>11</v>
      </c>
      <c r="E977" t="s">
        <v>12</v>
      </c>
      <c r="F977" t="s">
        <v>11</v>
      </c>
      <c r="G977" t="s">
        <v>12</v>
      </c>
      <c r="H977" t="s">
        <v>11</v>
      </c>
      <c r="I977" t="s">
        <v>12</v>
      </c>
      <c r="J977" t="s">
        <v>11</v>
      </c>
      <c r="K977" t="s">
        <v>12</v>
      </c>
      <c r="L977" s="12" t="s">
        <v>270</v>
      </c>
      <c r="M977" s="12" t="s">
        <v>13</v>
      </c>
      <c r="N977" s="12" t="s">
        <v>199</v>
      </c>
      <c r="O977" s="12" t="s">
        <v>233</v>
      </c>
      <c r="P977" s="12" t="s">
        <v>201</v>
      </c>
      <c r="Q977" s="7" t="str">
        <f t="shared" si="46"/>
        <v>(1975,46,'1975.11.15',6,41,53,66,72,0),</v>
      </c>
      <c r="R977" s="7" t="str">
        <f t="shared" si="48"/>
        <v>(1975,46,'1975.11.15',6,41,53,66,72),</v>
      </c>
    </row>
    <row r="978" spans="1:18" x14ac:dyDescent="0.25">
      <c r="A978" s="7" t="s">
        <v>5860</v>
      </c>
      <c r="B978" s="8" t="s">
        <v>81</v>
      </c>
      <c r="C978" s="10">
        <f t="shared" si="47"/>
        <v>27720</v>
      </c>
      <c r="D978" t="s">
        <v>11</v>
      </c>
      <c r="E978" t="s">
        <v>12</v>
      </c>
      <c r="F978" t="s">
        <v>11</v>
      </c>
      <c r="G978" t="s">
        <v>12</v>
      </c>
      <c r="H978" t="s">
        <v>11</v>
      </c>
      <c r="I978" t="s">
        <v>12</v>
      </c>
      <c r="J978" t="s">
        <v>11</v>
      </c>
      <c r="K978" t="s">
        <v>12</v>
      </c>
      <c r="L978" s="12" t="s">
        <v>168</v>
      </c>
      <c r="M978" s="12" t="s">
        <v>62</v>
      </c>
      <c r="N978" s="12" t="s">
        <v>126</v>
      </c>
      <c r="O978" s="12" t="s">
        <v>81</v>
      </c>
      <c r="P978" s="12" t="s">
        <v>143</v>
      </c>
      <c r="Q978" s="7" t="str">
        <f t="shared" si="46"/>
        <v>(1975,47,'1975.11.22',4,10,28,47,77,0),</v>
      </c>
      <c r="R978" s="7" t="str">
        <f t="shared" si="48"/>
        <v>(1975,47,'1975.11.22',4,10,28,47,77),</v>
      </c>
    </row>
    <row r="979" spans="1:18" x14ac:dyDescent="0.25">
      <c r="A979" s="7" t="s">
        <v>5860</v>
      </c>
      <c r="B979" s="8" t="s">
        <v>22</v>
      </c>
      <c r="C979" s="10">
        <f t="shared" si="47"/>
        <v>27727</v>
      </c>
      <c r="D979" t="s">
        <v>11</v>
      </c>
      <c r="E979" t="s">
        <v>12</v>
      </c>
      <c r="F979" t="s">
        <v>11</v>
      </c>
      <c r="G979" t="s">
        <v>12</v>
      </c>
      <c r="H979" t="s">
        <v>11</v>
      </c>
      <c r="I979" t="s">
        <v>12</v>
      </c>
      <c r="J979" t="s">
        <v>11</v>
      </c>
      <c r="K979" t="s">
        <v>12</v>
      </c>
      <c r="L979" s="12" t="s">
        <v>42</v>
      </c>
      <c r="M979" s="12" t="s">
        <v>55</v>
      </c>
      <c r="N979" s="12" t="s">
        <v>116</v>
      </c>
      <c r="O979" s="12" t="s">
        <v>34</v>
      </c>
      <c r="P979" s="12" t="s">
        <v>239</v>
      </c>
      <c r="Q979" s="7" t="str">
        <f t="shared" si="46"/>
        <v>(1975,48,'1975.11.29',3,19,29,49,73,0),</v>
      </c>
      <c r="R979" s="7" t="str">
        <f t="shared" si="48"/>
        <v>(1975,48,'1975.11.29',3,19,29,49,73),</v>
      </c>
    </row>
    <row r="980" spans="1:18" x14ac:dyDescent="0.25">
      <c r="A980" s="7" t="s">
        <v>5860</v>
      </c>
      <c r="B980" s="8" t="s">
        <v>34</v>
      </c>
      <c r="C980" s="10">
        <f t="shared" si="47"/>
        <v>27734</v>
      </c>
      <c r="D980" t="s">
        <v>11</v>
      </c>
      <c r="E980" t="s">
        <v>12</v>
      </c>
      <c r="F980" t="s">
        <v>11</v>
      </c>
      <c r="G980" t="s">
        <v>12</v>
      </c>
      <c r="H980" t="s">
        <v>11</v>
      </c>
      <c r="I980" t="s">
        <v>12</v>
      </c>
      <c r="J980" t="s">
        <v>11</v>
      </c>
      <c r="K980" t="s">
        <v>12</v>
      </c>
      <c r="L980" s="12" t="s">
        <v>270</v>
      </c>
      <c r="M980" s="12" t="s">
        <v>53</v>
      </c>
      <c r="N980" s="12" t="s">
        <v>198</v>
      </c>
      <c r="O980" s="12" t="s">
        <v>20</v>
      </c>
      <c r="P980" s="12" t="s">
        <v>208</v>
      </c>
      <c r="Q980" s="7" t="str">
        <f t="shared" si="46"/>
        <v>(1975,49,'1975.12.06',6,7,9,33,88,0),</v>
      </c>
      <c r="R980" s="7" t="str">
        <f t="shared" si="48"/>
        <v>(1975,49,'1975.12.06',6,7,9,33,88),</v>
      </c>
    </row>
    <row r="981" spans="1:18" x14ac:dyDescent="0.25">
      <c r="A981" s="7" t="s">
        <v>5860</v>
      </c>
      <c r="B981" s="8" t="s">
        <v>105</v>
      </c>
      <c r="C981" s="10">
        <f t="shared" si="47"/>
        <v>27741</v>
      </c>
      <c r="D981" t="s">
        <v>11</v>
      </c>
      <c r="E981" t="s">
        <v>12</v>
      </c>
      <c r="F981" t="s">
        <v>11</v>
      </c>
      <c r="G981" t="s">
        <v>12</v>
      </c>
      <c r="H981" t="s">
        <v>11</v>
      </c>
      <c r="I981" t="s">
        <v>12</v>
      </c>
      <c r="J981" t="s">
        <v>11</v>
      </c>
      <c r="K981" t="s">
        <v>12</v>
      </c>
      <c r="L981" s="12" t="s">
        <v>108</v>
      </c>
      <c r="M981" s="12" t="s">
        <v>198</v>
      </c>
      <c r="N981" s="12" t="s">
        <v>55</v>
      </c>
      <c r="O981" s="12" t="s">
        <v>163</v>
      </c>
      <c r="P981" s="12" t="s">
        <v>239</v>
      </c>
      <c r="Q981" s="7" t="str">
        <f t="shared" si="46"/>
        <v>(1975,50,'1975.12.13',1,9,19,23,73,0),</v>
      </c>
      <c r="R981" s="7" t="str">
        <f t="shared" si="48"/>
        <v>(1975,50,'1975.12.13',1,9,19,23,73),</v>
      </c>
    </row>
    <row r="982" spans="1:18" x14ac:dyDescent="0.25">
      <c r="A982" s="7" t="s">
        <v>5860</v>
      </c>
      <c r="B982" s="8" t="s">
        <v>122</v>
      </c>
      <c r="C982" s="10">
        <f t="shared" si="47"/>
        <v>27748</v>
      </c>
      <c r="D982" t="s">
        <v>11</v>
      </c>
      <c r="E982" t="s">
        <v>12</v>
      </c>
      <c r="F982" t="s">
        <v>11</v>
      </c>
      <c r="G982" t="s">
        <v>12</v>
      </c>
      <c r="H982" t="s">
        <v>11</v>
      </c>
      <c r="I982" t="s">
        <v>12</v>
      </c>
      <c r="J982" t="s">
        <v>11</v>
      </c>
      <c r="K982" t="s">
        <v>12</v>
      </c>
      <c r="L982" s="12" t="s">
        <v>44</v>
      </c>
      <c r="M982" s="12" t="s">
        <v>123</v>
      </c>
      <c r="N982" s="12" t="s">
        <v>622</v>
      </c>
      <c r="O982" s="12" t="s">
        <v>246</v>
      </c>
      <c r="P982" s="12" t="s">
        <v>186</v>
      </c>
      <c r="Q982" s="7" t="str">
        <f t="shared" si="46"/>
        <v>(1975,51,'1975.12.20',21,54,82,84,90,0),</v>
      </c>
      <c r="R982" s="7" t="str">
        <f t="shared" si="48"/>
        <v>(1975,51,'1975.12.20',21,54,82,84,90),</v>
      </c>
    </row>
    <row r="983" spans="1:18" x14ac:dyDescent="0.25">
      <c r="A983" s="7" t="s">
        <v>5860</v>
      </c>
      <c r="B983" s="8" t="s">
        <v>99</v>
      </c>
      <c r="C983" s="10">
        <f t="shared" si="47"/>
        <v>27755</v>
      </c>
      <c r="D983" t="s">
        <v>11</v>
      </c>
      <c r="E983" t="s">
        <v>12</v>
      </c>
      <c r="F983" t="s">
        <v>11</v>
      </c>
      <c r="G983" t="s">
        <v>12</v>
      </c>
      <c r="H983" t="s">
        <v>11</v>
      </c>
      <c r="I983" t="s">
        <v>12</v>
      </c>
      <c r="J983" t="s">
        <v>11</v>
      </c>
      <c r="K983" t="s">
        <v>12</v>
      </c>
      <c r="L983" s="12" t="s">
        <v>105</v>
      </c>
      <c r="M983" s="12" t="s">
        <v>199</v>
      </c>
      <c r="N983" s="12" t="s">
        <v>72</v>
      </c>
      <c r="O983" s="12" t="s">
        <v>208</v>
      </c>
      <c r="P983" s="12" t="s">
        <v>186</v>
      </c>
      <c r="Q983" s="7" t="str">
        <f t="shared" si="46"/>
        <v>(1975,52,'1975.12.27',50,53,67,88,90,0),</v>
      </c>
      <c r="R983" s="7" t="str">
        <f t="shared" si="48"/>
        <v>(1975,52,'1975.12.27',50,53,67,88,90),</v>
      </c>
    </row>
    <row r="984" spans="1:18" x14ac:dyDescent="0.25">
      <c r="A984" s="7" t="s">
        <v>5859</v>
      </c>
      <c r="B984" s="8" t="s">
        <v>108</v>
      </c>
      <c r="C984" s="10">
        <f t="shared" si="47"/>
        <v>27762</v>
      </c>
      <c r="D984" t="s">
        <v>11</v>
      </c>
      <c r="E984" t="s">
        <v>12</v>
      </c>
      <c r="F984" t="s">
        <v>11</v>
      </c>
      <c r="G984" t="s">
        <v>12</v>
      </c>
      <c r="H984" t="s">
        <v>11</v>
      </c>
      <c r="I984" t="s">
        <v>12</v>
      </c>
      <c r="J984" t="s">
        <v>11</v>
      </c>
      <c r="K984" t="s">
        <v>12</v>
      </c>
      <c r="L984" s="12" t="s">
        <v>98</v>
      </c>
      <c r="M984" s="12" t="s">
        <v>23</v>
      </c>
      <c r="N984" s="12" t="s">
        <v>124</v>
      </c>
      <c r="O984" s="12" t="s">
        <v>245</v>
      </c>
      <c r="P984" s="12" t="s">
        <v>379</v>
      </c>
      <c r="Q984" s="7" t="str">
        <f t="shared" si="46"/>
        <v>(1976,1,'1976.01.03',42,60,62,74,89,0),</v>
      </c>
      <c r="R984" s="7" t="str">
        <f t="shared" si="48"/>
        <v>(1976,1,'1976.01.03',42,60,62,74,89),</v>
      </c>
    </row>
    <row r="985" spans="1:18" x14ac:dyDescent="0.25">
      <c r="A985" s="7" t="s">
        <v>5859</v>
      </c>
      <c r="B985" s="8" t="s">
        <v>207</v>
      </c>
      <c r="C985" s="10">
        <f t="shared" si="47"/>
        <v>27769</v>
      </c>
      <c r="D985" t="s">
        <v>11</v>
      </c>
      <c r="E985" t="s">
        <v>12</v>
      </c>
      <c r="F985" t="s">
        <v>11</v>
      </c>
      <c r="G985" t="s">
        <v>12</v>
      </c>
      <c r="H985" t="s">
        <v>11</v>
      </c>
      <c r="I985" t="s">
        <v>12</v>
      </c>
      <c r="J985" t="s">
        <v>11</v>
      </c>
      <c r="K985" t="s">
        <v>12</v>
      </c>
      <c r="L985" s="12" t="s">
        <v>232</v>
      </c>
      <c r="M985" s="12" t="s">
        <v>83</v>
      </c>
      <c r="N985" s="12" t="s">
        <v>21</v>
      </c>
      <c r="O985" s="12" t="s">
        <v>24</v>
      </c>
      <c r="P985" s="12" t="s">
        <v>56</v>
      </c>
      <c r="Q985" s="7" t="str">
        <f t="shared" si="46"/>
        <v>(1976,2,'1976.01.10',8,11,36,39,71,0),</v>
      </c>
      <c r="R985" s="7" t="str">
        <f t="shared" si="48"/>
        <v>(1976,2,'1976.01.10',8,11,36,39,71),</v>
      </c>
    </row>
    <row r="986" spans="1:18" x14ac:dyDescent="0.25">
      <c r="A986" s="7" t="s">
        <v>5859</v>
      </c>
      <c r="B986" s="8" t="s">
        <v>42</v>
      </c>
      <c r="C986" s="10">
        <f t="shared" si="47"/>
        <v>27776</v>
      </c>
      <c r="D986" t="s">
        <v>11</v>
      </c>
      <c r="E986" t="s">
        <v>12</v>
      </c>
      <c r="F986" t="s">
        <v>11</v>
      </c>
      <c r="G986" t="s">
        <v>12</v>
      </c>
      <c r="H986" t="s">
        <v>11</v>
      </c>
      <c r="I986" t="s">
        <v>12</v>
      </c>
      <c r="J986" t="s">
        <v>11</v>
      </c>
      <c r="K986" t="s">
        <v>12</v>
      </c>
      <c r="L986" s="12" t="s">
        <v>127</v>
      </c>
      <c r="M986" s="12" t="s">
        <v>33</v>
      </c>
      <c r="N986" s="12" t="s">
        <v>98</v>
      </c>
      <c r="O986" s="12" t="s">
        <v>91</v>
      </c>
      <c r="P986" s="12" t="s">
        <v>143</v>
      </c>
      <c r="Q986" s="7" t="str">
        <f t="shared" si="46"/>
        <v>(1976,3,'1976.01.17',14,24,42,61,77,0),</v>
      </c>
      <c r="R986" s="7" t="str">
        <f t="shared" si="48"/>
        <v>(1976,3,'1976.01.17',14,24,42,61,77),</v>
      </c>
    </row>
    <row r="987" spans="1:18" x14ac:dyDescent="0.25">
      <c r="A987" s="7" t="s">
        <v>5859</v>
      </c>
      <c r="B987" s="8" t="s">
        <v>168</v>
      </c>
      <c r="C987" s="10">
        <f t="shared" si="47"/>
        <v>27783</v>
      </c>
      <c r="D987" t="s">
        <v>11</v>
      </c>
      <c r="E987" t="s">
        <v>12</v>
      </c>
      <c r="F987" t="s">
        <v>11</v>
      </c>
      <c r="G987" t="s">
        <v>12</v>
      </c>
      <c r="H987" t="s">
        <v>11</v>
      </c>
      <c r="I987" t="s">
        <v>12</v>
      </c>
      <c r="J987" t="s">
        <v>11</v>
      </c>
      <c r="K987" t="s">
        <v>12</v>
      </c>
      <c r="L987" s="12" t="s">
        <v>98</v>
      </c>
      <c r="M987" s="12" t="s">
        <v>123</v>
      </c>
      <c r="N987" s="12" t="s">
        <v>233</v>
      </c>
      <c r="O987" s="12" t="s">
        <v>106</v>
      </c>
      <c r="P987" s="12" t="s">
        <v>186</v>
      </c>
      <c r="Q987" s="7" t="str">
        <f t="shared" si="46"/>
        <v>(1976,4,'1976.01.24',42,54,66,75,90,0),</v>
      </c>
      <c r="R987" s="7" t="str">
        <f t="shared" si="48"/>
        <v>(1976,4,'1976.01.24',42,54,66,75,90),</v>
      </c>
    </row>
    <row r="988" spans="1:18" x14ac:dyDescent="0.25">
      <c r="A988" s="7" t="s">
        <v>5859</v>
      </c>
      <c r="B988" s="8" t="s">
        <v>89</v>
      </c>
      <c r="C988" s="10">
        <f t="shared" si="47"/>
        <v>27790</v>
      </c>
      <c r="D988" t="s">
        <v>11</v>
      </c>
      <c r="E988" t="s">
        <v>12</v>
      </c>
      <c r="F988" t="s">
        <v>11</v>
      </c>
      <c r="G988" t="s">
        <v>12</v>
      </c>
      <c r="H988" t="s">
        <v>11</v>
      </c>
      <c r="I988" t="s">
        <v>12</v>
      </c>
      <c r="J988" t="s">
        <v>11</v>
      </c>
      <c r="K988" t="s">
        <v>12</v>
      </c>
      <c r="L988" s="12" t="s">
        <v>198</v>
      </c>
      <c r="M988" s="12" t="s">
        <v>83</v>
      </c>
      <c r="N988" s="12" t="s">
        <v>21</v>
      </c>
      <c r="O988" s="12" t="s">
        <v>23</v>
      </c>
      <c r="P988" s="12" t="s">
        <v>468</v>
      </c>
      <c r="Q988" s="7" t="str">
        <f t="shared" si="46"/>
        <v>(1976,5,'1976.01.31',9,11,36,60,85,0),</v>
      </c>
      <c r="R988" s="7" t="str">
        <f t="shared" si="48"/>
        <v>(1976,5,'1976.01.31',9,11,36,60,85),</v>
      </c>
    </row>
    <row r="989" spans="1:18" x14ac:dyDescent="0.25">
      <c r="A989" s="7" t="s">
        <v>5859</v>
      </c>
      <c r="B989" s="8" t="s">
        <v>270</v>
      </c>
      <c r="C989" s="10">
        <f t="shared" si="47"/>
        <v>27797</v>
      </c>
      <c r="D989" t="s">
        <v>11</v>
      </c>
      <c r="E989" t="s">
        <v>12</v>
      </c>
      <c r="F989" t="s">
        <v>11</v>
      </c>
      <c r="G989" t="s">
        <v>12</v>
      </c>
      <c r="H989" t="s">
        <v>11</v>
      </c>
      <c r="I989" t="s">
        <v>12</v>
      </c>
      <c r="J989" t="s">
        <v>11</v>
      </c>
      <c r="K989" t="s">
        <v>12</v>
      </c>
      <c r="L989" s="12" t="s">
        <v>64</v>
      </c>
      <c r="M989" s="12" t="s">
        <v>45</v>
      </c>
      <c r="N989" s="12" t="s">
        <v>214</v>
      </c>
      <c r="O989" s="12" t="s">
        <v>125</v>
      </c>
      <c r="P989" s="12" t="s">
        <v>246</v>
      </c>
      <c r="Q989" s="7" t="str">
        <f t="shared" si="46"/>
        <v>(1976,6,'1976.02.07',35,43,64,83,84,0),</v>
      </c>
      <c r="R989" s="7" t="str">
        <f t="shared" si="48"/>
        <v>(1976,6,'1976.02.07',35,43,64,83,84),</v>
      </c>
    </row>
    <row r="990" spans="1:18" x14ac:dyDescent="0.25">
      <c r="A990" s="7" t="s">
        <v>5859</v>
      </c>
      <c r="B990" s="8" t="s">
        <v>53</v>
      </c>
      <c r="C990" s="10">
        <f t="shared" si="47"/>
        <v>27804</v>
      </c>
      <c r="D990" t="s">
        <v>11</v>
      </c>
      <c r="E990" t="s">
        <v>12</v>
      </c>
      <c r="F990" t="s">
        <v>11</v>
      </c>
      <c r="G990" t="s">
        <v>12</v>
      </c>
      <c r="H990" t="s">
        <v>11</v>
      </c>
      <c r="I990" t="s">
        <v>12</v>
      </c>
      <c r="J990" t="s">
        <v>11</v>
      </c>
      <c r="K990" t="s">
        <v>12</v>
      </c>
      <c r="L990" s="12" t="s">
        <v>53</v>
      </c>
      <c r="M990" s="12" t="s">
        <v>142</v>
      </c>
      <c r="N990" s="12" t="s">
        <v>175</v>
      </c>
      <c r="O990" s="12" t="s">
        <v>233</v>
      </c>
      <c r="P990" s="12" t="s">
        <v>208</v>
      </c>
      <c r="Q990" s="7" t="str">
        <f t="shared" si="46"/>
        <v>(1976,7,'1976.02.14',7,44,55,66,88,0),</v>
      </c>
      <c r="R990" s="7" t="str">
        <f t="shared" si="48"/>
        <v>(1976,7,'1976.02.14',7,44,55,66,88),</v>
      </c>
    </row>
    <row r="991" spans="1:18" x14ac:dyDescent="0.25">
      <c r="A991" s="7" t="s">
        <v>5859</v>
      </c>
      <c r="B991" s="8" t="s">
        <v>232</v>
      </c>
      <c r="C991" s="10">
        <f t="shared" si="47"/>
        <v>27811</v>
      </c>
      <c r="D991" t="s">
        <v>11</v>
      </c>
      <c r="E991" t="s">
        <v>12</v>
      </c>
      <c r="F991" t="s">
        <v>11</v>
      </c>
      <c r="G991" t="s">
        <v>12</v>
      </c>
      <c r="H991" t="s">
        <v>11</v>
      </c>
      <c r="I991" t="s">
        <v>12</v>
      </c>
      <c r="J991" t="s">
        <v>11</v>
      </c>
      <c r="K991" t="s">
        <v>12</v>
      </c>
      <c r="L991" s="12" t="s">
        <v>24</v>
      </c>
      <c r="M991" s="12" t="s">
        <v>175</v>
      </c>
      <c r="N991" s="12" t="s">
        <v>214</v>
      </c>
      <c r="O991" s="12" t="s">
        <v>468</v>
      </c>
      <c r="P991" s="12" t="s">
        <v>308</v>
      </c>
      <c r="Q991" s="7" t="str">
        <f t="shared" si="46"/>
        <v>(1976,8,'1976.02.21',39,55,64,85,86,0),</v>
      </c>
      <c r="R991" s="7" t="str">
        <f t="shared" si="48"/>
        <v>(1976,8,'1976.02.21',39,55,64,85,86),</v>
      </c>
    </row>
    <row r="992" spans="1:18" x14ac:dyDescent="0.25">
      <c r="A992" s="7" t="s">
        <v>5859</v>
      </c>
      <c r="B992" s="8" t="s">
        <v>198</v>
      </c>
      <c r="C992" s="10">
        <f t="shared" si="47"/>
        <v>27818</v>
      </c>
      <c r="D992" t="s">
        <v>11</v>
      </c>
      <c r="E992" t="s">
        <v>12</v>
      </c>
      <c r="F992" t="s">
        <v>11</v>
      </c>
      <c r="G992" t="s">
        <v>12</v>
      </c>
      <c r="H992" t="s">
        <v>11</v>
      </c>
      <c r="I992" t="s">
        <v>12</v>
      </c>
      <c r="J992" t="s">
        <v>11</v>
      </c>
      <c r="K992" t="s">
        <v>12</v>
      </c>
      <c r="L992" s="12" t="s">
        <v>99</v>
      </c>
      <c r="M992" s="12" t="s">
        <v>169</v>
      </c>
      <c r="N992" s="12" t="s">
        <v>23</v>
      </c>
      <c r="O992" s="12" t="s">
        <v>125</v>
      </c>
      <c r="P992" s="12" t="s">
        <v>269</v>
      </c>
      <c r="Q992" s="7" t="str">
        <f t="shared" si="46"/>
        <v>(1976,9,'1976.02.28',52,58,60,83,87,0),</v>
      </c>
      <c r="R992" s="7" t="str">
        <f t="shared" si="48"/>
        <v>(1976,9,'1976.02.28',52,58,60,83,87),</v>
      </c>
    </row>
    <row r="993" spans="1:18" x14ac:dyDescent="0.25">
      <c r="A993" s="7" t="s">
        <v>5859</v>
      </c>
      <c r="B993" s="8" t="s">
        <v>62</v>
      </c>
      <c r="C993" s="10">
        <f t="shared" si="47"/>
        <v>27825</v>
      </c>
      <c r="D993" t="s">
        <v>11</v>
      </c>
      <c r="E993" t="s">
        <v>12</v>
      </c>
      <c r="F993" t="s">
        <v>11</v>
      </c>
      <c r="G993" t="s">
        <v>12</v>
      </c>
      <c r="H993" t="s">
        <v>11</v>
      </c>
      <c r="I993" t="s">
        <v>12</v>
      </c>
      <c r="J993" t="s">
        <v>11</v>
      </c>
      <c r="K993" t="s">
        <v>12</v>
      </c>
      <c r="L993" s="12" t="s">
        <v>53</v>
      </c>
      <c r="M993" s="12" t="s">
        <v>74</v>
      </c>
      <c r="N993" s="12" t="s">
        <v>80</v>
      </c>
      <c r="O993" s="12" t="s">
        <v>215</v>
      </c>
      <c r="P993" s="12" t="s">
        <v>468</v>
      </c>
      <c r="Q993" s="7" t="str">
        <f t="shared" si="46"/>
        <v>(1976,10,'1976.03.06',7,26,32,81,85,0),</v>
      </c>
      <c r="R993" s="7" t="str">
        <f t="shared" si="48"/>
        <v>(1976,10,'1976.03.06',7,26,32,81,85),</v>
      </c>
    </row>
    <row r="994" spans="1:18" x14ac:dyDescent="0.25">
      <c r="A994" s="7" t="s">
        <v>5859</v>
      </c>
      <c r="B994" s="8" t="s">
        <v>83</v>
      </c>
      <c r="C994" s="10">
        <f t="shared" si="47"/>
        <v>27832</v>
      </c>
      <c r="D994" t="s">
        <v>11</v>
      </c>
      <c r="E994" t="s">
        <v>12</v>
      </c>
      <c r="F994" t="s">
        <v>11</v>
      </c>
      <c r="G994" t="s">
        <v>12</v>
      </c>
      <c r="H994" t="s">
        <v>11</v>
      </c>
      <c r="I994" t="s">
        <v>12</v>
      </c>
      <c r="J994" t="s">
        <v>11</v>
      </c>
      <c r="K994" t="s">
        <v>12</v>
      </c>
      <c r="L994" s="12" t="s">
        <v>270</v>
      </c>
      <c r="M994" s="12" t="s">
        <v>198</v>
      </c>
      <c r="N994" s="12" t="s">
        <v>44</v>
      </c>
      <c r="O994" s="12" t="s">
        <v>23</v>
      </c>
      <c r="P994" s="12" t="s">
        <v>106</v>
      </c>
      <c r="Q994" s="7" t="str">
        <f t="shared" si="46"/>
        <v>(1976,11,'1976.03.13',6,9,21,60,75,0),</v>
      </c>
      <c r="R994" s="7" t="str">
        <f t="shared" si="48"/>
        <v>(1976,11,'1976.03.13',6,9,21,60,75),</v>
      </c>
    </row>
    <row r="995" spans="1:18" x14ac:dyDescent="0.25">
      <c r="A995" s="7" t="s">
        <v>5859</v>
      </c>
      <c r="B995" s="8" t="s">
        <v>31</v>
      </c>
      <c r="C995" s="10">
        <f t="shared" si="47"/>
        <v>27839</v>
      </c>
      <c r="D995" t="s">
        <v>11</v>
      </c>
      <c r="E995" t="s">
        <v>12</v>
      </c>
      <c r="F995" t="s">
        <v>11</v>
      </c>
      <c r="G995" t="s">
        <v>12</v>
      </c>
      <c r="H995" t="s">
        <v>11</v>
      </c>
      <c r="I995" t="s">
        <v>12</v>
      </c>
      <c r="J995" t="s">
        <v>11</v>
      </c>
      <c r="K995" t="s">
        <v>12</v>
      </c>
      <c r="L995" s="12" t="s">
        <v>207</v>
      </c>
      <c r="M995" s="12" t="s">
        <v>44</v>
      </c>
      <c r="N995" s="12" t="s">
        <v>239</v>
      </c>
      <c r="O995" s="12" t="s">
        <v>245</v>
      </c>
      <c r="P995" s="12" t="s">
        <v>468</v>
      </c>
      <c r="Q995" s="7" t="str">
        <f t="shared" si="46"/>
        <v>(1976,12,'1976.03.20',2,21,73,74,85,0),</v>
      </c>
      <c r="R995" s="7" t="str">
        <f t="shared" si="48"/>
        <v>(1976,12,'1976.03.20',2,21,73,74,85),</v>
      </c>
    </row>
    <row r="996" spans="1:18" x14ac:dyDescent="0.25">
      <c r="A996" s="7" t="s">
        <v>5859</v>
      </c>
      <c r="B996" s="8" t="s">
        <v>65</v>
      </c>
      <c r="C996" s="10">
        <f t="shared" si="47"/>
        <v>27846</v>
      </c>
      <c r="D996" t="s">
        <v>11</v>
      </c>
      <c r="E996" t="s">
        <v>12</v>
      </c>
      <c r="F996" t="s">
        <v>11</v>
      </c>
      <c r="G996" t="s">
        <v>12</v>
      </c>
      <c r="H996" t="s">
        <v>11</v>
      </c>
      <c r="I996" t="s">
        <v>12</v>
      </c>
      <c r="J996" t="s">
        <v>11</v>
      </c>
      <c r="K996" t="s">
        <v>12</v>
      </c>
      <c r="L996" s="12" t="s">
        <v>20</v>
      </c>
      <c r="M996" s="12" t="s">
        <v>169</v>
      </c>
      <c r="N996" s="12" t="s">
        <v>214</v>
      </c>
      <c r="O996" s="12" t="s">
        <v>233</v>
      </c>
      <c r="P996" s="12" t="s">
        <v>143</v>
      </c>
      <c r="Q996" s="7" t="str">
        <f t="shared" si="46"/>
        <v>(1976,13,'1976.03.27',33,58,64,66,77,0),</v>
      </c>
      <c r="R996" s="7" t="str">
        <f t="shared" si="48"/>
        <v>(1976,13,'1976.03.27',33,58,64,66,77),</v>
      </c>
    </row>
    <row r="997" spans="1:18" x14ac:dyDescent="0.25">
      <c r="A997" s="7" t="s">
        <v>5859</v>
      </c>
      <c r="B997" s="8" t="s">
        <v>127</v>
      </c>
      <c r="C997" s="10">
        <f t="shared" si="47"/>
        <v>27853</v>
      </c>
      <c r="D997" t="s">
        <v>11</v>
      </c>
      <c r="E997" t="s">
        <v>12</v>
      </c>
      <c r="F997" t="s">
        <v>11</v>
      </c>
      <c r="G997" t="s">
        <v>12</v>
      </c>
      <c r="H997" t="s">
        <v>11</v>
      </c>
      <c r="I997" t="s">
        <v>12</v>
      </c>
      <c r="J997" t="s">
        <v>11</v>
      </c>
      <c r="K997" t="s">
        <v>12</v>
      </c>
      <c r="L997" s="12" t="s">
        <v>89</v>
      </c>
      <c r="M997" s="12" t="s">
        <v>163</v>
      </c>
      <c r="N997" s="12" t="s">
        <v>122</v>
      </c>
      <c r="O997" s="12" t="s">
        <v>63</v>
      </c>
      <c r="P997" s="12" t="s">
        <v>215</v>
      </c>
      <c r="Q997" s="7" t="str">
        <f t="shared" si="46"/>
        <v>(1976,14,'1976.04.03',5,23,51,78,81,0),</v>
      </c>
      <c r="R997" s="7" t="str">
        <f t="shared" si="48"/>
        <v>(1976,14,'1976.04.03',5,23,51,78,81),</v>
      </c>
    </row>
    <row r="998" spans="1:18" x14ac:dyDescent="0.25">
      <c r="A998" s="7" t="s">
        <v>5859</v>
      </c>
      <c r="B998" s="8" t="s">
        <v>54</v>
      </c>
      <c r="C998" s="10">
        <f t="shared" si="47"/>
        <v>27860</v>
      </c>
      <c r="D998" t="s">
        <v>11</v>
      </c>
      <c r="E998" t="s">
        <v>12</v>
      </c>
      <c r="F998" t="s">
        <v>11</v>
      </c>
      <c r="G998" t="s">
        <v>12</v>
      </c>
      <c r="H998" t="s">
        <v>11</v>
      </c>
      <c r="I998" t="s">
        <v>12</v>
      </c>
      <c r="J998" t="s">
        <v>11</v>
      </c>
      <c r="K998" t="s">
        <v>12</v>
      </c>
      <c r="L998" s="12" t="s">
        <v>270</v>
      </c>
      <c r="M998" s="12" t="s">
        <v>53</v>
      </c>
      <c r="N998" s="12" t="s">
        <v>62</v>
      </c>
      <c r="O998" s="12" t="s">
        <v>105</v>
      </c>
      <c r="P998" s="12" t="s">
        <v>200</v>
      </c>
      <c r="Q998" s="7" t="str">
        <f t="shared" si="46"/>
        <v>(1976,15,'1976.04.10',6,7,10,50,70,0),</v>
      </c>
      <c r="R998" s="7" t="str">
        <f t="shared" si="48"/>
        <v>(1976,15,'1976.04.10',6,7,10,50,70),</v>
      </c>
    </row>
    <row r="999" spans="1:18" x14ac:dyDescent="0.25">
      <c r="A999" s="7" t="s">
        <v>5859</v>
      </c>
      <c r="B999" s="8" t="s">
        <v>43</v>
      </c>
      <c r="C999" s="10">
        <f t="shared" si="47"/>
        <v>27867</v>
      </c>
      <c r="D999" t="s">
        <v>11</v>
      </c>
      <c r="E999" t="s">
        <v>12</v>
      </c>
      <c r="F999" t="s">
        <v>11</v>
      </c>
      <c r="G999" t="s">
        <v>12</v>
      </c>
      <c r="H999" t="s">
        <v>11</v>
      </c>
      <c r="I999" t="s">
        <v>12</v>
      </c>
      <c r="J999" t="s">
        <v>11</v>
      </c>
      <c r="K999" t="s">
        <v>12</v>
      </c>
      <c r="L999" s="12" t="s">
        <v>55</v>
      </c>
      <c r="M999" s="12" t="s">
        <v>80</v>
      </c>
      <c r="N999" s="12" t="s">
        <v>99</v>
      </c>
      <c r="O999" s="12" t="s">
        <v>201</v>
      </c>
      <c r="P999" s="12" t="s">
        <v>215</v>
      </c>
      <c r="Q999" s="7" t="str">
        <f t="shared" si="46"/>
        <v>(1976,16,'1976.04.17',19,32,52,72,81,0),</v>
      </c>
      <c r="R999" s="7" t="str">
        <f t="shared" si="48"/>
        <v>(1976,16,'1976.04.17',19,32,52,72,81),</v>
      </c>
    </row>
    <row r="1000" spans="1:18" x14ac:dyDescent="0.25">
      <c r="A1000" s="7" t="s">
        <v>5859</v>
      </c>
      <c r="B1000" s="8" t="s">
        <v>90</v>
      </c>
      <c r="C1000" s="10">
        <f t="shared" si="47"/>
        <v>27874</v>
      </c>
      <c r="D1000" t="s">
        <v>11</v>
      </c>
      <c r="E1000" t="s">
        <v>12</v>
      </c>
      <c r="F1000" t="s">
        <v>11</v>
      </c>
      <c r="G1000" t="s">
        <v>12</v>
      </c>
      <c r="H1000" t="s">
        <v>11</v>
      </c>
      <c r="I1000" t="s">
        <v>12</v>
      </c>
      <c r="J1000" t="s">
        <v>11</v>
      </c>
      <c r="K1000" t="s">
        <v>12</v>
      </c>
      <c r="L1000" s="12" t="s">
        <v>83</v>
      </c>
      <c r="M1000" s="12" t="s">
        <v>126</v>
      </c>
      <c r="N1000" s="12" t="s">
        <v>64</v>
      </c>
      <c r="O1000" s="12" t="s">
        <v>24</v>
      </c>
      <c r="P1000" s="12" t="s">
        <v>248</v>
      </c>
      <c r="Q1000" s="7" t="str">
        <f t="shared" si="46"/>
        <v>(1976,17,'1976.04.24',11,28,35,39,63,0),</v>
      </c>
      <c r="R1000" s="7" t="str">
        <f t="shared" si="48"/>
        <v>(1976,17,'1976.04.24',11,28,35,39,63),</v>
      </c>
    </row>
    <row r="1001" spans="1:18" x14ac:dyDescent="0.25">
      <c r="A1001" s="7" t="s">
        <v>5859</v>
      </c>
      <c r="B1001" s="8" t="s">
        <v>19</v>
      </c>
      <c r="C1001" s="10">
        <f t="shared" si="47"/>
        <v>27881</v>
      </c>
      <c r="D1001" t="s">
        <v>11</v>
      </c>
      <c r="E1001" t="s">
        <v>12</v>
      </c>
      <c r="F1001" t="s">
        <v>11</v>
      </c>
      <c r="G1001" t="s">
        <v>12</v>
      </c>
      <c r="H1001" t="s">
        <v>11</v>
      </c>
      <c r="I1001" t="s">
        <v>12</v>
      </c>
      <c r="J1001" t="s">
        <v>11</v>
      </c>
      <c r="K1001" t="s">
        <v>12</v>
      </c>
      <c r="L1001" s="12" t="s">
        <v>108</v>
      </c>
      <c r="M1001" s="12" t="s">
        <v>198</v>
      </c>
      <c r="N1001" s="12" t="s">
        <v>25</v>
      </c>
      <c r="O1001" s="12" t="s">
        <v>99</v>
      </c>
      <c r="P1001" s="12" t="s">
        <v>233</v>
      </c>
      <c r="Q1001" s="7" t="str">
        <f t="shared" si="46"/>
        <v>(1976,18,'1976.05.01',1,9,34,52,66,0),</v>
      </c>
      <c r="R1001" s="7" t="str">
        <f t="shared" si="48"/>
        <v>(1976,18,'1976.05.01',1,9,34,52,66),</v>
      </c>
    </row>
    <row r="1002" spans="1:18" x14ac:dyDescent="0.25">
      <c r="A1002" s="7" t="s">
        <v>5859</v>
      </c>
      <c r="B1002" s="8" t="s">
        <v>55</v>
      </c>
      <c r="C1002" s="10">
        <f t="shared" si="47"/>
        <v>27888</v>
      </c>
      <c r="D1002" t="s">
        <v>11</v>
      </c>
      <c r="E1002" t="s">
        <v>12</v>
      </c>
      <c r="F1002" t="s">
        <v>11</v>
      </c>
      <c r="G1002" t="s">
        <v>12</v>
      </c>
      <c r="H1002" t="s">
        <v>11</v>
      </c>
      <c r="I1002" t="s">
        <v>12</v>
      </c>
      <c r="J1002" t="s">
        <v>11</v>
      </c>
      <c r="K1002" t="s">
        <v>12</v>
      </c>
      <c r="L1002" s="12" t="s">
        <v>207</v>
      </c>
      <c r="M1002" s="12" t="s">
        <v>42</v>
      </c>
      <c r="N1002" s="12" t="s">
        <v>270</v>
      </c>
      <c r="O1002" s="12" t="s">
        <v>232</v>
      </c>
      <c r="P1002" s="12" t="s">
        <v>107</v>
      </c>
      <c r="Q1002" s="7" t="str">
        <f t="shared" si="46"/>
        <v>(1976,19,'1976.05.08',2,3,6,8,30,0),</v>
      </c>
      <c r="R1002" s="7" t="str">
        <f t="shared" si="48"/>
        <v>(1976,19,'1976.05.08',2,3,6,8,30),</v>
      </c>
    </row>
    <row r="1003" spans="1:18" x14ac:dyDescent="0.25">
      <c r="A1003" s="7" t="s">
        <v>5859</v>
      </c>
      <c r="B1003" s="8" t="s">
        <v>115</v>
      </c>
      <c r="C1003" s="10">
        <f t="shared" si="47"/>
        <v>27895</v>
      </c>
      <c r="D1003" t="s">
        <v>11</v>
      </c>
      <c r="E1003" t="s">
        <v>12</v>
      </c>
      <c r="F1003" t="s">
        <v>11</v>
      </c>
      <c r="G1003" t="s">
        <v>12</v>
      </c>
      <c r="H1003" t="s">
        <v>11</v>
      </c>
      <c r="I1003" t="s">
        <v>12</v>
      </c>
      <c r="J1003" t="s">
        <v>11</v>
      </c>
      <c r="K1003" t="s">
        <v>12</v>
      </c>
      <c r="L1003" s="12" t="s">
        <v>54</v>
      </c>
      <c r="M1003" s="12" t="s">
        <v>105</v>
      </c>
      <c r="N1003" s="12" t="s">
        <v>214</v>
      </c>
      <c r="O1003" s="12" t="s">
        <v>151</v>
      </c>
      <c r="P1003" s="12" t="s">
        <v>208</v>
      </c>
      <c r="Q1003" s="7" t="str">
        <f t="shared" si="46"/>
        <v>(1976,20,'1976.05.15',15,50,64,79,88,0),</v>
      </c>
      <c r="R1003" s="7" t="str">
        <f t="shared" si="48"/>
        <v>(1976,20,'1976.05.15',15,50,64,79,88),</v>
      </c>
    </row>
    <row r="1004" spans="1:18" x14ac:dyDescent="0.25">
      <c r="A1004" s="7" t="s">
        <v>5859</v>
      </c>
      <c r="B1004" s="8" t="s">
        <v>44</v>
      </c>
      <c r="C1004" s="10">
        <f t="shared" si="47"/>
        <v>27902</v>
      </c>
      <c r="D1004" t="s">
        <v>11</v>
      </c>
      <c r="E1004" t="s">
        <v>12</v>
      </c>
      <c r="F1004" t="s">
        <v>11</v>
      </c>
      <c r="G1004" t="s">
        <v>12</v>
      </c>
      <c r="H1004" t="s">
        <v>11</v>
      </c>
      <c r="I1004" t="s">
        <v>12</v>
      </c>
      <c r="J1004" t="s">
        <v>11</v>
      </c>
      <c r="K1004" t="s">
        <v>12</v>
      </c>
      <c r="L1004" s="12" t="s">
        <v>83</v>
      </c>
      <c r="M1004" s="12" t="s">
        <v>44</v>
      </c>
      <c r="N1004" s="12" t="s">
        <v>36</v>
      </c>
      <c r="O1004" s="12" t="s">
        <v>34</v>
      </c>
      <c r="P1004" s="12" t="s">
        <v>105</v>
      </c>
      <c r="Q1004" s="7" t="str">
        <f t="shared" si="46"/>
        <v>(1976,21,'1976.05.22',11,21,38,49,50,0),</v>
      </c>
      <c r="R1004" s="7" t="str">
        <f t="shared" si="48"/>
        <v>(1976,21,'1976.05.22',11,21,38,49,50),</v>
      </c>
    </row>
    <row r="1005" spans="1:18" x14ac:dyDescent="0.25">
      <c r="A1005" s="7" t="s">
        <v>5859</v>
      </c>
      <c r="B1005" s="8" t="s">
        <v>32</v>
      </c>
      <c r="C1005" s="10">
        <f t="shared" si="47"/>
        <v>27909</v>
      </c>
      <c r="D1005" t="s">
        <v>11</v>
      </c>
      <c r="E1005" t="s">
        <v>12</v>
      </c>
      <c r="F1005" t="s">
        <v>11</v>
      </c>
      <c r="G1005" t="s">
        <v>12</v>
      </c>
      <c r="H1005" t="s">
        <v>11</v>
      </c>
      <c r="I1005" t="s">
        <v>12</v>
      </c>
      <c r="J1005" t="s">
        <v>11</v>
      </c>
      <c r="K1005" t="s">
        <v>12</v>
      </c>
      <c r="L1005" s="12" t="s">
        <v>42</v>
      </c>
      <c r="M1005" s="12" t="s">
        <v>53</v>
      </c>
      <c r="N1005" s="12" t="s">
        <v>43</v>
      </c>
      <c r="O1005" s="12" t="s">
        <v>98</v>
      </c>
      <c r="P1005" s="12" t="s">
        <v>246</v>
      </c>
      <c r="Q1005" s="7" t="str">
        <f t="shared" si="46"/>
        <v>(1976,22,'1976.05.29',3,7,16,42,84,0),</v>
      </c>
      <c r="R1005" s="7" t="str">
        <f t="shared" si="48"/>
        <v>(1976,22,'1976.05.29',3,7,16,42,84),</v>
      </c>
    </row>
    <row r="1006" spans="1:18" x14ac:dyDescent="0.25">
      <c r="A1006" s="7" t="s">
        <v>5859</v>
      </c>
      <c r="B1006" s="8" t="s">
        <v>163</v>
      </c>
      <c r="C1006" s="10">
        <f t="shared" si="47"/>
        <v>27916</v>
      </c>
      <c r="D1006" t="s">
        <v>11</v>
      </c>
      <c r="E1006" t="s">
        <v>12</v>
      </c>
      <c r="F1006" t="s">
        <v>11</v>
      </c>
      <c r="G1006" t="s">
        <v>12</v>
      </c>
      <c r="H1006" t="s">
        <v>11</v>
      </c>
      <c r="I1006" t="s">
        <v>12</v>
      </c>
      <c r="J1006" t="s">
        <v>11</v>
      </c>
      <c r="K1006" t="s">
        <v>12</v>
      </c>
      <c r="L1006" s="12" t="s">
        <v>108</v>
      </c>
      <c r="M1006" s="12" t="s">
        <v>89</v>
      </c>
      <c r="N1006" s="12" t="s">
        <v>126</v>
      </c>
      <c r="O1006" s="12" t="s">
        <v>134</v>
      </c>
      <c r="P1006" s="12" t="s">
        <v>208</v>
      </c>
      <c r="Q1006" s="7" t="str">
        <f t="shared" si="46"/>
        <v>(1976,23,'1976.06.05',1,5,28,56,88,0),</v>
      </c>
      <c r="R1006" s="7" t="str">
        <f t="shared" si="48"/>
        <v>(1976,23,'1976.06.05',1,5,28,56,88),</v>
      </c>
    </row>
    <row r="1007" spans="1:18" x14ac:dyDescent="0.25">
      <c r="A1007" s="7" t="s">
        <v>5859</v>
      </c>
      <c r="B1007" s="8" t="s">
        <v>33</v>
      </c>
      <c r="C1007" s="10">
        <f t="shared" si="47"/>
        <v>27923</v>
      </c>
      <c r="D1007" t="s">
        <v>11</v>
      </c>
      <c r="E1007" t="s">
        <v>12</v>
      </c>
      <c r="F1007" t="s">
        <v>11</v>
      </c>
      <c r="G1007" t="s">
        <v>12</v>
      </c>
      <c r="H1007" t="s">
        <v>11</v>
      </c>
      <c r="I1007" t="s">
        <v>12</v>
      </c>
      <c r="J1007" t="s">
        <v>11</v>
      </c>
      <c r="K1007" t="s">
        <v>12</v>
      </c>
      <c r="L1007" s="12" t="s">
        <v>232</v>
      </c>
      <c r="M1007" s="12" t="s">
        <v>152</v>
      </c>
      <c r="N1007" s="12" t="s">
        <v>46</v>
      </c>
      <c r="O1007" s="12" t="s">
        <v>134</v>
      </c>
      <c r="P1007" s="12" t="s">
        <v>125</v>
      </c>
      <c r="Q1007" s="7" t="str">
        <f t="shared" si="46"/>
        <v>(1976,24,'1976.06.12',8,25,37,56,83,0),</v>
      </c>
      <c r="R1007" s="7" t="str">
        <f t="shared" si="48"/>
        <v>(1976,24,'1976.06.12',8,25,37,56,83),</v>
      </c>
    </row>
    <row r="1008" spans="1:18" x14ac:dyDescent="0.25">
      <c r="A1008" s="7" t="s">
        <v>5859</v>
      </c>
      <c r="B1008" s="8" t="s">
        <v>152</v>
      </c>
      <c r="C1008" s="10">
        <f t="shared" si="47"/>
        <v>27930</v>
      </c>
      <c r="D1008" t="s">
        <v>11</v>
      </c>
      <c r="E1008" t="s">
        <v>12</v>
      </c>
      <c r="F1008" t="s">
        <v>11</v>
      </c>
      <c r="G1008" t="s">
        <v>12</v>
      </c>
      <c r="H1008" t="s">
        <v>11</v>
      </c>
      <c r="I1008" t="s">
        <v>12</v>
      </c>
      <c r="J1008" t="s">
        <v>11</v>
      </c>
      <c r="K1008" t="s">
        <v>12</v>
      </c>
      <c r="L1008" s="12" t="s">
        <v>53</v>
      </c>
      <c r="M1008" s="12" t="s">
        <v>62</v>
      </c>
      <c r="N1008" s="12" t="s">
        <v>127</v>
      </c>
      <c r="O1008" s="12" t="s">
        <v>90</v>
      </c>
      <c r="P1008" s="12" t="s">
        <v>81</v>
      </c>
      <c r="Q1008" s="7" t="str">
        <f t="shared" si="46"/>
        <v>(1976,25,'1976.06.19',7,10,14,17,47,0),</v>
      </c>
      <c r="R1008" s="7" t="str">
        <f t="shared" si="48"/>
        <v>(1976,25,'1976.06.19',7,10,14,17,47),</v>
      </c>
    </row>
    <row r="1009" spans="1:18" x14ac:dyDescent="0.25">
      <c r="A1009" s="7" t="s">
        <v>5859</v>
      </c>
      <c r="B1009" s="8" t="s">
        <v>74</v>
      </c>
      <c r="C1009" s="10">
        <f t="shared" si="47"/>
        <v>27937</v>
      </c>
      <c r="D1009" t="s">
        <v>11</v>
      </c>
      <c r="E1009" t="s">
        <v>12</v>
      </c>
      <c r="F1009" t="s">
        <v>11</v>
      </c>
      <c r="G1009" t="s">
        <v>12</v>
      </c>
      <c r="H1009" t="s">
        <v>11</v>
      </c>
      <c r="I1009" t="s">
        <v>12</v>
      </c>
      <c r="J1009" t="s">
        <v>11</v>
      </c>
      <c r="K1009" t="s">
        <v>12</v>
      </c>
      <c r="L1009" s="12" t="s">
        <v>53</v>
      </c>
      <c r="M1009" s="12" t="s">
        <v>62</v>
      </c>
      <c r="N1009" s="12" t="s">
        <v>25</v>
      </c>
      <c r="O1009" s="12" t="s">
        <v>98</v>
      </c>
      <c r="P1009" s="12" t="s">
        <v>245</v>
      </c>
      <c r="Q1009" s="7" t="str">
        <f t="shared" si="46"/>
        <v>(1976,26,'1976.06.26',7,10,34,42,74,0),</v>
      </c>
      <c r="R1009" s="7" t="str">
        <f t="shared" si="48"/>
        <v>(1976,26,'1976.06.26',7,10,34,42,74),</v>
      </c>
    </row>
    <row r="1010" spans="1:18" x14ac:dyDescent="0.25">
      <c r="A1010" s="7" t="s">
        <v>5859</v>
      </c>
      <c r="B1010" s="8" t="s">
        <v>135</v>
      </c>
      <c r="C1010" s="10">
        <f t="shared" si="47"/>
        <v>27944</v>
      </c>
      <c r="D1010" t="s">
        <v>11</v>
      </c>
      <c r="E1010" t="s">
        <v>12</v>
      </c>
      <c r="F1010" t="s">
        <v>11</v>
      </c>
      <c r="G1010" t="s">
        <v>12</v>
      </c>
      <c r="H1010" t="s">
        <v>11</v>
      </c>
      <c r="I1010" t="s">
        <v>12</v>
      </c>
      <c r="J1010" t="s">
        <v>11</v>
      </c>
      <c r="K1010" t="s">
        <v>12</v>
      </c>
      <c r="L1010" s="12" t="s">
        <v>42</v>
      </c>
      <c r="M1010" s="12" t="s">
        <v>133</v>
      </c>
      <c r="N1010" s="12" t="s">
        <v>233</v>
      </c>
      <c r="O1010" s="12" t="s">
        <v>215</v>
      </c>
      <c r="P1010" s="12" t="s">
        <v>269</v>
      </c>
      <c r="Q1010" s="7" t="str">
        <f t="shared" si="46"/>
        <v>(1976,27,'1976.07.03',3,45,66,81,87,0),</v>
      </c>
      <c r="R1010" s="7" t="str">
        <f t="shared" si="48"/>
        <v>(1976,27,'1976.07.03',3,45,66,81,87),</v>
      </c>
    </row>
    <row r="1011" spans="1:18" x14ac:dyDescent="0.25">
      <c r="A1011" s="7" t="s">
        <v>5859</v>
      </c>
      <c r="B1011" s="8" t="s">
        <v>126</v>
      </c>
      <c r="C1011" s="10">
        <f t="shared" si="47"/>
        <v>27951</v>
      </c>
      <c r="D1011" t="s">
        <v>11</v>
      </c>
      <c r="E1011" t="s">
        <v>12</v>
      </c>
      <c r="F1011" t="s">
        <v>11</v>
      </c>
      <c r="G1011" t="s">
        <v>12</v>
      </c>
      <c r="H1011" t="s">
        <v>11</v>
      </c>
      <c r="I1011" t="s">
        <v>12</v>
      </c>
      <c r="J1011" t="s">
        <v>11</v>
      </c>
      <c r="K1011" t="s">
        <v>12</v>
      </c>
      <c r="L1011" s="12" t="s">
        <v>198</v>
      </c>
      <c r="M1011" s="12" t="s">
        <v>54</v>
      </c>
      <c r="N1011" s="12" t="s">
        <v>107</v>
      </c>
      <c r="O1011" s="12" t="s">
        <v>13</v>
      </c>
      <c r="P1011" s="12" t="s">
        <v>379</v>
      </c>
      <c r="Q1011" s="7" t="str">
        <f t="shared" si="46"/>
        <v>(1976,28,'1976.07.10',9,15,30,41,89,0),</v>
      </c>
      <c r="R1011" s="7" t="str">
        <f t="shared" si="48"/>
        <v>(1976,28,'1976.07.10',9,15,30,41,89),</v>
      </c>
    </row>
    <row r="1012" spans="1:18" x14ac:dyDescent="0.25">
      <c r="A1012" s="7" t="s">
        <v>5859</v>
      </c>
      <c r="B1012" s="8" t="s">
        <v>116</v>
      </c>
      <c r="C1012" s="10">
        <f t="shared" si="47"/>
        <v>27958</v>
      </c>
      <c r="D1012" t="s">
        <v>11</v>
      </c>
      <c r="E1012" t="s">
        <v>12</v>
      </c>
      <c r="F1012" t="s">
        <v>11</v>
      </c>
      <c r="G1012" t="s">
        <v>12</v>
      </c>
      <c r="H1012" t="s">
        <v>11</v>
      </c>
      <c r="I1012" t="s">
        <v>12</v>
      </c>
      <c r="J1012" t="s">
        <v>11</v>
      </c>
      <c r="K1012" t="s">
        <v>12</v>
      </c>
      <c r="L1012" s="12" t="s">
        <v>207</v>
      </c>
      <c r="M1012" s="12" t="s">
        <v>89</v>
      </c>
      <c r="N1012" s="12" t="s">
        <v>232</v>
      </c>
      <c r="O1012" s="12" t="s">
        <v>55</v>
      </c>
      <c r="P1012" s="12" t="s">
        <v>122</v>
      </c>
      <c r="Q1012" s="7" t="str">
        <f t="shared" si="46"/>
        <v>(1976,29,'1976.07.17',2,5,8,19,51,0),</v>
      </c>
      <c r="R1012" s="7" t="str">
        <f t="shared" si="48"/>
        <v>(1976,29,'1976.07.17',2,5,8,19,51),</v>
      </c>
    </row>
    <row r="1013" spans="1:18" x14ac:dyDescent="0.25">
      <c r="A1013" s="7" t="s">
        <v>5859</v>
      </c>
      <c r="B1013" s="8" t="s">
        <v>107</v>
      </c>
      <c r="C1013" s="10">
        <f t="shared" si="47"/>
        <v>27965</v>
      </c>
      <c r="D1013" t="s">
        <v>11</v>
      </c>
      <c r="E1013" t="s">
        <v>12</v>
      </c>
      <c r="F1013" t="s">
        <v>11</v>
      </c>
      <c r="G1013" t="s">
        <v>12</v>
      </c>
      <c r="H1013" t="s">
        <v>11</v>
      </c>
      <c r="I1013" t="s">
        <v>12</v>
      </c>
      <c r="J1013" t="s">
        <v>11</v>
      </c>
      <c r="K1013" t="s">
        <v>12</v>
      </c>
      <c r="L1013" s="12" t="s">
        <v>108</v>
      </c>
      <c r="M1013" s="12" t="s">
        <v>53</v>
      </c>
      <c r="N1013" s="12" t="s">
        <v>126</v>
      </c>
      <c r="O1013" s="12" t="s">
        <v>25</v>
      </c>
      <c r="P1013" s="12" t="s">
        <v>35</v>
      </c>
      <c r="Q1013" s="7" t="str">
        <f t="shared" si="46"/>
        <v>(1976,30,'1976.07.24',1,7,28,34,65,0),</v>
      </c>
      <c r="R1013" s="7" t="str">
        <f t="shared" si="48"/>
        <v>(1976,30,'1976.07.24',1,7,28,34,65),</v>
      </c>
    </row>
    <row r="1014" spans="1:18" x14ac:dyDescent="0.25">
      <c r="A1014" s="7" t="s">
        <v>5859</v>
      </c>
      <c r="B1014" s="8" t="s">
        <v>71</v>
      </c>
      <c r="C1014" s="10">
        <f t="shared" si="47"/>
        <v>27972</v>
      </c>
      <c r="D1014" t="s">
        <v>11</v>
      </c>
      <c r="E1014" t="s">
        <v>12</v>
      </c>
      <c r="F1014" t="s">
        <v>11</v>
      </c>
      <c r="G1014" t="s">
        <v>12</v>
      </c>
      <c r="H1014" t="s">
        <v>11</v>
      </c>
      <c r="I1014" t="s">
        <v>12</v>
      </c>
      <c r="J1014" t="s">
        <v>11</v>
      </c>
      <c r="K1014" t="s">
        <v>12</v>
      </c>
      <c r="L1014" s="12" t="s">
        <v>43</v>
      </c>
      <c r="M1014" s="12" t="s">
        <v>115</v>
      </c>
      <c r="N1014" s="12" t="s">
        <v>199</v>
      </c>
      <c r="O1014" s="12" t="s">
        <v>468</v>
      </c>
      <c r="P1014" s="12" t="s">
        <v>308</v>
      </c>
      <c r="Q1014" s="7" t="str">
        <f t="shared" si="46"/>
        <v>(1976,31,'1976.07.31',16,20,53,85,86,0),</v>
      </c>
      <c r="R1014" s="7" t="str">
        <f t="shared" si="48"/>
        <v>(1976,31,'1976.07.31',16,20,53,85,86),</v>
      </c>
    </row>
    <row r="1015" spans="1:18" x14ac:dyDescent="0.25">
      <c r="A1015" s="7" t="s">
        <v>5859</v>
      </c>
      <c r="B1015" s="8" t="s">
        <v>80</v>
      </c>
      <c r="C1015" s="10">
        <f t="shared" si="47"/>
        <v>27979</v>
      </c>
      <c r="D1015" t="s">
        <v>11</v>
      </c>
      <c r="E1015" t="s">
        <v>12</v>
      </c>
      <c r="F1015" t="s">
        <v>11</v>
      </c>
      <c r="G1015" t="s">
        <v>12</v>
      </c>
      <c r="H1015" t="s">
        <v>11</v>
      </c>
      <c r="I1015" t="s">
        <v>12</v>
      </c>
      <c r="J1015" t="s">
        <v>11</v>
      </c>
      <c r="K1015" t="s">
        <v>12</v>
      </c>
      <c r="L1015" s="12" t="s">
        <v>83</v>
      </c>
      <c r="M1015" s="12" t="s">
        <v>21</v>
      </c>
      <c r="N1015" s="12" t="s">
        <v>105</v>
      </c>
      <c r="O1015" s="12" t="s">
        <v>214</v>
      </c>
      <c r="P1015" s="12" t="s">
        <v>269</v>
      </c>
      <c r="Q1015" s="7" t="str">
        <f t="shared" si="46"/>
        <v>(1976,32,'1976.08.07',11,36,50,64,87,0),</v>
      </c>
      <c r="R1015" s="7" t="str">
        <f t="shared" si="48"/>
        <v>(1976,32,'1976.08.07',11,36,50,64,87),</v>
      </c>
    </row>
    <row r="1016" spans="1:18" x14ac:dyDescent="0.25">
      <c r="A1016" s="7" t="s">
        <v>5859</v>
      </c>
      <c r="B1016" s="8" t="s">
        <v>20</v>
      </c>
      <c r="C1016" s="10">
        <f t="shared" si="47"/>
        <v>27986</v>
      </c>
      <c r="D1016" t="s">
        <v>11</v>
      </c>
      <c r="E1016" t="s">
        <v>12</v>
      </c>
      <c r="F1016" t="s">
        <v>11</v>
      </c>
      <c r="G1016" t="s">
        <v>12</v>
      </c>
      <c r="H1016" t="s">
        <v>11</v>
      </c>
      <c r="I1016" t="s">
        <v>12</v>
      </c>
      <c r="J1016" t="s">
        <v>11</v>
      </c>
      <c r="K1016" t="s">
        <v>12</v>
      </c>
      <c r="L1016" s="12" t="s">
        <v>65</v>
      </c>
      <c r="M1016" s="12" t="s">
        <v>54</v>
      </c>
      <c r="N1016" s="12" t="s">
        <v>116</v>
      </c>
      <c r="O1016" s="12" t="s">
        <v>99</v>
      </c>
      <c r="P1016" s="12" t="s">
        <v>214</v>
      </c>
      <c r="Q1016" s="7" t="str">
        <f t="shared" si="46"/>
        <v>(1976,33,'1976.08.14',13,15,29,52,64,0),</v>
      </c>
      <c r="R1016" s="7" t="str">
        <f t="shared" si="48"/>
        <v>(1976,33,'1976.08.14',13,15,29,52,64),</v>
      </c>
    </row>
    <row r="1017" spans="1:18" x14ac:dyDescent="0.25">
      <c r="A1017" s="7" t="s">
        <v>5859</v>
      </c>
      <c r="B1017" s="8" t="s">
        <v>25</v>
      </c>
      <c r="C1017" s="10">
        <f t="shared" si="47"/>
        <v>27993</v>
      </c>
      <c r="D1017" t="s">
        <v>11</v>
      </c>
      <c r="E1017" t="s">
        <v>12</v>
      </c>
      <c r="F1017" t="s">
        <v>11</v>
      </c>
      <c r="G1017" t="s">
        <v>12</v>
      </c>
      <c r="H1017" t="s">
        <v>11</v>
      </c>
      <c r="I1017" t="s">
        <v>12</v>
      </c>
      <c r="J1017" t="s">
        <v>11</v>
      </c>
      <c r="K1017" t="s">
        <v>12</v>
      </c>
      <c r="L1017" s="12" t="s">
        <v>64</v>
      </c>
      <c r="M1017" s="12" t="s">
        <v>13</v>
      </c>
      <c r="N1017" s="12" t="s">
        <v>214</v>
      </c>
      <c r="O1017" s="12" t="s">
        <v>106</v>
      </c>
      <c r="P1017" s="12" t="s">
        <v>73</v>
      </c>
      <c r="Q1017" s="7" t="str">
        <f t="shared" si="46"/>
        <v>(1976,34,'1976.08.21',35,41,64,75,76,0),</v>
      </c>
      <c r="R1017" s="7" t="str">
        <f t="shared" si="48"/>
        <v>(1976,34,'1976.08.21',35,41,64,75,76),</v>
      </c>
    </row>
    <row r="1018" spans="1:18" x14ac:dyDescent="0.25">
      <c r="A1018" s="7" t="s">
        <v>5859</v>
      </c>
      <c r="B1018" s="8" t="s">
        <v>64</v>
      </c>
      <c r="C1018" s="10">
        <f t="shared" si="47"/>
        <v>28000</v>
      </c>
      <c r="D1018" t="s">
        <v>11</v>
      </c>
      <c r="E1018" t="s">
        <v>12</v>
      </c>
      <c r="F1018" t="s">
        <v>11</v>
      </c>
      <c r="G1018" t="s">
        <v>12</v>
      </c>
      <c r="H1018" t="s">
        <v>11</v>
      </c>
      <c r="I1018" t="s">
        <v>12</v>
      </c>
      <c r="J1018" t="s">
        <v>11</v>
      </c>
      <c r="K1018" t="s">
        <v>12</v>
      </c>
      <c r="L1018" s="12" t="s">
        <v>270</v>
      </c>
      <c r="M1018" s="12" t="s">
        <v>64</v>
      </c>
      <c r="N1018" s="12" t="s">
        <v>239</v>
      </c>
      <c r="O1018" s="12" t="s">
        <v>215</v>
      </c>
      <c r="P1018" s="12" t="s">
        <v>186</v>
      </c>
      <c r="Q1018" s="7" t="str">
        <f t="shared" si="46"/>
        <v>(1976,35,'1976.08.28',6,35,73,81,90,0),</v>
      </c>
      <c r="R1018" s="7" t="str">
        <f t="shared" si="48"/>
        <v>(1976,35,'1976.08.28',6,35,73,81,90),</v>
      </c>
    </row>
    <row r="1019" spans="1:18" x14ac:dyDescent="0.25">
      <c r="A1019" s="7" t="s">
        <v>5859</v>
      </c>
      <c r="B1019" s="8" t="s">
        <v>21</v>
      </c>
      <c r="C1019" s="10">
        <f t="shared" si="47"/>
        <v>28007</v>
      </c>
      <c r="D1019" t="s">
        <v>11</v>
      </c>
      <c r="E1019" t="s">
        <v>12</v>
      </c>
      <c r="F1019" t="s">
        <v>11</v>
      </c>
      <c r="G1019" t="s">
        <v>12</v>
      </c>
      <c r="H1019" t="s">
        <v>11</v>
      </c>
      <c r="I1019" t="s">
        <v>12</v>
      </c>
      <c r="J1019" t="s">
        <v>11</v>
      </c>
      <c r="K1019" t="s">
        <v>12</v>
      </c>
      <c r="L1019" s="12" t="s">
        <v>19</v>
      </c>
      <c r="M1019" s="12" t="s">
        <v>44</v>
      </c>
      <c r="N1019" s="12" t="s">
        <v>71</v>
      </c>
      <c r="O1019" s="12" t="s">
        <v>192</v>
      </c>
      <c r="P1019" s="12" t="s">
        <v>91</v>
      </c>
      <c r="Q1019" s="7" t="str">
        <f t="shared" si="46"/>
        <v>(1976,36,'1976.09.04',18,21,31,46,61,0),</v>
      </c>
      <c r="R1019" s="7" t="str">
        <f t="shared" si="48"/>
        <v>(1976,36,'1976.09.04',18,21,31,46,61),</v>
      </c>
    </row>
    <row r="1020" spans="1:18" x14ac:dyDescent="0.25">
      <c r="A1020" s="7" t="s">
        <v>5859</v>
      </c>
      <c r="B1020" s="8" t="s">
        <v>46</v>
      </c>
      <c r="C1020" s="10">
        <f t="shared" si="47"/>
        <v>28014</v>
      </c>
      <c r="D1020" t="s">
        <v>11</v>
      </c>
      <c r="E1020" t="s">
        <v>12</v>
      </c>
      <c r="F1020" t="s">
        <v>11</v>
      </c>
      <c r="G1020" t="s">
        <v>12</v>
      </c>
      <c r="H1020" t="s">
        <v>11</v>
      </c>
      <c r="I1020" t="s">
        <v>12</v>
      </c>
      <c r="J1020" t="s">
        <v>11</v>
      </c>
      <c r="K1020" t="s">
        <v>12</v>
      </c>
      <c r="L1020" s="12" t="s">
        <v>108</v>
      </c>
      <c r="M1020" s="12" t="s">
        <v>42</v>
      </c>
      <c r="N1020" s="12" t="s">
        <v>142</v>
      </c>
      <c r="O1020" s="12" t="s">
        <v>34</v>
      </c>
      <c r="P1020" s="12" t="s">
        <v>47</v>
      </c>
      <c r="Q1020" s="7" t="str">
        <f t="shared" si="46"/>
        <v>(1976,37,'1976.09.11',1,3,44,49,69,0),</v>
      </c>
      <c r="R1020" s="7" t="str">
        <f t="shared" si="48"/>
        <v>(1976,37,'1976.09.11',1,3,44,49,69),</v>
      </c>
    </row>
    <row r="1021" spans="1:18" x14ac:dyDescent="0.25">
      <c r="A1021" s="7" t="s">
        <v>5859</v>
      </c>
      <c r="B1021" s="8" t="s">
        <v>36</v>
      </c>
      <c r="C1021" s="10">
        <f t="shared" si="47"/>
        <v>28021</v>
      </c>
      <c r="D1021" t="s">
        <v>11</v>
      </c>
      <c r="E1021" t="s">
        <v>12</v>
      </c>
      <c r="F1021" t="s">
        <v>11</v>
      </c>
      <c r="G1021" t="s">
        <v>12</v>
      </c>
      <c r="H1021" t="s">
        <v>11</v>
      </c>
      <c r="I1021" t="s">
        <v>12</v>
      </c>
      <c r="J1021" t="s">
        <v>11</v>
      </c>
      <c r="K1021" t="s">
        <v>12</v>
      </c>
      <c r="L1021" s="12" t="s">
        <v>80</v>
      </c>
      <c r="M1021" s="12" t="s">
        <v>24</v>
      </c>
      <c r="N1021" s="12" t="s">
        <v>175</v>
      </c>
      <c r="O1021" s="12" t="s">
        <v>72</v>
      </c>
      <c r="P1021" s="12" t="s">
        <v>47</v>
      </c>
      <c r="Q1021" s="7" t="str">
        <f t="shared" si="46"/>
        <v>(1976,38,'1976.09.18',32,39,55,67,69,0),</v>
      </c>
      <c r="R1021" s="7" t="str">
        <f t="shared" si="48"/>
        <v>(1976,38,'1976.09.18',32,39,55,67,69),</v>
      </c>
    </row>
    <row r="1022" spans="1:18" x14ac:dyDescent="0.25">
      <c r="A1022" s="7" t="s">
        <v>5859</v>
      </c>
      <c r="B1022" s="8" t="s">
        <v>24</v>
      </c>
      <c r="C1022" s="10">
        <f t="shared" si="47"/>
        <v>28028</v>
      </c>
      <c r="D1022" t="s">
        <v>11</v>
      </c>
      <c r="E1022" t="s">
        <v>12</v>
      </c>
      <c r="F1022" t="s">
        <v>11</v>
      </c>
      <c r="G1022" t="s">
        <v>12</v>
      </c>
      <c r="H1022" t="s">
        <v>11</v>
      </c>
      <c r="I1022" t="s">
        <v>12</v>
      </c>
      <c r="J1022" t="s">
        <v>11</v>
      </c>
      <c r="K1022" t="s">
        <v>12</v>
      </c>
      <c r="L1022" s="12" t="s">
        <v>270</v>
      </c>
      <c r="M1022" s="12" t="s">
        <v>31</v>
      </c>
      <c r="N1022" s="12" t="s">
        <v>43</v>
      </c>
      <c r="O1022" s="12" t="s">
        <v>135</v>
      </c>
      <c r="P1022" s="12" t="s">
        <v>13</v>
      </c>
      <c r="Q1022" s="7" t="str">
        <f t="shared" si="46"/>
        <v>(1976,39,'1976.09.25',6,12,16,27,41,0),</v>
      </c>
      <c r="R1022" s="7" t="str">
        <f t="shared" si="48"/>
        <v>(1976,39,'1976.09.25',6,12,16,27,41),</v>
      </c>
    </row>
    <row r="1023" spans="1:18" x14ac:dyDescent="0.25">
      <c r="A1023" s="7" t="s">
        <v>5859</v>
      </c>
      <c r="B1023" s="8" t="s">
        <v>10</v>
      </c>
      <c r="C1023" s="10">
        <f t="shared" si="47"/>
        <v>28035</v>
      </c>
      <c r="D1023" t="s">
        <v>11</v>
      </c>
      <c r="E1023" t="s">
        <v>12</v>
      </c>
      <c r="F1023" t="s">
        <v>11</v>
      </c>
      <c r="G1023" t="s">
        <v>12</v>
      </c>
      <c r="H1023" t="s">
        <v>11</v>
      </c>
      <c r="I1023" t="s">
        <v>12</v>
      </c>
      <c r="J1023" t="s">
        <v>11</v>
      </c>
      <c r="K1023" t="s">
        <v>12</v>
      </c>
      <c r="L1023" s="12" t="s">
        <v>80</v>
      </c>
      <c r="M1023" s="12" t="s">
        <v>25</v>
      </c>
      <c r="N1023" s="12" t="s">
        <v>46</v>
      </c>
      <c r="O1023" s="12" t="s">
        <v>201</v>
      </c>
      <c r="P1023" s="12" t="s">
        <v>308</v>
      </c>
      <c r="Q1023" s="7" t="str">
        <f t="shared" si="46"/>
        <v>(1976,40,'1976.10.02',32,34,37,72,86,0),</v>
      </c>
      <c r="R1023" s="7" t="str">
        <f t="shared" si="48"/>
        <v>(1976,40,'1976.10.02',32,34,37,72,86),</v>
      </c>
    </row>
    <row r="1024" spans="1:18" x14ac:dyDescent="0.25">
      <c r="A1024" s="7" t="s">
        <v>5859</v>
      </c>
      <c r="B1024" s="8" t="s">
        <v>13</v>
      </c>
      <c r="C1024" s="10">
        <f t="shared" si="47"/>
        <v>28042</v>
      </c>
      <c r="D1024" t="s">
        <v>11</v>
      </c>
      <c r="E1024" t="s">
        <v>12</v>
      </c>
      <c r="F1024" t="s">
        <v>11</v>
      </c>
      <c r="G1024" t="s">
        <v>12</v>
      </c>
      <c r="H1024" t="s">
        <v>11</v>
      </c>
      <c r="I1024" t="s">
        <v>12</v>
      </c>
      <c r="J1024" t="s">
        <v>11</v>
      </c>
      <c r="K1024" t="s">
        <v>12</v>
      </c>
      <c r="L1024" s="12" t="s">
        <v>89</v>
      </c>
      <c r="M1024" s="12" t="s">
        <v>133</v>
      </c>
      <c r="N1024" s="12" t="s">
        <v>169</v>
      </c>
      <c r="O1024" s="12" t="s">
        <v>92</v>
      </c>
      <c r="P1024" s="12" t="s">
        <v>239</v>
      </c>
      <c r="Q1024" s="7" t="str">
        <f t="shared" si="46"/>
        <v>(1976,41,'1976.10.09',5,45,58,68,73,0),</v>
      </c>
      <c r="R1024" s="7" t="str">
        <f t="shared" si="48"/>
        <v>(1976,41,'1976.10.09',5,45,58,68,73),</v>
      </c>
    </row>
    <row r="1025" spans="1:18" x14ac:dyDescent="0.25">
      <c r="A1025" s="7" t="s">
        <v>5859</v>
      </c>
      <c r="B1025" s="8" t="s">
        <v>98</v>
      </c>
      <c r="C1025" s="10">
        <f t="shared" si="47"/>
        <v>28049</v>
      </c>
      <c r="D1025" t="s">
        <v>11</v>
      </c>
      <c r="E1025" t="s">
        <v>12</v>
      </c>
      <c r="F1025" t="s">
        <v>11</v>
      </c>
      <c r="G1025" t="s">
        <v>12</v>
      </c>
      <c r="H1025" t="s">
        <v>11</v>
      </c>
      <c r="I1025" t="s">
        <v>12</v>
      </c>
      <c r="J1025" t="s">
        <v>11</v>
      </c>
      <c r="K1025" t="s">
        <v>12</v>
      </c>
      <c r="L1025" s="12" t="s">
        <v>90</v>
      </c>
      <c r="M1025" s="12" t="s">
        <v>115</v>
      </c>
      <c r="N1025" s="12" t="s">
        <v>99</v>
      </c>
      <c r="O1025" s="12" t="s">
        <v>175</v>
      </c>
      <c r="P1025" s="12" t="s">
        <v>35</v>
      </c>
      <c r="Q1025" s="7" t="str">
        <f t="shared" si="46"/>
        <v>(1976,42,'1976.10.16',17,20,52,55,65,0),</v>
      </c>
      <c r="R1025" s="7" t="str">
        <f t="shared" si="48"/>
        <v>(1976,42,'1976.10.16',17,20,52,55,65),</v>
      </c>
    </row>
    <row r="1026" spans="1:18" x14ac:dyDescent="0.25">
      <c r="A1026" s="7" t="s">
        <v>5859</v>
      </c>
      <c r="B1026" s="8" t="s">
        <v>45</v>
      </c>
      <c r="C1026" s="10">
        <f t="shared" si="47"/>
        <v>28056</v>
      </c>
      <c r="D1026" t="s">
        <v>11</v>
      </c>
      <c r="E1026" t="s">
        <v>12</v>
      </c>
      <c r="F1026" t="s">
        <v>11</v>
      </c>
      <c r="G1026" t="s">
        <v>12</v>
      </c>
      <c r="H1026" t="s">
        <v>11</v>
      </c>
      <c r="I1026" t="s">
        <v>12</v>
      </c>
      <c r="J1026" t="s">
        <v>11</v>
      </c>
      <c r="K1026" t="s">
        <v>12</v>
      </c>
      <c r="L1026" s="12" t="s">
        <v>42</v>
      </c>
      <c r="M1026" s="12" t="s">
        <v>31</v>
      </c>
      <c r="N1026" s="12" t="s">
        <v>115</v>
      </c>
      <c r="O1026" s="12" t="s">
        <v>116</v>
      </c>
      <c r="P1026" s="12" t="s">
        <v>21</v>
      </c>
      <c r="Q1026" s="7" t="str">
        <f t="shared" ref="Q1026:Q1089" si="49">"("&amp;A1026&amp;","&amp;B1026&amp;",'"&amp;TEXT(C1026,"éééé.hh.nn")&amp;"',"&amp;L1026&amp;","&amp;M1026&amp;","&amp;N1026&amp;","&amp;O1026&amp;","&amp;P1026&amp;",0)"&amp;IF(P1027&lt;&gt;0,",","")</f>
        <v>(1976,43,'1976.10.23',3,12,20,29,36,0),</v>
      </c>
      <c r="R1026" s="7" t="str">
        <f t="shared" si="48"/>
        <v>(1976,43,'1976.10.23',3,12,20,29,36),</v>
      </c>
    </row>
    <row r="1027" spans="1:18" x14ac:dyDescent="0.25">
      <c r="A1027" s="7" t="s">
        <v>5859</v>
      </c>
      <c r="B1027" s="8" t="s">
        <v>142</v>
      </c>
      <c r="C1027" s="10">
        <f t="shared" ref="C1027:C1090" si="50">+C1026+7</f>
        <v>28063</v>
      </c>
      <c r="D1027" t="s">
        <v>11</v>
      </c>
      <c r="E1027" t="s">
        <v>12</v>
      </c>
      <c r="F1027" t="s">
        <v>11</v>
      </c>
      <c r="G1027" t="s">
        <v>12</v>
      </c>
      <c r="H1027" t="s">
        <v>11</v>
      </c>
      <c r="I1027" t="s">
        <v>12</v>
      </c>
      <c r="J1027" t="s">
        <v>11</v>
      </c>
      <c r="K1027" t="s">
        <v>12</v>
      </c>
      <c r="L1027" s="12" t="s">
        <v>163</v>
      </c>
      <c r="M1027" s="12" t="s">
        <v>82</v>
      </c>
      <c r="N1027" s="12" t="s">
        <v>248</v>
      </c>
      <c r="O1027" s="12" t="s">
        <v>215</v>
      </c>
      <c r="P1027" s="12" t="s">
        <v>379</v>
      </c>
      <c r="Q1027" s="7" t="str">
        <f t="shared" si="49"/>
        <v>(1976,44,'1976.10.30',23,59,63,81,89,0),</v>
      </c>
      <c r="R1027" s="7" t="str">
        <f t="shared" ref="R1027:R1090" si="51">IF(TRIM(P1027)="","","("&amp;A1027&amp;","&amp;B1027&amp;",'"&amp;TEXT(C1027,"éééé.hh.nn")&amp;"',"&amp;L1027&amp;","&amp;M1027&amp;","&amp;N1027&amp;","&amp;O1027&amp;","&amp;P1027&amp;")"&amp;IF(P1028=0,";",","))</f>
        <v>(1976,44,'1976.10.30',23,59,63,81,89),</v>
      </c>
    </row>
    <row r="1028" spans="1:18" x14ac:dyDescent="0.25">
      <c r="A1028" s="7" t="s">
        <v>5859</v>
      </c>
      <c r="B1028" s="8" t="s">
        <v>133</v>
      </c>
      <c r="C1028" s="10">
        <f t="shared" si="50"/>
        <v>28070</v>
      </c>
      <c r="D1028" t="s">
        <v>11</v>
      </c>
      <c r="E1028" t="s">
        <v>12</v>
      </c>
      <c r="F1028" t="s">
        <v>11</v>
      </c>
      <c r="G1028" t="s">
        <v>12</v>
      </c>
      <c r="H1028" t="s">
        <v>11</v>
      </c>
      <c r="I1028" t="s">
        <v>12</v>
      </c>
      <c r="J1028" t="s">
        <v>11</v>
      </c>
      <c r="K1028" t="s">
        <v>12</v>
      </c>
      <c r="L1028" s="12" t="s">
        <v>62</v>
      </c>
      <c r="M1028" s="12" t="s">
        <v>33</v>
      </c>
      <c r="N1028" s="12" t="s">
        <v>45</v>
      </c>
      <c r="O1028" s="12" t="s">
        <v>105</v>
      </c>
      <c r="P1028" s="12" t="s">
        <v>246</v>
      </c>
      <c r="Q1028" s="7" t="str">
        <f t="shared" si="49"/>
        <v>(1976,45,'1976.11.06',10,24,43,50,84,0),</v>
      </c>
      <c r="R1028" s="7" t="str">
        <f t="shared" si="51"/>
        <v>(1976,45,'1976.11.06',10,24,43,50,84),</v>
      </c>
    </row>
    <row r="1029" spans="1:18" x14ac:dyDescent="0.25">
      <c r="A1029" s="7" t="s">
        <v>5859</v>
      </c>
      <c r="B1029" s="8" t="s">
        <v>192</v>
      </c>
      <c r="C1029" s="10">
        <f t="shared" si="50"/>
        <v>28077</v>
      </c>
      <c r="D1029" t="s">
        <v>11</v>
      </c>
      <c r="E1029" t="s">
        <v>12</v>
      </c>
      <c r="F1029" t="s">
        <v>11</v>
      </c>
      <c r="G1029" t="s">
        <v>12</v>
      </c>
      <c r="H1029" t="s">
        <v>11</v>
      </c>
      <c r="I1029" t="s">
        <v>12</v>
      </c>
      <c r="J1029" t="s">
        <v>11</v>
      </c>
      <c r="K1029" t="s">
        <v>12</v>
      </c>
      <c r="L1029" s="12" t="s">
        <v>22</v>
      </c>
      <c r="M1029" s="12" t="s">
        <v>122</v>
      </c>
      <c r="N1029" s="12" t="s">
        <v>175</v>
      </c>
      <c r="O1029" s="12" t="s">
        <v>215</v>
      </c>
      <c r="P1029" s="12" t="s">
        <v>208</v>
      </c>
      <c r="Q1029" s="7" t="str">
        <f t="shared" si="49"/>
        <v>(1976,46,'1976.11.13',48,51,55,81,88,0),</v>
      </c>
      <c r="R1029" s="7" t="str">
        <f t="shared" si="51"/>
        <v>(1976,46,'1976.11.13',48,51,55,81,88),</v>
      </c>
    </row>
    <row r="1030" spans="1:18" x14ac:dyDescent="0.25">
      <c r="A1030" s="7" t="s">
        <v>5859</v>
      </c>
      <c r="B1030" s="8" t="s">
        <v>81</v>
      </c>
      <c r="C1030" s="10">
        <f t="shared" si="50"/>
        <v>28084</v>
      </c>
      <c r="D1030" t="s">
        <v>11</v>
      </c>
      <c r="E1030" t="s">
        <v>12</v>
      </c>
      <c r="F1030" t="s">
        <v>11</v>
      </c>
      <c r="G1030" t="s">
        <v>12</v>
      </c>
      <c r="H1030" t="s">
        <v>11</v>
      </c>
      <c r="I1030" t="s">
        <v>12</v>
      </c>
      <c r="J1030" t="s">
        <v>11</v>
      </c>
      <c r="K1030" t="s">
        <v>12</v>
      </c>
      <c r="L1030" s="12" t="s">
        <v>32</v>
      </c>
      <c r="M1030" s="12" t="s">
        <v>134</v>
      </c>
      <c r="N1030" s="12" t="s">
        <v>169</v>
      </c>
      <c r="O1030" s="12" t="s">
        <v>214</v>
      </c>
      <c r="P1030" s="12" t="s">
        <v>308</v>
      </c>
      <c r="Q1030" s="7" t="str">
        <f t="shared" si="49"/>
        <v>(1976,47,'1976.11.20',22,56,58,64,86,0),</v>
      </c>
      <c r="R1030" s="7" t="str">
        <f t="shared" si="51"/>
        <v>(1976,47,'1976.11.20',22,56,58,64,86),</v>
      </c>
    </row>
    <row r="1031" spans="1:18" x14ac:dyDescent="0.25">
      <c r="A1031" s="7" t="s">
        <v>5859</v>
      </c>
      <c r="B1031" s="8" t="s">
        <v>22</v>
      </c>
      <c r="C1031" s="10">
        <f t="shared" si="50"/>
        <v>28091</v>
      </c>
      <c r="D1031" t="s">
        <v>11</v>
      </c>
      <c r="E1031" t="s">
        <v>12</v>
      </c>
      <c r="F1031" t="s">
        <v>11</v>
      </c>
      <c r="G1031" t="s">
        <v>12</v>
      </c>
      <c r="H1031" t="s">
        <v>11</v>
      </c>
      <c r="I1031" t="s">
        <v>12</v>
      </c>
      <c r="J1031" t="s">
        <v>11</v>
      </c>
      <c r="K1031" t="s">
        <v>12</v>
      </c>
      <c r="L1031" s="12" t="s">
        <v>74</v>
      </c>
      <c r="M1031" s="12" t="s">
        <v>13</v>
      </c>
      <c r="N1031" s="12" t="s">
        <v>22</v>
      </c>
      <c r="O1031" s="12" t="s">
        <v>134</v>
      </c>
      <c r="P1031" s="12" t="s">
        <v>72</v>
      </c>
      <c r="Q1031" s="7" t="str">
        <f t="shared" si="49"/>
        <v>(1976,48,'1976.11.27',26,41,48,56,67,0),</v>
      </c>
      <c r="R1031" s="7" t="str">
        <f t="shared" si="51"/>
        <v>(1976,48,'1976.11.27',26,41,48,56,67),</v>
      </c>
    </row>
    <row r="1032" spans="1:18" x14ac:dyDescent="0.25">
      <c r="A1032" s="7" t="s">
        <v>5859</v>
      </c>
      <c r="B1032" s="8" t="s">
        <v>34</v>
      </c>
      <c r="C1032" s="10">
        <f t="shared" si="50"/>
        <v>28098</v>
      </c>
      <c r="D1032" t="s">
        <v>11</v>
      </c>
      <c r="E1032" t="s">
        <v>12</v>
      </c>
      <c r="F1032" t="s">
        <v>11</v>
      </c>
      <c r="G1032" t="s">
        <v>12</v>
      </c>
      <c r="H1032" t="s">
        <v>11</v>
      </c>
      <c r="I1032" t="s">
        <v>12</v>
      </c>
      <c r="J1032" t="s">
        <v>11</v>
      </c>
      <c r="K1032" t="s">
        <v>12</v>
      </c>
      <c r="L1032" s="12" t="s">
        <v>80</v>
      </c>
      <c r="M1032" s="12" t="s">
        <v>169</v>
      </c>
      <c r="N1032" s="12" t="s">
        <v>200</v>
      </c>
      <c r="O1032" s="12" t="s">
        <v>73</v>
      </c>
      <c r="P1032" s="12" t="s">
        <v>301</v>
      </c>
      <c r="Q1032" s="7" t="str">
        <f t="shared" si="49"/>
        <v>(1976,49,'1976.12.04',32,58,70,76,80,0),</v>
      </c>
      <c r="R1032" s="7" t="str">
        <f t="shared" si="51"/>
        <v>(1976,49,'1976.12.04',32,58,70,76,80),</v>
      </c>
    </row>
    <row r="1033" spans="1:18" x14ac:dyDescent="0.25">
      <c r="A1033" s="7" t="s">
        <v>5859</v>
      </c>
      <c r="B1033" s="8" t="s">
        <v>105</v>
      </c>
      <c r="C1033" s="10">
        <f t="shared" si="50"/>
        <v>28105</v>
      </c>
      <c r="D1033" t="s">
        <v>11</v>
      </c>
      <c r="E1033" t="s">
        <v>12</v>
      </c>
      <c r="F1033" t="s">
        <v>11</v>
      </c>
      <c r="G1033" t="s">
        <v>12</v>
      </c>
      <c r="H1033" t="s">
        <v>11</v>
      </c>
      <c r="I1033" t="s">
        <v>12</v>
      </c>
      <c r="J1033" t="s">
        <v>11</v>
      </c>
      <c r="K1033" t="s">
        <v>12</v>
      </c>
      <c r="L1033" s="12" t="s">
        <v>127</v>
      </c>
      <c r="M1033" s="12" t="s">
        <v>36</v>
      </c>
      <c r="N1033" s="12" t="s">
        <v>81</v>
      </c>
      <c r="O1033" s="12" t="s">
        <v>269</v>
      </c>
      <c r="P1033" s="12" t="s">
        <v>379</v>
      </c>
      <c r="Q1033" s="7" t="str">
        <f t="shared" si="49"/>
        <v>(1976,50,'1976.12.11',14,38,47,87,89,0),</v>
      </c>
      <c r="R1033" s="7" t="str">
        <f t="shared" si="51"/>
        <v>(1976,50,'1976.12.11',14,38,47,87,89),</v>
      </c>
    </row>
    <row r="1034" spans="1:18" x14ac:dyDescent="0.25">
      <c r="A1034" s="7" t="s">
        <v>5859</v>
      </c>
      <c r="B1034" s="8" t="s">
        <v>122</v>
      </c>
      <c r="C1034" s="10">
        <f t="shared" si="50"/>
        <v>28112</v>
      </c>
      <c r="D1034" t="s">
        <v>11</v>
      </c>
      <c r="E1034" t="s">
        <v>12</v>
      </c>
      <c r="F1034" t="s">
        <v>11</v>
      </c>
      <c r="G1034" t="s">
        <v>12</v>
      </c>
      <c r="H1034" t="s">
        <v>11</v>
      </c>
      <c r="I1034" t="s">
        <v>12</v>
      </c>
      <c r="J1034" t="s">
        <v>11</v>
      </c>
      <c r="K1034" t="s">
        <v>12</v>
      </c>
      <c r="L1034" s="12" t="s">
        <v>270</v>
      </c>
      <c r="M1034" s="12" t="s">
        <v>81</v>
      </c>
      <c r="N1034" s="12" t="s">
        <v>150</v>
      </c>
      <c r="O1034" s="12" t="s">
        <v>201</v>
      </c>
      <c r="P1034" s="12" t="s">
        <v>106</v>
      </c>
      <c r="Q1034" s="7" t="str">
        <f t="shared" si="49"/>
        <v>(1976,51,'1976.12.18',6,47,57,72,75,0),</v>
      </c>
      <c r="R1034" s="7" t="str">
        <f t="shared" si="51"/>
        <v>(1976,51,'1976.12.18',6,47,57,72,75),</v>
      </c>
    </row>
    <row r="1035" spans="1:18" x14ac:dyDescent="0.25">
      <c r="A1035" s="7" t="s">
        <v>5859</v>
      </c>
      <c r="B1035" s="8" t="s">
        <v>99</v>
      </c>
      <c r="C1035" s="10">
        <f t="shared" si="50"/>
        <v>28119</v>
      </c>
      <c r="D1035" t="s">
        <v>11</v>
      </c>
      <c r="E1035" t="s">
        <v>12</v>
      </c>
      <c r="F1035" t="s">
        <v>11</v>
      </c>
      <c r="G1035" t="s">
        <v>12</v>
      </c>
      <c r="H1035" t="s">
        <v>11</v>
      </c>
      <c r="I1035" t="s">
        <v>12</v>
      </c>
      <c r="J1035" t="s">
        <v>11</v>
      </c>
      <c r="K1035" t="s">
        <v>12</v>
      </c>
      <c r="L1035" s="12" t="s">
        <v>42</v>
      </c>
      <c r="M1035" s="12" t="s">
        <v>152</v>
      </c>
      <c r="N1035" s="12" t="s">
        <v>72</v>
      </c>
      <c r="O1035" s="12" t="s">
        <v>47</v>
      </c>
      <c r="P1035" s="12" t="s">
        <v>379</v>
      </c>
      <c r="Q1035" s="7" t="str">
        <f t="shared" si="49"/>
        <v>(1976,52,'1976.12.25',3,25,67,69,89,0),</v>
      </c>
      <c r="R1035" s="7" t="str">
        <f t="shared" si="51"/>
        <v>(1976,52,'1976.12.25',3,25,67,69,89),</v>
      </c>
    </row>
    <row r="1036" spans="1:18" x14ac:dyDescent="0.25">
      <c r="A1036" s="7" t="s">
        <v>5859</v>
      </c>
      <c r="B1036" s="8" t="s">
        <v>199</v>
      </c>
      <c r="C1036" s="10">
        <f t="shared" si="50"/>
        <v>28126</v>
      </c>
      <c r="D1036" t="s">
        <v>11</v>
      </c>
      <c r="E1036" t="s">
        <v>12</v>
      </c>
      <c r="F1036" t="s">
        <v>11</v>
      </c>
      <c r="G1036" t="s">
        <v>12</v>
      </c>
      <c r="H1036" t="s">
        <v>11</v>
      </c>
      <c r="I1036" t="s">
        <v>12</v>
      </c>
      <c r="J1036" t="s">
        <v>11</v>
      </c>
      <c r="K1036" t="s">
        <v>12</v>
      </c>
      <c r="L1036" s="12" t="s">
        <v>168</v>
      </c>
      <c r="M1036" s="12" t="s">
        <v>127</v>
      </c>
      <c r="N1036" s="12" t="s">
        <v>44</v>
      </c>
      <c r="O1036" s="12" t="s">
        <v>33</v>
      </c>
      <c r="P1036" s="12" t="s">
        <v>201</v>
      </c>
      <c r="Q1036" s="7" t="str">
        <f t="shared" si="49"/>
        <v>(1976,53,'1977.01.01',4,14,21,24,72,0),</v>
      </c>
      <c r="R1036" s="7" t="str">
        <f t="shared" si="51"/>
        <v>(1976,53,'1977.01.01',4,14,21,24,72),</v>
      </c>
    </row>
    <row r="1037" spans="1:18" x14ac:dyDescent="0.25">
      <c r="A1037" s="7" t="s">
        <v>5858</v>
      </c>
      <c r="B1037" s="8" t="s">
        <v>108</v>
      </c>
      <c r="C1037" s="10">
        <f t="shared" si="50"/>
        <v>28133</v>
      </c>
      <c r="D1037" t="s">
        <v>11</v>
      </c>
      <c r="E1037" t="s">
        <v>12</v>
      </c>
      <c r="F1037" t="s">
        <v>11</v>
      </c>
      <c r="G1037" t="s">
        <v>12</v>
      </c>
      <c r="H1037" t="s">
        <v>11</v>
      </c>
      <c r="I1037" t="s">
        <v>12</v>
      </c>
      <c r="J1037" t="s">
        <v>11</v>
      </c>
      <c r="K1037" t="s">
        <v>12</v>
      </c>
      <c r="L1037" s="12" t="s">
        <v>270</v>
      </c>
      <c r="M1037" s="12" t="s">
        <v>62</v>
      </c>
      <c r="N1037" s="12" t="s">
        <v>21</v>
      </c>
      <c r="O1037" s="12" t="s">
        <v>122</v>
      </c>
      <c r="P1037" s="12" t="s">
        <v>134</v>
      </c>
      <c r="Q1037" s="7" t="str">
        <f t="shared" si="49"/>
        <v>(1977,1,'1977.01.08',6,10,36,51,56,0),</v>
      </c>
      <c r="R1037" s="7" t="str">
        <f t="shared" si="51"/>
        <v>(1977,1,'1977.01.08',6,10,36,51,56),</v>
      </c>
    </row>
    <row r="1038" spans="1:18" x14ac:dyDescent="0.25">
      <c r="A1038" s="7" t="s">
        <v>5858</v>
      </c>
      <c r="B1038" s="8" t="s">
        <v>207</v>
      </c>
      <c r="C1038" s="10">
        <f t="shared" si="50"/>
        <v>28140</v>
      </c>
      <c r="D1038" t="s">
        <v>11</v>
      </c>
      <c r="E1038" t="s">
        <v>12</v>
      </c>
      <c r="F1038" t="s">
        <v>11</v>
      </c>
      <c r="G1038" t="s">
        <v>12</v>
      </c>
      <c r="H1038" t="s">
        <v>11</v>
      </c>
      <c r="I1038" t="s">
        <v>12</v>
      </c>
      <c r="J1038" t="s">
        <v>11</v>
      </c>
      <c r="K1038" t="s">
        <v>12</v>
      </c>
      <c r="L1038" s="12" t="s">
        <v>168</v>
      </c>
      <c r="M1038" s="12" t="s">
        <v>65</v>
      </c>
      <c r="N1038" s="12" t="s">
        <v>54</v>
      </c>
      <c r="O1038" s="12" t="s">
        <v>32</v>
      </c>
      <c r="P1038" s="12" t="s">
        <v>135</v>
      </c>
      <c r="Q1038" s="7" t="str">
        <f t="shared" si="49"/>
        <v>(1977,2,'1977.01.15',4,13,15,22,27,0),</v>
      </c>
      <c r="R1038" s="7" t="str">
        <f t="shared" si="51"/>
        <v>(1977,2,'1977.01.15',4,13,15,22,27),</v>
      </c>
    </row>
    <row r="1039" spans="1:18" x14ac:dyDescent="0.25">
      <c r="A1039" s="7" t="s">
        <v>5858</v>
      </c>
      <c r="B1039" s="8" t="s">
        <v>42</v>
      </c>
      <c r="C1039" s="10">
        <f t="shared" si="50"/>
        <v>28147</v>
      </c>
      <c r="D1039" t="s">
        <v>11</v>
      </c>
      <c r="E1039" t="s">
        <v>12</v>
      </c>
      <c r="F1039" t="s">
        <v>11</v>
      </c>
      <c r="G1039" t="s">
        <v>12</v>
      </c>
      <c r="H1039" t="s">
        <v>11</v>
      </c>
      <c r="I1039" t="s">
        <v>12</v>
      </c>
      <c r="J1039" t="s">
        <v>11</v>
      </c>
      <c r="K1039" t="s">
        <v>12</v>
      </c>
      <c r="L1039" s="12" t="s">
        <v>270</v>
      </c>
      <c r="M1039" s="12" t="s">
        <v>152</v>
      </c>
      <c r="N1039" s="12" t="s">
        <v>200</v>
      </c>
      <c r="O1039" s="12" t="s">
        <v>622</v>
      </c>
      <c r="P1039" s="12" t="s">
        <v>208</v>
      </c>
      <c r="Q1039" s="7" t="str">
        <f t="shared" si="49"/>
        <v>(1977,3,'1977.01.22',6,25,70,82,88,0),</v>
      </c>
      <c r="R1039" s="7" t="str">
        <f t="shared" si="51"/>
        <v>(1977,3,'1977.01.22',6,25,70,82,88),</v>
      </c>
    </row>
    <row r="1040" spans="1:18" x14ac:dyDescent="0.25">
      <c r="A1040" s="7" t="s">
        <v>5858</v>
      </c>
      <c r="B1040" s="8" t="s">
        <v>168</v>
      </c>
      <c r="C1040" s="10">
        <f t="shared" si="50"/>
        <v>28154</v>
      </c>
      <c r="D1040" t="s">
        <v>11</v>
      </c>
      <c r="E1040" t="s">
        <v>12</v>
      </c>
      <c r="F1040" t="s">
        <v>11</v>
      </c>
      <c r="G1040" t="s">
        <v>12</v>
      </c>
      <c r="H1040" t="s">
        <v>11</v>
      </c>
      <c r="I1040" t="s">
        <v>12</v>
      </c>
      <c r="J1040" t="s">
        <v>11</v>
      </c>
      <c r="K1040" t="s">
        <v>12</v>
      </c>
      <c r="L1040" s="12" t="s">
        <v>65</v>
      </c>
      <c r="M1040" s="12" t="s">
        <v>233</v>
      </c>
      <c r="N1040" s="12" t="s">
        <v>56</v>
      </c>
      <c r="O1040" s="12" t="s">
        <v>106</v>
      </c>
      <c r="P1040" s="12" t="s">
        <v>143</v>
      </c>
      <c r="Q1040" s="7" t="str">
        <f t="shared" si="49"/>
        <v>(1977,4,'1977.01.29',13,66,71,75,77,0),</v>
      </c>
      <c r="R1040" s="7" t="str">
        <f t="shared" si="51"/>
        <v>(1977,4,'1977.01.29',13,66,71,75,77),</v>
      </c>
    </row>
    <row r="1041" spans="1:18" x14ac:dyDescent="0.25">
      <c r="A1041" s="7" t="s">
        <v>5858</v>
      </c>
      <c r="B1041" s="8" t="s">
        <v>89</v>
      </c>
      <c r="C1041" s="10">
        <f t="shared" si="50"/>
        <v>28161</v>
      </c>
      <c r="D1041" t="s">
        <v>11</v>
      </c>
      <c r="E1041" t="s">
        <v>12</v>
      </c>
      <c r="F1041" t="s">
        <v>11</v>
      </c>
      <c r="G1041" t="s">
        <v>12</v>
      </c>
      <c r="H1041" t="s">
        <v>11</v>
      </c>
      <c r="I1041" t="s">
        <v>12</v>
      </c>
      <c r="J1041" t="s">
        <v>11</v>
      </c>
      <c r="K1041" t="s">
        <v>12</v>
      </c>
      <c r="L1041" s="12" t="s">
        <v>53</v>
      </c>
      <c r="M1041" s="12" t="s">
        <v>55</v>
      </c>
      <c r="N1041" s="12" t="s">
        <v>115</v>
      </c>
      <c r="O1041" s="12" t="s">
        <v>192</v>
      </c>
      <c r="P1041" s="12" t="s">
        <v>99</v>
      </c>
      <c r="Q1041" s="7" t="str">
        <f t="shared" si="49"/>
        <v>(1977,5,'1977.02.05',7,19,20,46,52,0),</v>
      </c>
      <c r="R1041" s="7" t="str">
        <f t="shared" si="51"/>
        <v>(1977,5,'1977.02.05',7,19,20,46,52),</v>
      </c>
    </row>
    <row r="1042" spans="1:18" x14ac:dyDescent="0.25">
      <c r="A1042" s="7" t="s">
        <v>5858</v>
      </c>
      <c r="B1042" s="8" t="s">
        <v>270</v>
      </c>
      <c r="C1042" s="10">
        <f t="shared" si="50"/>
        <v>28168</v>
      </c>
      <c r="D1042" t="s">
        <v>11</v>
      </c>
      <c r="E1042" t="s">
        <v>12</v>
      </c>
      <c r="F1042" t="s">
        <v>11</v>
      </c>
      <c r="G1042" t="s">
        <v>12</v>
      </c>
      <c r="H1042" t="s">
        <v>11</v>
      </c>
      <c r="I1042" t="s">
        <v>12</v>
      </c>
      <c r="J1042" t="s">
        <v>11</v>
      </c>
      <c r="K1042" t="s">
        <v>12</v>
      </c>
      <c r="L1042" s="12" t="s">
        <v>89</v>
      </c>
      <c r="M1042" s="12" t="s">
        <v>31</v>
      </c>
      <c r="N1042" s="12" t="s">
        <v>20</v>
      </c>
      <c r="O1042" s="12" t="s">
        <v>92</v>
      </c>
      <c r="P1042" s="12" t="s">
        <v>245</v>
      </c>
      <c r="Q1042" s="7" t="str">
        <f t="shared" si="49"/>
        <v>(1977,6,'1977.02.12',5,12,33,68,74,0),</v>
      </c>
      <c r="R1042" s="7" t="str">
        <f t="shared" si="51"/>
        <v>(1977,6,'1977.02.12',5,12,33,68,74),</v>
      </c>
    </row>
    <row r="1043" spans="1:18" x14ac:dyDescent="0.25">
      <c r="A1043" s="7" t="s">
        <v>5858</v>
      </c>
      <c r="B1043" s="8" t="s">
        <v>53</v>
      </c>
      <c r="C1043" s="10">
        <f t="shared" si="50"/>
        <v>28175</v>
      </c>
      <c r="D1043" t="s">
        <v>11</v>
      </c>
      <c r="E1043" t="s">
        <v>12</v>
      </c>
      <c r="F1043" t="s">
        <v>11</v>
      </c>
      <c r="G1043" t="s">
        <v>12</v>
      </c>
      <c r="H1043" t="s">
        <v>11</v>
      </c>
      <c r="I1043" t="s">
        <v>12</v>
      </c>
      <c r="J1043" t="s">
        <v>11</v>
      </c>
      <c r="K1043" t="s">
        <v>12</v>
      </c>
      <c r="L1043" s="12" t="s">
        <v>53</v>
      </c>
      <c r="M1043" s="12" t="s">
        <v>54</v>
      </c>
      <c r="N1043" s="12" t="s">
        <v>82</v>
      </c>
      <c r="O1043" s="12" t="s">
        <v>92</v>
      </c>
      <c r="P1043" s="12" t="s">
        <v>106</v>
      </c>
      <c r="Q1043" s="7" t="str">
        <f t="shared" si="49"/>
        <v>(1977,7,'1977.02.19',7,15,59,68,75,0),</v>
      </c>
      <c r="R1043" s="7" t="str">
        <f t="shared" si="51"/>
        <v>(1977,7,'1977.02.19',7,15,59,68,75),</v>
      </c>
    </row>
    <row r="1044" spans="1:18" x14ac:dyDescent="0.25">
      <c r="A1044" s="7" t="s">
        <v>5858</v>
      </c>
      <c r="B1044" s="8" t="s">
        <v>232</v>
      </c>
      <c r="C1044" s="10">
        <f t="shared" si="50"/>
        <v>28182</v>
      </c>
      <c r="D1044" t="s">
        <v>11</v>
      </c>
      <c r="E1044" t="s">
        <v>12</v>
      </c>
      <c r="F1044" t="s">
        <v>11</v>
      </c>
      <c r="G1044" t="s">
        <v>12</v>
      </c>
      <c r="H1044" t="s">
        <v>11</v>
      </c>
      <c r="I1044" t="s">
        <v>12</v>
      </c>
      <c r="J1044" t="s">
        <v>11</v>
      </c>
      <c r="K1044" t="s">
        <v>12</v>
      </c>
      <c r="L1044" s="12" t="s">
        <v>127</v>
      </c>
      <c r="M1044" s="12" t="s">
        <v>34</v>
      </c>
      <c r="N1044" s="12" t="s">
        <v>99</v>
      </c>
      <c r="O1044" s="12" t="s">
        <v>56</v>
      </c>
      <c r="P1044" s="12" t="s">
        <v>308</v>
      </c>
      <c r="Q1044" s="7" t="str">
        <f t="shared" si="49"/>
        <v>(1977,8,'1977.02.26',14,49,52,71,86,0),</v>
      </c>
      <c r="R1044" s="7" t="str">
        <f t="shared" si="51"/>
        <v>(1977,8,'1977.02.26',14,49,52,71,86),</v>
      </c>
    </row>
    <row r="1045" spans="1:18" x14ac:dyDescent="0.25">
      <c r="A1045" s="7" t="s">
        <v>5858</v>
      </c>
      <c r="B1045" s="8" t="s">
        <v>198</v>
      </c>
      <c r="C1045" s="10">
        <f t="shared" si="50"/>
        <v>28189</v>
      </c>
      <c r="D1045" t="s">
        <v>11</v>
      </c>
      <c r="E1045" t="s">
        <v>12</v>
      </c>
      <c r="F1045" t="s">
        <v>11</v>
      </c>
      <c r="G1045" t="s">
        <v>12</v>
      </c>
      <c r="H1045" t="s">
        <v>11</v>
      </c>
      <c r="I1045" t="s">
        <v>12</v>
      </c>
      <c r="J1045" t="s">
        <v>11</v>
      </c>
      <c r="K1045" t="s">
        <v>12</v>
      </c>
      <c r="L1045" s="12" t="s">
        <v>33</v>
      </c>
      <c r="M1045" s="12" t="s">
        <v>107</v>
      </c>
      <c r="N1045" s="12" t="s">
        <v>122</v>
      </c>
      <c r="O1045" s="12" t="s">
        <v>23</v>
      </c>
      <c r="P1045" s="12" t="s">
        <v>56</v>
      </c>
      <c r="Q1045" s="7" t="str">
        <f t="shared" si="49"/>
        <v>(1977,9,'1977.03.05',24,30,51,60,71,0),</v>
      </c>
      <c r="R1045" s="7" t="str">
        <f t="shared" si="51"/>
        <v>(1977,9,'1977.03.05',24,30,51,60,71),</v>
      </c>
    </row>
    <row r="1046" spans="1:18" x14ac:dyDescent="0.25">
      <c r="A1046" s="7" t="s">
        <v>5858</v>
      </c>
      <c r="B1046" s="8" t="s">
        <v>62</v>
      </c>
      <c r="C1046" s="10">
        <f t="shared" si="50"/>
        <v>28196</v>
      </c>
      <c r="D1046" t="s">
        <v>11</v>
      </c>
      <c r="E1046" t="s">
        <v>12</v>
      </c>
      <c r="F1046" t="s">
        <v>11</v>
      </c>
      <c r="G1046" t="s">
        <v>12</v>
      </c>
      <c r="H1046" t="s">
        <v>11</v>
      </c>
      <c r="I1046" t="s">
        <v>12</v>
      </c>
      <c r="J1046" t="s">
        <v>11</v>
      </c>
      <c r="K1046" t="s">
        <v>12</v>
      </c>
      <c r="L1046" s="12" t="s">
        <v>53</v>
      </c>
      <c r="M1046" s="12" t="s">
        <v>20</v>
      </c>
      <c r="N1046" s="12" t="s">
        <v>64</v>
      </c>
      <c r="O1046" s="12" t="s">
        <v>123</v>
      </c>
      <c r="P1046" s="12" t="s">
        <v>201</v>
      </c>
      <c r="Q1046" s="7" t="str">
        <f t="shared" si="49"/>
        <v>(1977,10,'1977.03.12',7,33,35,54,72,0),</v>
      </c>
      <c r="R1046" s="7" t="str">
        <f t="shared" si="51"/>
        <v>(1977,10,'1977.03.12',7,33,35,54,72),</v>
      </c>
    </row>
    <row r="1047" spans="1:18" x14ac:dyDescent="0.25">
      <c r="A1047" s="7" t="s">
        <v>5858</v>
      </c>
      <c r="B1047" s="8" t="s">
        <v>83</v>
      </c>
      <c r="C1047" s="10">
        <f t="shared" si="50"/>
        <v>28203</v>
      </c>
      <c r="D1047" t="s">
        <v>11</v>
      </c>
      <c r="E1047" t="s">
        <v>12</v>
      </c>
      <c r="F1047" t="s">
        <v>11</v>
      </c>
      <c r="G1047" t="s">
        <v>12</v>
      </c>
      <c r="H1047" t="s">
        <v>11</v>
      </c>
      <c r="I1047" t="s">
        <v>12</v>
      </c>
      <c r="J1047" t="s">
        <v>11</v>
      </c>
      <c r="K1047" t="s">
        <v>12</v>
      </c>
      <c r="L1047" s="12" t="s">
        <v>71</v>
      </c>
      <c r="M1047" s="12" t="s">
        <v>199</v>
      </c>
      <c r="N1047" s="12" t="s">
        <v>23</v>
      </c>
      <c r="O1047" s="12" t="s">
        <v>248</v>
      </c>
      <c r="P1047" s="12" t="s">
        <v>622</v>
      </c>
      <c r="Q1047" s="7" t="str">
        <f t="shared" si="49"/>
        <v>(1977,11,'1977.03.19',31,53,60,63,82,0),</v>
      </c>
      <c r="R1047" s="7" t="str">
        <f t="shared" si="51"/>
        <v>(1977,11,'1977.03.19',31,53,60,63,82),</v>
      </c>
    </row>
    <row r="1048" spans="1:18" x14ac:dyDescent="0.25">
      <c r="A1048" s="7" t="s">
        <v>5858</v>
      </c>
      <c r="B1048" s="8" t="s">
        <v>31</v>
      </c>
      <c r="C1048" s="10">
        <f t="shared" si="50"/>
        <v>28210</v>
      </c>
      <c r="D1048" t="s">
        <v>11</v>
      </c>
      <c r="E1048" t="s">
        <v>12</v>
      </c>
      <c r="F1048" t="s">
        <v>11</v>
      </c>
      <c r="G1048" t="s">
        <v>12</v>
      </c>
      <c r="H1048" t="s">
        <v>11</v>
      </c>
      <c r="I1048" t="s">
        <v>12</v>
      </c>
      <c r="J1048" t="s">
        <v>11</v>
      </c>
      <c r="K1048" t="s">
        <v>12</v>
      </c>
      <c r="L1048" s="12" t="s">
        <v>65</v>
      </c>
      <c r="M1048" s="12" t="s">
        <v>44</v>
      </c>
      <c r="N1048" s="12" t="s">
        <v>74</v>
      </c>
      <c r="O1048" s="12" t="s">
        <v>142</v>
      </c>
      <c r="P1048" s="12" t="s">
        <v>56</v>
      </c>
      <c r="Q1048" s="7" t="str">
        <f t="shared" si="49"/>
        <v>(1977,12,'1977.03.26',13,21,26,44,71,0),</v>
      </c>
      <c r="R1048" s="7" t="str">
        <f t="shared" si="51"/>
        <v>(1977,12,'1977.03.26',13,21,26,44,71),</v>
      </c>
    </row>
    <row r="1049" spans="1:18" x14ac:dyDescent="0.25">
      <c r="A1049" s="7" t="s">
        <v>5858</v>
      </c>
      <c r="B1049" s="8" t="s">
        <v>65</v>
      </c>
      <c r="C1049" s="10">
        <f t="shared" si="50"/>
        <v>28217</v>
      </c>
      <c r="D1049" t="s">
        <v>11</v>
      </c>
      <c r="E1049" t="s">
        <v>12</v>
      </c>
      <c r="F1049" t="s">
        <v>11</v>
      </c>
      <c r="G1049" t="s">
        <v>12</v>
      </c>
      <c r="H1049" t="s">
        <v>11</v>
      </c>
      <c r="I1049" t="s">
        <v>12</v>
      </c>
      <c r="J1049" t="s">
        <v>11</v>
      </c>
      <c r="K1049" t="s">
        <v>12</v>
      </c>
      <c r="L1049" s="12" t="s">
        <v>19</v>
      </c>
      <c r="M1049" s="12" t="s">
        <v>142</v>
      </c>
      <c r="N1049" s="12" t="s">
        <v>63</v>
      </c>
      <c r="O1049" s="12" t="s">
        <v>215</v>
      </c>
      <c r="P1049" s="12" t="s">
        <v>379</v>
      </c>
      <c r="Q1049" s="7" t="str">
        <f t="shared" si="49"/>
        <v>(1977,13,'1977.04.02',18,44,78,81,89,0),</v>
      </c>
      <c r="R1049" s="7" t="str">
        <f t="shared" si="51"/>
        <v>(1977,13,'1977.04.02',18,44,78,81,89),</v>
      </c>
    </row>
    <row r="1050" spans="1:18" x14ac:dyDescent="0.25">
      <c r="A1050" s="7" t="s">
        <v>5858</v>
      </c>
      <c r="B1050" s="8" t="s">
        <v>127</v>
      </c>
      <c r="C1050" s="10">
        <f t="shared" si="50"/>
        <v>28224</v>
      </c>
      <c r="D1050" t="s">
        <v>11</v>
      </c>
      <c r="E1050" t="s">
        <v>12</v>
      </c>
      <c r="F1050" t="s">
        <v>11</v>
      </c>
      <c r="G1050" t="s">
        <v>12</v>
      </c>
      <c r="H1050" t="s">
        <v>11</v>
      </c>
      <c r="I1050" t="s">
        <v>12</v>
      </c>
      <c r="J1050" t="s">
        <v>11</v>
      </c>
      <c r="K1050" t="s">
        <v>12</v>
      </c>
      <c r="L1050" s="12" t="s">
        <v>163</v>
      </c>
      <c r="M1050" s="12" t="s">
        <v>135</v>
      </c>
      <c r="N1050" s="12" t="s">
        <v>46</v>
      </c>
      <c r="O1050" s="12" t="s">
        <v>36</v>
      </c>
      <c r="P1050" s="12" t="s">
        <v>81</v>
      </c>
      <c r="Q1050" s="7" t="str">
        <f t="shared" si="49"/>
        <v>(1977,14,'1977.04.09',23,27,37,38,47,0),</v>
      </c>
      <c r="R1050" s="7" t="str">
        <f t="shared" si="51"/>
        <v>(1977,14,'1977.04.09',23,27,37,38,47),</v>
      </c>
    </row>
    <row r="1051" spans="1:18" x14ac:dyDescent="0.25">
      <c r="A1051" s="7" t="s">
        <v>5858</v>
      </c>
      <c r="B1051" s="8" t="s">
        <v>54</v>
      </c>
      <c r="C1051" s="10">
        <f t="shared" si="50"/>
        <v>28231</v>
      </c>
      <c r="D1051" t="s">
        <v>11</v>
      </c>
      <c r="E1051" t="s">
        <v>12</v>
      </c>
      <c r="F1051" t="s">
        <v>11</v>
      </c>
      <c r="G1051" t="s">
        <v>12</v>
      </c>
      <c r="H1051" t="s">
        <v>11</v>
      </c>
      <c r="I1051" t="s">
        <v>12</v>
      </c>
      <c r="J1051" t="s">
        <v>11</v>
      </c>
      <c r="K1051" t="s">
        <v>12</v>
      </c>
      <c r="L1051" s="12" t="s">
        <v>83</v>
      </c>
      <c r="M1051" s="12" t="s">
        <v>31</v>
      </c>
      <c r="N1051" s="12" t="s">
        <v>163</v>
      </c>
      <c r="O1051" s="12" t="s">
        <v>80</v>
      </c>
      <c r="P1051" s="12" t="s">
        <v>143</v>
      </c>
      <c r="Q1051" s="7" t="str">
        <f t="shared" si="49"/>
        <v>(1977,15,'1977.04.16',11,12,23,32,77,0),</v>
      </c>
      <c r="R1051" s="7" t="str">
        <f t="shared" si="51"/>
        <v>(1977,15,'1977.04.16',11,12,23,32,77),</v>
      </c>
    </row>
    <row r="1052" spans="1:18" x14ac:dyDescent="0.25">
      <c r="A1052" s="7" t="s">
        <v>5858</v>
      </c>
      <c r="B1052" s="8" t="s">
        <v>43</v>
      </c>
      <c r="C1052" s="10">
        <f t="shared" si="50"/>
        <v>28238</v>
      </c>
      <c r="D1052" t="s">
        <v>11</v>
      </c>
      <c r="E1052" t="s">
        <v>12</v>
      </c>
      <c r="F1052" t="s">
        <v>11</v>
      </c>
      <c r="G1052" t="s">
        <v>12</v>
      </c>
      <c r="H1052" t="s">
        <v>11</v>
      </c>
      <c r="I1052" t="s">
        <v>12</v>
      </c>
      <c r="J1052" t="s">
        <v>11</v>
      </c>
      <c r="K1052" t="s">
        <v>12</v>
      </c>
      <c r="L1052" s="12" t="s">
        <v>270</v>
      </c>
      <c r="M1052" s="12" t="s">
        <v>43</v>
      </c>
      <c r="N1052" s="12" t="s">
        <v>80</v>
      </c>
      <c r="O1052" s="12" t="s">
        <v>72</v>
      </c>
      <c r="P1052" s="12" t="s">
        <v>622</v>
      </c>
      <c r="Q1052" s="7" t="str">
        <f t="shared" si="49"/>
        <v>(1977,16,'1977.04.23',6,16,32,67,82,0),</v>
      </c>
      <c r="R1052" s="7" t="str">
        <f t="shared" si="51"/>
        <v>(1977,16,'1977.04.23',6,16,32,67,82),</v>
      </c>
    </row>
    <row r="1053" spans="1:18" x14ac:dyDescent="0.25">
      <c r="A1053" s="7" t="s">
        <v>5858</v>
      </c>
      <c r="B1053" s="8" t="s">
        <v>90</v>
      </c>
      <c r="C1053" s="10">
        <f t="shared" si="50"/>
        <v>28245</v>
      </c>
      <c r="D1053" t="s">
        <v>11</v>
      </c>
      <c r="E1053" t="s">
        <v>12</v>
      </c>
      <c r="F1053" t="s">
        <v>11</v>
      </c>
      <c r="G1053" t="s">
        <v>12</v>
      </c>
      <c r="H1053" t="s">
        <v>11</v>
      </c>
      <c r="I1053" t="s">
        <v>12</v>
      </c>
      <c r="J1053" t="s">
        <v>11</v>
      </c>
      <c r="K1053" t="s">
        <v>12</v>
      </c>
      <c r="L1053" s="12" t="s">
        <v>53</v>
      </c>
      <c r="M1053" s="12" t="s">
        <v>133</v>
      </c>
      <c r="N1053" s="12" t="s">
        <v>150</v>
      </c>
      <c r="O1053" s="12" t="s">
        <v>125</v>
      </c>
      <c r="P1053" s="12" t="s">
        <v>208</v>
      </c>
      <c r="Q1053" s="7" t="str">
        <f t="shared" si="49"/>
        <v>(1977,17,'1977.04.30',7,45,57,83,88,0),</v>
      </c>
      <c r="R1053" s="7" t="str">
        <f t="shared" si="51"/>
        <v>(1977,17,'1977.04.30',7,45,57,83,88),</v>
      </c>
    </row>
    <row r="1054" spans="1:18" x14ac:dyDescent="0.25">
      <c r="A1054" s="7" t="s">
        <v>5858</v>
      </c>
      <c r="B1054" s="8" t="s">
        <v>19</v>
      </c>
      <c r="C1054" s="10">
        <f t="shared" si="50"/>
        <v>28252</v>
      </c>
      <c r="D1054" t="s">
        <v>11</v>
      </c>
      <c r="E1054" t="s">
        <v>12</v>
      </c>
      <c r="F1054" t="s">
        <v>11</v>
      </c>
      <c r="G1054" t="s">
        <v>12</v>
      </c>
      <c r="H1054" t="s">
        <v>11</v>
      </c>
      <c r="I1054" t="s">
        <v>12</v>
      </c>
      <c r="J1054" t="s">
        <v>11</v>
      </c>
      <c r="K1054" t="s">
        <v>12</v>
      </c>
      <c r="L1054" s="12" t="s">
        <v>19</v>
      </c>
      <c r="M1054" s="12" t="s">
        <v>135</v>
      </c>
      <c r="N1054" s="12" t="s">
        <v>98</v>
      </c>
      <c r="O1054" s="12" t="s">
        <v>233</v>
      </c>
      <c r="P1054" s="12" t="s">
        <v>47</v>
      </c>
      <c r="Q1054" s="7" t="str">
        <f t="shared" si="49"/>
        <v>(1977,18,'1977.05.07',18,27,42,66,69,0),</v>
      </c>
      <c r="R1054" s="7" t="str">
        <f t="shared" si="51"/>
        <v>(1977,18,'1977.05.07',18,27,42,66,69),</v>
      </c>
    </row>
    <row r="1055" spans="1:18" x14ac:dyDescent="0.25">
      <c r="A1055" s="7" t="s">
        <v>5858</v>
      </c>
      <c r="B1055" s="8" t="s">
        <v>55</v>
      </c>
      <c r="C1055" s="10">
        <f t="shared" si="50"/>
        <v>28259</v>
      </c>
      <c r="D1055" t="s">
        <v>11</v>
      </c>
      <c r="E1055" t="s">
        <v>12</v>
      </c>
      <c r="F1055" t="s">
        <v>11</v>
      </c>
      <c r="G1055" t="s">
        <v>12</v>
      </c>
      <c r="H1055" t="s">
        <v>11</v>
      </c>
      <c r="I1055" t="s">
        <v>12</v>
      </c>
      <c r="J1055" t="s">
        <v>11</v>
      </c>
      <c r="K1055" t="s">
        <v>12</v>
      </c>
      <c r="L1055" s="12" t="s">
        <v>108</v>
      </c>
      <c r="M1055" s="12" t="s">
        <v>207</v>
      </c>
      <c r="N1055" s="12" t="s">
        <v>126</v>
      </c>
      <c r="O1055" s="12" t="s">
        <v>150</v>
      </c>
      <c r="P1055" s="12" t="s">
        <v>23</v>
      </c>
      <c r="Q1055" s="7" t="str">
        <f t="shared" si="49"/>
        <v>(1977,19,'1977.05.14',1,2,28,57,60,0),</v>
      </c>
      <c r="R1055" s="7" t="str">
        <f t="shared" si="51"/>
        <v>(1977,19,'1977.05.14',1,2,28,57,60),</v>
      </c>
    </row>
    <row r="1056" spans="1:18" x14ac:dyDescent="0.25">
      <c r="A1056" s="7" t="s">
        <v>5858</v>
      </c>
      <c r="B1056" s="8" t="s">
        <v>115</v>
      </c>
      <c r="C1056" s="10">
        <f t="shared" si="50"/>
        <v>28266</v>
      </c>
      <c r="D1056" t="s">
        <v>11</v>
      </c>
      <c r="E1056" t="s">
        <v>12</v>
      </c>
      <c r="F1056" t="s">
        <v>11</v>
      </c>
      <c r="G1056" t="s">
        <v>12</v>
      </c>
      <c r="H1056" t="s">
        <v>11</v>
      </c>
      <c r="I1056" t="s">
        <v>12</v>
      </c>
      <c r="J1056" t="s">
        <v>11</v>
      </c>
      <c r="K1056" t="s">
        <v>12</v>
      </c>
      <c r="L1056" s="12" t="s">
        <v>62</v>
      </c>
      <c r="M1056" s="12" t="s">
        <v>54</v>
      </c>
      <c r="N1056" s="12" t="s">
        <v>80</v>
      </c>
      <c r="O1056" s="12" t="s">
        <v>122</v>
      </c>
      <c r="P1056" s="12" t="s">
        <v>106</v>
      </c>
      <c r="Q1056" s="7" t="str">
        <f t="shared" si="49"/>
        <v>(1977,20,'1977.05.21',10,15,32,51,75,0),</v>
      </c>
      <c r="R1056" s="7" t="str">
        <f t="shared" si="51"/>
        <v>(1977,20,'1977.05.21',10,15,32,51,75),</v>
      </c>
    </row>
    <row r="1057" spans="1:18" x14ac:dyDescent="0.25">
      <c r="A1057" s="7" t="s">
        <v>5858</v>
      </c>
      <c r="B1057" s="8" t="s">
        <v>44</v>
      </c>
      <c r="C1057" s="10">
        <f t="shared" si="50"/>
        <v>28273</v>
      </c>
      <c r="D1057" t="s">
        <v>11</v>
      </c>
      <c r="E1057" t="s">
        <v>12</v>
      </c>
      <c r="F1057" t="s">
        <v>11</v>
      </c>
      <c r="G1057" t="s">
        <v>12</v>
      </c>
      <c r="H1057" t="s">
        <v>11</v>
      </c>
      <c r="I1057" t="s">
        <v>12</v>
      </c>
      <c r="J1057" t="s">
        <v>11</v>
      </c>
      <c r="K1057" t="s">
        <v>12</v>
      </c>
      <c r="L1057" s="12" t="s">
        <v>43</v>
      </c>
      <c r="M1057" s="12" t="s">
        <v>115</v>
      </c>
      <c r="N1057" s="12" t="s">
        <v>152</v>
      </c>
      <c r="O1057" s="12" t="s">
        <v>233</v>
      </c>
      <c r="P1057" s="12" t="s">
        <v>143</v>
      </c>
      <c r="Q1057" s="7" t="str">
        <f t="shared" si="49"/>
        <v>(1977,21,'1977.05.28',16,20,25,66,77,0),</v>
      </c>
      <c r="R1057" s="7" t="str">
        <f t="shared" si="51"/>
        <v>(1977,21,'1977.05.28',16,20,25,66,77),</v>
      </c>
    </row>
    <row r="1058" spans="1:18" x14ac:dyDescent="0.25">
      <c r="A1058" s="7" t="s">
        <v>5858</v>
      </c>
      <c r="B1058" s="8" t="s">
        <v>32</v>
      </c>
      <c r="C1058" s="10">
        <f t="shared" si="50"/>
        <v>28280</v>
      </c>
      <c r="D1058" t="s">
        <v>11</v>
      </c>
      <c r="E1058" t="s">
        <v>12</v>
      </c>
      <c r="F1058" t="s">
        <v>11</v>
      </c>
      <c r="G1058" t="s">
        <v>12</v>
      </c>
      <c r="H1058" t="s">
        <v>11</v>
      </c>
      <c r="I1058" t="s">
        <v>12</v>
      </c>
      <c r="J1058" t="s">
        <v>11</v>
      </c>
      <c r="K1058" t="s">
        <v>12</v>
      </c>
      <c r="L1058" s="12" t="s">
        <v>99</v>
      </c>
      <c r="M1058" s="12" t="s">
        <v>175</v>
      </c>
      <c r="N1058" s="12" t="s">
        <v>248</v>
      </c>
      <c r="O1058" s="12" t="s">
        <v>233</v>
      </c>
      <c r="P1058" s="12" t="s">
        <v>308</v>
      </c>
      <c r="Q1058" s="7" t="str">
        <f t="shared" si="49"/>
        <v>(1977,22,'1977.06.04',52,55,63,66,86,0),</v>
      </c>
      <c r="R1058" s="7" t="str">
        <f t="shared" si="51"/>
        <v>(1977,22,'1977.06.04',52,55,63,66,86),</v>
      </c>
    </row>
    <row r="1059" spans="1:18" x14ac:dyDescent="0.25">
      <c r="A1059" s="7" t="s">
        <v>5858</v>
      </c>
      <c r="B1059" s="8" t="s">
        <v>163</v>
      </c>
      <c r="C1059" s="10">
        <f t="shared" si="50"/>
        <v>28287</v>
      </c>
      <c r="D1059" t="s">
        <v>11</v>
      </c>
      <c r="E1059" t="s">
        <v>12</v>
      </c>
      <c r="F1059" t="s">
        <v>11</v>
      </c>
      <c r="G1059" t="s">
        <v>12</v>
      </c>
      <c r="H1059" t="s">
        <v>11</v>
      </c>
      <c r="I1059" t="s">
        <v>12</v>
      </c>
      <c r="J1059" t="s">
        <v>11</v>
      </c>
      <c r="K1059" t="s">
        <v>12</v>
      </c>
      <c r="L1059" s="12" t="s">
        <v>192</v>
      </c>
      <c r="M1059" s="12" t="s">
        <v>99</v>
      </c>
      <c r="N1059" s="12" t="s">
        <v>201</v>
      </c>
      <c r="O1059" s="12" t="s">
        <v>106</v>
      </c>
      <c r="P1059" s="12" t="s">
        <v>151</v>
      </c>
      <c r="Q1059" s="7" t="str">
        <f t="shared" si="49"/>
        <v>(1977,23,'1977.06.11',46,52,72,75,79,0),</v>
      </c>
      <c r="R1059" s="7" t="str">
        <f t="shared" si="51"/>
        <v>(1977,23,'1977.06.11',46,52,72,75,79),</v>
      </c>
    </row>
    <row r="1060" spans="1:18" x14ac:dyDescent="0.25">
      <c r="A1060" s="7" t="s">
        <v>5858</v>
      </c>
      <c r="B1060" s="8" t="s">
        <v>33</v>
      </c>
      <c r="C1060" s="10">
        <f t="shared" si="50"/>
        <v>28294</v>
      </c>
      <c r="D1060" t="s">
        <v>11</v>
      </c>
      <c r="E1060" t="s">
        <v>12</v>
      </c>
      <c r="F1060" t="s">
        <v>11</v>
      </c>
      <c r="G1060" t="s">
        <v>12</v>
      </c>
      <c r="H1060" t="s">
        <v>11</v>
      </c>
      <c r="I1060" t="s">
        <v>12</v>
      </c>
      <c r="J1060" t="s">
        <v>11</v>
      </c>
      <c r="K1060" t="s">
        <v>12</v>
      </c>
      <c r="L1060" s="12" t="s">
        <v>168</v>
      </c>
      <c r="M1060" s="12" t="s">
        <v>55</v>
      </c>
      <c r="N1060" s="12" t="s">
        <v>239</v>
      </c>
      <c r="O1060" s="12" t="s">
        <v>622</v>
      </c>
      <c r="P1060" s="12" t="s">
        <v>269</v>
      </c>
      <c r="Q1060" s="7" t="str">
        <f t="shared" si="49"/>
        <v>(1977,24,'1977.06.18',4,19,73,82,87,0),</v>
      </c>
      <c r="R1060" s="7" t="str">
        <f t="shared" si="51"/>
        <v>(1977,24,'1977.06.18',4,19,73,82,87),</v>
      </c>
    </row>
    <row r="1061" spans="1:18" x14ac:dyDescent="0.25">
      <c r="A1061" s="7" t="s">
        <v>5858</v>
      </c>
      <c r="B1061" s="8" t="s">
        <v>152</v>
      </c>
      <c r="C1061" s="10">
        <f t="shared" si="50"/>
        <v>28301</v>
      </c>
      <c r="D1061" t="s">
        <v>11</v>
      </c>
      <c r="E1061" t="s">
        <v>12</v>
      </c>
      <c r="F1061" t="s">
        <v>11</v>
      </c>
      <c r="G1061" t="s">
        <v>12</v>
      </c>
      <c r="H1061" t="s">
        <v>11</v>
      </c>
      <c r="I1061" t="s">
        <v>12</v>
      </c>
      <c r="J1061" t="s">
        <v>11</v>
      </c>
      <c r="K1061" t="s">
        <v>12</v>
      </c>
      <c r="L1061" s="12" t="s">
        <v>152</v>
      </c>
      <c r="M1061" s="12" t="s">
        <v>107</v>
      </c>
      <c r="N1061" s="12" t="s">
        <v>10</v>
      </c>
      <c r="O1061" s="12" t="s">
        <v>133</v>
      </c>
      <c r="P1061" s="12" t="s">
        <v>63</v>
      </c>
      <c r="Q1061" s="7" t="str">
        <f t="shared" si="49"/>
        <v>(1977,25,'1977.06.25',25,30,40,45,78,0),</v>
      </c>
      <c r="R1061" s="7" t="str">
        <f t="shared" si="51"/>
        <v>(1977,25,'1977.06.25',25,30,40,45,78),</v>
      </c>
    </row>
    <row r="1062" spans="1:18" x14ac:dyDescent="0.25">
      <c r="A1062" s="7" t="s">
        <v>5858</v>
      </c>
      <c r="B1062" s="8" t="s">
        <v>74</v>
      </c>
      <c r="C1062" s="10">
        <f t="shared" si="50"/>
        <v>28308</v>
      </c>
      <c r="D1062" t="s">
        <v>11</v>
      </c>
      <c r="E1062" t="s">
        <v>12</v>
      </c>
      <c r="F1062" t="s">
        <v>11</v>
      </c>
      <c r="G1062" t="s">
        <v>12</v>
      </c>
      <c r="H1062" t="s">
        <v>11</v>
      </c>
      <c r="I1062" t="s">
        <v>12</v>
      </c>
      <c r="J1062" t="s">
        <v>11</v>
      </c>
      <c r="K1062" t="s">
        <v>12</v>
      </c>
      <c r="L1062" s="12" t="s">
        <v>270</v>
      </c>
      <c r="M1062" s="12" t="s">
        <v>127</v>
      </c>
      <c r="N1062" s="12" t="s">
        <v>19</v>
      </c>
      <c r="O1062" s="12" t="s">
        <v>44</v>
      </c>
      <c r="P1062" s="12" t="s">
        <v>152</v>
      </c>
      <c r="Q1062" s="7" t="str">
        <f t="shared" si="49"/>
        <v>(1977,26,'1977.07.02',6,14,18,21,25,0),</v>
      </c>
      <c r="R1062" s="7" t="str">
        <f t="shared" si="51"/>
        <v>(1977,26,'1977.07.02',6,14,18,21,25),</v>
      </c>
    </row>
    <row r="1063" spans="1:18" x14ac:dyDescent="0.25">
      <c r="A1063" s="7" t="s">
        <v>5858</v>
      </c>
      <c r="B1063" s="8" t="s">
        <v>135</v>
      </c>
      <c r="C1063" s="10">
        <f t="shared" si="50"/>
        <v>28315</v>
      </c>
      <c r="D1063" t="s">
        <v>11</v>
      </c>
      <c r="E1063" t="s">
        <v>12</v>
      </c>
      <c r="F1063" t="s">
        <v>11</v>
      </c>
      <c r="G1063" t="s">
        <v>12</v>
      </c>
      <c r="H1063" t="s">
        <v>11</v>
      </c>
      <c r="I1063" t="s">
        <v>12</v>
      </c>
      <c r="J1063" t="s">
        <v>11</v>
      </c>
      <c r="K1063" t="s">
        <v>12</v>
      </c>
      <c r="L1063" s="12" t="s">
        <v>108</v>
      </c>
      <c r="M1063" s="12" t="s">
        <v>32</v>
      </c>
      <c r="N1063" s="12" t="s">
        <v>91</v>
      </c>
      <c r="O1063" s="12" t="s">
        <v>124</v>
      </c>
      <c r="P1063" s="12" t="s">
        <v>201</v>
      </c>
      <c r="Q1063" s="7" t="str">
        <f t="shared" si="49"/>
        <v>(1977,27,'1977.07.09',1,22,61,62,72,0),</v>
      </c>
      <c r="R1063" s="7" t="str">
        <f t="shared" si="51"/>
        <v>(1977,27,'1977.07.09',1,22,61,62,72),</v>
      </c>
    </row>
    <row r="1064" spans="1:18" x14ac:dyDescent="0.25">
      <c r="A1064" s="7" t="s">
        <v>5858</v>
      </c>
      <c r="B1064" s="8" t="s">
        <v>126</v>
      </c>
      <c r="C1064" s="10">
        <f t="shared" si="50"/>
        <v>28322</v>
      </c>
      <c r="D1064" t="s">
        <v>11</v>
      </c>
      <c r="E1064" t="s">
        <v>12</v>
      </c>
      <c r="F1064" t="s">
        <v>11</v>
      </c>
      <c r="G1064" t="s">
        <v>12</v>
      </c>
      <c r="H1064" t="s">
        <v>11</v>
      </c>
      <c r="I1064" t="s">
        <v>12</v>
      </c>
      <c r="J1064" t="s">
        <v>11</v>
      </c>
      <c r="K1064" t="s">
        <v>12</v>
      </c>
      <c r="L1064" s="12" t="s">
        <v>62</v>
      </c>
      <c r="M1064" s="12" t="s">
        <v>19</v>
      </c>
      <c r="N1064" s="12" t="s">
        <v>44</v>
      </c>
      <c r="O1064" s="12" t="s">
        <v>23</v>
      </c>
      <c r="P1064" s="12" t="s">
        <v>73</v>
      </c>
      <c r="Q1064" s="7" t="str">
        <f t="shared" si="49"/>
        <v>(1977,28,'1977.07.16',10,18,21,60,76,0),</v>
      </c>
      <c r="R1064" s="7" t="str">
        <f t="shared" si="51"/>
        <v>(1977,28,'1977.07.16',10,18,21,60,76),</v>
      </c>
    </row>
    <row r="1065" spans="1:18" x14ac:dyDescent="0.25">
      <c r="A1065" s="7" t="s">
        <v>5858</v>
      </c>
      <c r="B1065" s="8" t="s">
        <v>116</v>
      </c>
      <c r="C1065" s="10">
        <f t="shared" si="50"/>
        <v>28329</v>
      </c>
      <c r="D1065" t="s">
        <v>11</v>
      </c>
      <c r="E1065" t="s">
        <v>12</v>
      </c>
      <c r="F1065" t="s">
        <v>11</v>
      </c>
      <c r="G1065" t="s">
        <v>12</v>
      </c>
      <c r="H1065" t="s">
        <v>11</v>
      </c>
      <c r="I1065" t="s">
        <v>12</v>
      </c>
      <c r="J1065" t="s">
        <v>11</v>
      </c>
      <c r="K1065" t="s">
        <v>12</v>
      </c>
      <c r="L1065" s="12" t="s">
        <v>198</v>
      </c>
      <c r="M1065" s="12" t="s">
        <v>22</v>
      </c>
      <c r="N1065" s="12" t="s">
        <v>82</v>
      </c>
      <c r="O1065" s="12" t="s">
        <v>246</v>
      </c>
      <c r="P1065" s="12" t="s">
        <v>186</v>
      </c>
      <c r="Q1065" s="7" t="str">
        <f t="shared" si="49"/>
        <v>(1977,29,'1977.07.23',9,48,59,84,90,0),</v>
      </c>
      <c r="R1065" s="7" t="str">
        <f t="shared" si="51"/>
        <v>(1977,29,'1977.07.23',9,48,59,84,90),</v>
      </c>
    </row>
    <row r="1066" spans="1:18" x14ac:dyDescent="0.25">
      <c r="A1066" s="7" t="s">
        <v>5858</v>
      </c>
      <c r="B1066" s="8" t="s">
        <v>107</v>
      </c>
      <c r="C1066" s="10">
        <f t="shared" si="50"/>
        <v>28336</v>
      </c>
      <c r="D1066" t="s">
        <v>11</v>
      </c>
      <c r="E1066" t="s">
        <v>12</v>
      </c>
      <c r="F1066" t="s">
        <v>11</v>
      </c>
      <c r="G1066" t="s">
        <v>12</v>
      </c>
      <c r="H1066" t="s">
        <v>11</v>
      </c>
      <c r="I1066" t="s">
        <v>12</v>
      </c>
      <c r="J1066" t="s">
        <v>11</v>
      </c>
      <c r="K1066" t="s">
        <v>12</v>
      </c>
      <c r="L1066" s="12" t="s">
        <v>42</v>
      </c>
      <c r="M1066" s="12" t="s">
        <v>19</v>
      </c>
      <c r="N1066" s="12" t="s">
        <v>116</v>
      </c>
      <c r="O1066" s="12" t="s">
        <v>20</v>
      </c>
      <c r="P1066" s="12" t="s">
        <v>23</v>
      </c>
      <c r="Q1066" s="7" t="str">
        <f t="shared" si="49"/>
        <v>(1977,30,'1977.07.30',3,18,29,33,60,0),</v>
      </c>
      <c r="R1066" s="7" t="str">
        <f t="shared" si="51"/>
        <v>(1977,30,'1977.07.30',3,18,29,33,60),</v>
      </c>
    </row>
    <row r="1067" spans="1:18" x14ac:dyDescent="0.25">
      <c r="A1067" s="7" t="s">
        <v>5858</v>
      </c>
      <c r="B1067" s="8" t="s">
        <v>71</v>
      </c>
      <c r="C1067" s="10">
        <f t="shared" si="50"/>
        <v>28343</v>
      </c>
      <c r="D1067" t="s">
        <v>11</v>
      </c>
      <c r="E1067" t="s">
        <v>12</v>
      </c>
      <c r="F1067" t="s">
        <v>11</v>
      </c>
      <c r="G1067" t="s">
        <v>12</v>
      </c>
      <c r="H1067" t="s">
        <v>11</v>
      </c>
      <c r="I1067" t="s">
        <v>12</v>
      </c>
      <c r="J1067" t="s">
        <v>11</v>
      </c>
      <c r="K1067" t="s">
        <v>12</v>
      </c>
      <c r="L1067" s="12" t="s">
        <v>163</v>
      </c>
      <c r="M1067" s="12" t="s">
        <v>98</v>
      </c>
      <c r="N1067" s="12" t="s">
        <v>134</v>
      </c>
      <c r="O1067" s="12" t="s">
        <v>201</v>
      </c>
      <c r="P1067" s="12" t="s">
        <v>143</v>
      </c>
      <c r="Q1067" s="7" t="str">
        <f t="shared" si="49"/>
        <v>(1977,31,'1977.08.06',23,42,56,72,77,0),</v>
      </c>
      <c r="R1067" s="7" t="str">
        <f t="shared" si="51"/>
        <v>(1977,31,'1977.08.06',23,42,56,72,77),</v>
      </c>
    </row>
    <row r="1068" spans="1:18" x14ac:dyDescent="0.25">
      <c r="A1068" s="7" t="s">
        <v>5858</v>
      </c>
      <c r="B1068" s="8" t="s">
        <v>80</v>
      </c>
      <c r="C1068" s="10">
        <f t="shared" si="50"/>
        <v>28350</v>
      </c>
      <c r="D1068" t="s">
        <v>11</v>
      </c>
      <c r="E1068" t="s">
        <v>12</v>
      </c>
      <c r="F1068" t="s">
        <v>11</v>
      </c>
      <c r="G1068" t="s">
        <v>12</v>
      </c>
      <c r="H1068" t="s">
        <v>11</v>
      </c>
      <c r="I1068" t="s">
        <v>12</v>
      </c>
      <c r="J1068" t="s">
        <v>11</v>
      </c>
      <c r="K1068" t="s">
        <v>12</v>
      </c>
      <c r="L1068" s="12" t="s">
        <v>65</v>
      </c>
      <c r="M1068" s="12" t="s">
        <v>71</v>
      </c>
      <c r="N1068" s="12" t="s">
        <v>82</v>
      </c>
      <c r="O1068" s="12" t="s">
        <v>214</v>
      </c>
      <c r="P1068" s="12" t="s">
        <v>308</v>
      </c>
      <c r="Q1068" s="7" t="str">
        <f t="shared" si="49"/>
        <v>(1977,32,'1977.08.13',13,31,59,64,86,0),</v>
      </c>
      <c r="R1068" s="7" t="str">
        <f t="shared" si="51"/>
        <v>(1977,32,'1977.08.13',13,31,59,64,86),</v>
      </c>
    </row>
    <row r="1069" spans="1:18" x14ac:dyDescent="0.25">
      <c r="A1069" s="7" t="s">
        <v>5858</v>
      </c>
      <c r="B1069" s="8" t="s">
        <v>20</v>
      </c>
      <c r="C1069" s="10">
        <f t="shared" si="50"/>
        <v>28357</v>
      </c>
      <c r="D1069" t="s">
        <v>11</v>
      </c>
      <c r="E1069" t="s">
        <v>12</v>
      </c>
      <c r="F1069" t="s">
        <v>11</v>
      </c>
      <c r="G1069" t="s">
        <v>12</v>
      </c>
      <c r="H1069" t="s">
        <v>11</v>
      </c>
      <c r="I1069" t="s">
        <v>12</v>
      </c>
      <c r="J1069" t="s">
        <v>11</v>
      </c>
      <c r="K1069" t="s">
        <v>12</v>
      </c>
      <c r="L1069" s="12" t="s">
        <v>44</v>
      </c>
      <c r="M1069" s="12" t="s">
        <v>32</v>
      </c>
      <c r="N1069" s="12" t="s">
        <v>142</v>
      </c>
      <c r="O1069" s="12" t="s">
        <v>124</v>
      </c>
      <c r="P1069" s="12" t="s">
        <v>301</v>
      </c>
      <c r="Q1069" s="7" t="str">
        <f t="shared" si="49"/>
        <v>(1977,33,'1977.08.20',21,22,44,62,80,0),</v>
      </c>
      <c r="R1069" s="7" t="str">
        <f t="shared" si="51"/>
        <v>(1977,33,'1977.08.20',21,22,44,62,80),</v>
      </c>
    </row>
    <row r="1070" spans="1:18" x14ac:dyDescent="0.25">
      <c r="A1070" s="7" t="s">
        <v>5858</v>
      </c>
      <c r="B1070" s="8" t="s">
        <v>25</v>
      </c>
      <c r="C1070" s="10">
        <f t="shared" si="50"/>
        <v>28364</v>
      </c>
      <c r="D1070" t="s">
        <v>11</v>
      </c>
      <c r="E1070" t="s">
        <v>12</v>
      </c>
      <c r="F1070" t="s">
        <v>11</v>
      </c>
      <c r="G1070" t="s">
        <v>12</v>
      </c>
      <c r="H1070" t="s">
        <v>11</v>
      </c>
      <c r="I1070" t="s">
        <v>12</v>
      </c>
      <c r="J1070" t="s">
        <v>11</v>
      </c>
      <c r="K1070" t="s">
        <v>12</v>
      </c>
      <c r="L1070" s="12" t="s">
        <v>19</v>
      </c>
      <c r="M1070" s="12" t="s">
        <v>115</v>
      </c>
      <c r="N1070" s="12" t="s">
        <v>33</v>
      </c>
      <c r="O1070" s="12" t="s">
        <v>64</v>
      </c>
      <c r="P1070" s="12" t="s">
        <v>99</v>
      </c>
      <c r="Q1070" s="7" t="str">
        <f t="shared" si="49"/>
        <v>(1977,34,'1977.08.27',18,20,24,35,52,0),</v>
      </c>
      <c r="R1070" s="7" t="str">
        <f t="shared" si="51"/>
        <v>(1977,34,'1977.08.27',18,20,24,35,52),</v>
      </c>
    </row>
    <row r="1071" spans="1:18" x14ac:dyDescent="0.25">
      <c r="A1071" s="7" t="s">
        <v>5858</v>
      </c>
      <c r="B1071" s="8" t="s">
        <v>64</v>
      </c>
      <c r="C1071" s="10">
        <f t="shared" si="50"/>
        <v>28371</v>
      </c>
      <c r="D1071" t="s">
        <v>11</v>
      </c>
      <c r="E1071" t="s">
        <v>12</v>
      </c>
      <c r="F1071" t="s">
        <v>11</v>
      </c>
      <c r="G1071" t="s">
        <v>12</v>
      </c>
      <c r="H1071" t="s">
        <v>11</v>
      </c>
      <c r="I1071" t="s">
        <v>12</v>
      </c>
      <c r="J1071" t="s">
        <v>11</v>
      </c>
      <c r="K1071" t="s">
        <v>12</v>
      </c>
      <c r="L1071" s="12" t="s">
        <v>127</v>
      </c>
      <c r="M1071" s="12" t="s">
        <v>19</v>
      </c>
      <c r="N1071" s="12" t="s">
        <v>92</v>
      </c>
      <c r="O1071" s="12" t="s">
        <v>73</v>
      </c>
      <c r="P1071" s="12" t="s">
        <v>63</v>
      </c>
      <c r="Q1071" s="7" t="str">
        <f t="shared" si="49"/>
        <v>(1977,35,'1977.09.03',14,18,68,76,78,0),</v>
      </c>
      <c r="R1071" s="7" t="str">
        <f t="shared" si="51"/>
        <v>(1977,35,'1977.09.03',14,18,68,76,78),</v>
      </c>
    </row>
    <row r="1072" spans="1:18" x14ac:dyDescent="0.25">
      <c r="A1072" s="7" t="s">
        <v>5858</v>
      </c>
      <c r="B1072" s="8" t="s">
        <v>21</v>
      </c>
      <c r="C1072" s="10">
        <f t="shared" si="50"/>
        <v>28378</v>
      </c>
      <c r="D1072" t="s">
        <v>11</v>
      </c>
      <c r="E1072" t="s">
        <v>12</v>
      </c>
      <c r="F1072" t="s">
        <v>11</v>
      </c>
      <c r="G1072" t="s">
        <v>12</v>
      </c>
      <c r="H1072" t="s">
        <v>11</v>
      </c>
      <c r="I1072" t="s">
        <v>12</v>
      </c>
      <c r="J1072" t="s">
        <v>11</v>
      </c>
      <c r="K1072" t="s">
        <v>12</v>
      </c>
      <c r="L1072" s="12" t="s">
        <v>64</v>
      </c>
      <c r="M1072" s="12" t="s">
        <v>142</v>
      </c>
      <c r="N1072" s="12" t="s">
        <v>34</v>
      </c>
      <c r="O1072" s="12" t="s">
        <v>201</v>
      </c>
      <c r="P1072" s="12" t="s">
        <v>308</v>
      </c>
      <c r="Q1072" s="7" t="str">
        <f t="shared" si="49"/>
        <v>(1977,36,'1977.09.10',35,44,49,72,86,0),</v>
      </c>
      <c r="R1072" s="7" t="str">
        <f t="shared" si="51"/>
        <v>(1977,36,'1977.09.10',35,44,49,72,86),</v>
      </c>
    </row>
    <row r="1073" spans="1:18" x14ac:dyDescent="0.25">
      <c r="A1073" s="7" t="s">
        <v>5858</v>
      </c>
      <c r="B1073" s="8" t="s">
        <v>46</v>
      </c>
      <c r="C1073" s="10">
        <f t="shared" si="50"/>
        <v>28385</v>
      </c>
      <c r="D1073" t="s">
        <v>11</v>
      </c>
      <c r="E1073" t="s">
        <v>12</v>
      </c>
      <c r="F1073" t="s">
        <v>11</v>
      </c>
      <c r="G1073" t="s">
        <v>12</v>
      </c>
      <c r="H1073" t="s">
        <v>11</v>
      </c>
      <c r="I1073" t="s">
        <v>12</v>
      </c>
      <c r="J1073" t="s">
        <v>11</v>
      </c>
      <c r="K1073" t="s">
        <v>12</v>
      </c>
      <c r="L1073" s="12" t="s">
        <v>207</v>
      </c>
      <c r="M1073" s="12" t="s">
        <v>71</v>
      </c>
      <c r="N1073" s="12" t="s">
        <v>64</v>
      </c>
      <c r="O1073" s="12" t="s">
        <v>81</v>
      </c>
      <c r="P1073" s="12" t="s">
        <v>123</v>
      </c>
      <c r="Q1073" s="7" t="str">
        <f t="shared" si="49"/>
        <v>(1977,37,'1977.09.17',2,31,35,47,54,0),</v>
      </c>
      <c r="R1073" s="7" t="str">
        <f t="shared" si="51"/>
        <v>(1977,37,'1977.09.17',2,31,35,47,54),</v>
      </c>
    </row>
    <row r="1074" spans="1:18" x14ac:dyDescent="0.25">
      <c r="A1074" s="7" t="s">
        <v>5858</v>
      </c>
      <c r="B1074" s="8" t="s">
        <v>36</v>
      </c>
      <c r="C1074" s="10">
        <f t="shared" si="50"/>
        <v>28392</v>
      </c>
      <c r="D1074" t="s">
        <v>11</v>
      </c>
      <c r="E1074" t="s">
        <v>12</v>
      </c>
      <c r="F1074" t="s">
        <v>11</v>
      </c>
      <c r="G1074" t="s">
        <v>12</v>
      </c>
      <c r="H1074" t="s">
        <v>11</v>
      </c>
      <c r="I1074" t="s">
        <v>12</v>
      </c>
      <c r="J1074" t="s">
        <v>11</v>
      </c>
      <c r="K1074" t="s">
        <v>12</v>
      </c>
      <c r="L1074" s="12" t="s">
        <v>89</v>
      </c>
      <c r="M1074" s="12" t="s">
        <v>44</v>
      </c>
      <c r="N1074" s="12" t="s">
        <v>80</v>
      </c>
      <c r="O1074" s="12" t="s">
        <v>34</v>
      </c>
      <c r="P1074" s="12" t="s">
        <v>143</v>
      </c>
      <c r="Q1074" s="7" t="str">
        <f t="shared" si="49"/>
        <v>(1977,38,'1977.09.24',5,21,32,49,77,0),</v>
      </c>
      <c r="R1074" s="7" t="str">
        <f t="shared" si="51"/>
        <v>(1977,38,'1977.09.24',5,21,32,49,77),</v>
      </c>
    </row>
    <row r="1075" spans="1:18" x14ac:dyDescent="0.25">
      <c r="A1075" s="7" t="s">
        <v>5858</v>
      </c>
      <c r="B1075" s="8" t="s">
        <v>24</v>
      </c>
      <c r="C1075" s="10">
        <f t="shared" si="50"/>
        <v>28399</v>
      </c>
      <c r="D1075" t="s">
        <v>11</v>
      </c>
      <c r="E1075" t="s">
        <v>12</v>
      </c>
      <c r="F1075" t="s">
        <v>11</v>
      </c>
      <c r="G1075" t="s">
        <v>12</v>
      </c>
      <c r="H1075" t="s">
        <v>11</v>
      </c>
      <c r="I1075" t="s">
        <v>12</v>
      </c>
      <c r="J1075" t="s">
        <v>11</v>
      </c>
      <c r="K1075" t="s">
        <v>12</v>
      </c>
      <c r="L1075" s="12" t="s">
        <v>83</v>
      </c>
      <c r="M1075" s="12" t="s">
        <v>54</v>
      </c>
      <c r="N1075" s="12" t="s">
        <v>192</v>
      </c>
      <c r="O1075" s="12" t="s">
        <v>200</v>
      </c>
      <c r="P1075" s="12" t="s">
        <v>125</v>
      </c>
      <c r="Q1075" s="7" t="str">
        <f t="shared" si="49"/>
        <v>(1977,39,'1977.10.01',11,15,46,70,83,0),</v>
      </c>
      <c r="R1075" s="7" t="str">
        <f t="shared" si="51"/>
        <v>(1977,39,'1977.10.01',11,15,46,70,83),</v>
      </c>
    </row>
    <row r="1076" spans="1:18" x14ac:dyDescent="0.25">
      <c r="A1076" s="7" t="s">
        <v>5858</v>
      </c>
      <c r="B1076" s="8" t="s">
        <v>10</v>
      </c>
      <c r="C1076" s="10">
        <f t="shared" si="50"/>
        <v>28406</v>
      </c>
      <c r="D1076" t="s">
        <v>11</v>
      </c>
      <c r="E1076" t="s">
        <v>12</v>
      </c>
      <c r="F1076" t="s">
        <v>11</v>
      </c>
      <c r="G1076" t="s">
        <v>12</v>
      </c>
      <c r="H1076" t="s">
        <v>11</v>
      </c>
      <c r="I1076" t="s">
        <v>12</v>
      </c>
      <c r="J1076" t="s">
        <v>11</v>
      </c>
      <c r="K1076" t="s">
        <v>12</v>
      </c>
      <c r="L1076" s="12" t="s">
        <v>116</v>
      </c>
      <c r="M1076" s="12" t="s">
        <v>98</v>
      </c>
      <c r="N1076" s="12" t="s">
        <v>201</v>
      </c>
      <c r="O1076" s="12" t="s">
        <v>239</v>
      </c>
      <c r="P1076" s="12" t="s">
        <v>622</v>
      </c>
      <c r="Q1076" s="7" t="str">
        <f t="shared" si="49"/>
        <v>(1977,40,'1977.10.08',29,42,72,73,82,0),</v>
      </c>
      <c r="R1076" s="7" t="str">
        <f t="shared" si="51"/>
        <v>(1977,40,'1977.10.08',29,42,72,73,82),</v>
      </c>
    </row>
    <row r="1077" spans="1:18" x14ac:dyDescent="0.25">
      <c r="A1077" s="7" t="s">
        <v>5858</v>
      </c>
      <c r="B1077" s="8" t="s">
        <v>13</v>
      </c>
      <c r="C1077" s="10">
        <f t="shared" si="50"/>
        <v>28413</v>
      </c>
      <c r="D1077" t="s">
        <v>11</v>
      </c>
      <c r="E1077" t="s">
        <v>12</v>
      </c>
      <c r="F1077" t="s">
        <v>11</v>
      </c>
      <c r="G1077" t="s">
        <v>12</v>
      </c>
      <c r="H1077" t="s">
        <v>11</v>
      </c>
      <c r="I1077" t="s">
        <v>12</v>
      </c>
      <c r="J1077" t="s">
        <v>11</v>
      </c>
      <c r="K1077" t="s">
        <v>12</v>
      </c>
      <c r="L1077" s="12" t="s">
        <v>163</v>
      </c>
      <c r="M1077" s="12" t="s">
        <v>116</v>
      </c>
      <c r="N1077" s="12" t="s">
        <v>98</v>
      </c>
      <c r="O1077" s="12" t="s">
        <v>45</v>
      </c>
      <c r="P1077" s="12" t="s">
        <v>23</v>
      </c>
      <c r="Q1077" s="7" t="str">
        <f t="shared" si="49"/>
        <v>(1977,41,'1977.10.15',23,29,42,43,60,0),</v>
      </c>
      <c r="R1077" s="7" t="str">
        <f t="shared" si="51"/>
        <v>(1977,41,'1977.10.15',23,29,42,43,60),</v>
      </c>
    </row>
    <row r="1078" spans="1:18" x14ac:dyDescent="0.25">
      <c r="A1078" s="7" t="s">
        <v>5858</v>
      </c>
      <c r="B1078" s="8" t="s">
        <v>98</v>
      </c>
      <c r="C1078" s="10">
        <f t="shared" si="50"/>
        <v>28420</v>
      </c>
      <c r="D1078" t="s">
        <v>11</v>
      </c>
      <c r="E1078" t="s">
        <v>12</v>
      </c>
      <c r="F1078" t="s">
        <v>11</v>
      </c>
      <c r="G1078" t="s">
        <v>12</v>
      </c>
      <c r="H1078" t="s">
        <v>11</v>
      </c>
      <c r="I1078" t="s">
        <v>12</v>
      </c>
      <c r="J1078" t="s">
        <v>11</v>
      </c>
      <c r="K1078" t="s">
        <v>12</v>
      </c>
      <c r="L1078" s="12" t="s">
        <v>44</v>
      </c>
      <c r="M1078" s="12" t="s">
        <v>33</v>
      </c>
      <c r="N1078" s="12" t="s">
        <v>98</v>
      </c>
      <c r="O1078" s="12" t="s">
        <v>35</v>
      </c>
      <c r="P1078" s="12" t="s">
        <v>143</v>
      </c>
      <c r="Q1078" s="7" t="str">
        <f t="shared" si="49"/>
        <v>(1977,42,'1977.10.22',21,24,42,65,77,0),</v>
      </c>
      <c r="R1078" s="7" t="str">
        <f t="shared" si="51"/>
        <v>(1977,42,'1977.10.22',21,24,42,65,77),</v>
      </c>
    </row>
    <row r="1079" spans="1:18" x14ac:dyDescent="0.25">
      <c r="A1079" s="7" t="s">
        <v>5858</v>
      </c>
      <c r="B1079" s="8" t="s">
        <v>45</v>
      </c>
      <c r="C1079" s="10">
        <f t="shared" si="50"/>
        <v>28427</v>
      </c>
      <c r="D1079" t="s">
        <v>11</v>
      </c>
      <c r="E1079" t="s">
        <v>12</v>
      </c>
      <c r="F1079" t="s">
        <v>11</v>
      </c>
      <c r="G1079" t="s">
        <v>12</v>
      </c>
      <c r="H1079" t="s">
        <v>11</v>
      </c>
      <c r="I1079" t="s">
        <v>12</v>
      </c>
      <c r="J1079" t="s">
        <v>11</v>
      </c>
      <c r="K1079" t="s">
        <v>12</v>
      </c>
      <c r="L1079" s="12" t="s">
        <v>53</v>
      </c>
      <c r="M1079" s="12" t="s">
        <v>13</v>
      </c>
      <c r="N1079" s="12" t="s">
        <v>81</v>
      </c>
      <c r="O1079" s="12" t="s">
        <v>22</v>
      </c>
      <c r="P1079" s="12" t="s">
        <v>186</v>
      </c>
      <c r="Q1079" s="7" t="str">
        <f t="shared" si="49"/>
        <v>(1977,43,'1977.10.29',7,41,47,48,90,0),</v>
      </c>
      <c r="R1079" s="7" t="str">
        <f t="shared" si="51"/>
        <v>(1977,43,'1977.10.29',7,41,47,48,90),</v>
      </c>
    </row>
    <row r="1080" spans="1:18" x14ac:dyDescent="0.25">
      <c r="A1080" s="7" t="s">
        <v>5858</v>
      </c>
      <c r="B1080" s="8" t="s">
        <v>142</v>
      </c>
      <c r="C1080" s="10">
        <f t="shared" si="50"/>
        <v>28434</v>
      </c>
      <c r="D1080" t="s">
        <v>11</v>
      </c>
      <c r="E1080" t="s">
        <v>12</v>
      </c>
      <c r="F1080" t="s">
        <v>11</v>
      </c>
      <c r="G1080" t="s">
        <v>12</v>
      </c>
      <c r="H1080" t="s">
        <v>11</v>
      </c>
      <c r="I1080" t="s">
        <v>12</v>
      </c>
      <c r="J1080" t="s">
        <v>11</v>
      </c>
      <c r="K1080" t="s">
        <v>12</v>
      </c>
      <c r="L1080" s="12" t="s">
        <v>42</v>
      </c>
      <c r="M1080" s="12" t="s">
        <v>19</v>
      </c>
      <c r="N1080" s="12" t="s">
        <v>82</v>
      </c>
      <c r="O1080" s="12" t="s">
        <v>72</v>
      </c>
      <c r="P1080" s="12" t="s">
        <v>239</v>
      </c>
      <c r="Q1080" s="7" t="str">
        <f t="shared" si="49"/>
        <v>(1977,44,'1977.11.05',3,18,59,67,73,0),</v>
      </c>
      <c r="R1080" s="7" t="str">
        <f t="shared" si="51"/>
        <v>(1977,44,'1977.11.05',3,18,59,67,73),</v>
      </c>
    </row>
    <row r="1081" spans="1:18" x14ac:dyDescent="0.25">
      <c r="A1081" s="7" t="s">
        <v>5858</v>
      </c>
      <c r="B1081" s="8" t="s">
        <v>133</v>
      </c>
      <c r="C1081" s="10">
        <f t="shared" si="50"/>
        <v>28441</v>
      </c>
      <c r="D1081" t="s">
        <v>11</v>
      </c>
      <c r="E1081" t="s">
        <v>12</v>
      </c>
      <c r="F1081" t="s">
        <v>11</v>
      </c>
      <c r="G1081" t="s">
        <v>12</v>
      </c>
      <c r="H1081" t="s">
        <v>11</v>
      </c>
      <c r="I1081" t="s">
        <v>12</v>
      </c>
      <c r="J1081" t="s">
        <v>11</v>
      </c>
      <c r="K1081" t="s">
        <v>12</v>
      </c>
      <c r="L1081" s="12" t="s">
        <v>198</v>
      </c>
      <c r="M1081" s="12" t="s">
        <v>152</v>
      </c>
      <c r="N1081" s="12" t="s">
        <v>22</v>
      </c>
      <c r="O1081" s="12" t="s">
        <v>214</v>
      </c>
      <c r="P1081" s="12" t="s">
        <v>125</v>
      </c>
      <c r="Q1081" s="7" t="str">
        <f t="shared" si="49"/>
        <v>(1977,45,'1977.11.12',9,25,48,64,83,0),</v>
      </c>
      <c r="R1081" s="7" t="str">
        <f t="shared" si="51"/>
        <v>(1977,45,'1977.11.12',9,25,48,64,83),</v>
      </c>
    </row>
    <row r="1082" spans="1:18" x14ac:dyDescent="0.25">
      <c r="A1082" s="7" t="s">
        <v>5858</v>
      </c>
      <c r="B1082" s="8" t="s">
        <v>192</v>
      </c>
      <c r="C1082" s="10">
        <f t="shared" si="50"/>
        <v>28448</v>
      </c>
      <c r="D1082" t="s">
        <v>11</v>
      </c>
      <c r="E1082" t="s">
        <v>12</v>
      </c>
      <c r="F1082" t="s">
        <v>11</v>
      </c>
      <c r="G1082" t="s">
        <v>12</v>
      </c>
      <c r="H1082" t="s">
        <v>11</v>
      </c>
      <c r="I1082" t="s">
        <v>12</v>
      </c>
      <c r="J1082" t="s">
        <v>11</v>
      </c>
      <c r="K1082" t="s">
        <v>12</v>
      </c>
      <c r="L1082" s="12" t="s">
        <v>42</v>
      </c>
      <c r="M1082" s="12" t="s">
        <v>21</v>
      </c>
      <c r="N1082" s="12" t="s">
        <v>13</v>
      </c>
      <c r="O1082" s="12" t="s">
        <v>192</v>
      </c>
      <c r="P1082" s="12" t="s">
        <v>134</v>
      </c>
      <c r="Q1082" s="7" t="str">
        <f t="shared" si="49"/>
        <v>(1977,46,'1977.11.19',3,36,41,46,56,0),</v>
      </c>
      <c r="R1082" s="7" t="str">
        <f t="shared" si="51"/>
        <v>(1977,46,'1977.11.19',3,36,41,46,56),</v>
      </c>
    </row>
    <row r="1083" spans="1:18" x14ac:dyDescent="0.25">
      <c r="A1083" s="7" t="s">
        <v>5858</v>
      </c>
      <c r="B1083" s="8" t="s">
        <v>81</v>
      </c>
      <c r="C1083" s="10">
        <f t="shared" si="50"/>
        <v>28455</v>
      </c>
      <c r="D1083" t="s">
        <v>11</v>
      </c>
      <c r="E1083" t="s">
        <v>12</v>
      </c>
      <c r="F1083" t="s">
        <v>11</v>
      </c>
      <c r="G1083" t="s">
        <v>12</v>
      </c>
      <c r="H1083" t="s">
        <v>11</v>
      </c>
      <c r="I1083" t="s">
        <v>12</v>
      </c>
      <c r="J1083" t="s">
        <v>11</v>
      </c>
      <c r="K1083" t="s">
        <v>12</v>
      </c>
      <c r="L1083" s="12" t="s">
        <v>64</v>
      </c>
      <c r="M1083" s="12" t="s">
        <v>45</v>
      </c>
      <c r="N1083" s="12" t="s">
        <v>91</v>
      </c>
      <c r="O1083" s="12" t="s">
        <v>72</v>
      </c>
      <c r="P1083" s="12" t="s">
        <v>308</v>
      </c>
      <c r="Q1083" s="7" t="str">
        <f t="shared" si="49"/>
        <v>(1977,47,'1977.11.26',35,43,61,67,86,0),</v>
      </c>
      <c r="R1083" s="7" t="str">
        <f t="shared" si="51"/>
        <v>(1977,47,'1977.11.26',35,43,61,67,86),</v>
      </c>
    </row>
    <row r="1084" spans="1:18" x14ac:dyDescent="0.25">
      <c r="A1084" s="7" t="s">
        <v>5858</v>
      </c>
      <c r="B1084" s="8" t="s">
        <v>22</v>
      </c>
      <c r="C1084" s="10">
        <f t="shared" si="50"/>
        <v>28462</v>
      </c>
      <c r="D1084" t="s">
        <v>11</v>
      </c>
      <c r="E1084" t="s">
        <v>12</v>
      </c>
      <c r="F1084" t="s">
        <v>11</v>
      </c>
      <c r="G1084" t="s">
        <v>12</v>
      </c>
      <c r="H1084" t="s">
        <v>11</v>
      </c>
      <c r="I1084" t="s">
        <v>12</v>
      </c>
      <c r="J1084" t="s">
        <v>11</v>
      </c>
      <c r="K1084" t="s">
        <v>12</v>
      </c>
      <c r="L1084" s="12" t="s">
        <v>115</v>
      </c>
      <c r="M1084" s="12" t="s">
        <v>152</v>
      </c>
      <c r="N1084" s="12" t="s">
        <v>71</v>
      </c>
      <c r="O1084" s="12" t="s">
        <v>269</v>
      </c>
      <c r="P1084" s="12" t="s">
        <v>186</v>
      </c>
      <c r="Q1084" s="7" t="str">
        <f t="shared" si="49"/>
        <v>(1977,48,'1977.12.03',20,25,31,87,90,0),</v>
      </c>
      <c r="R1084" s="7" t="str">
        <f t="shared" si="51"/>
        <v>(1977,48,'1977.12.03',20,25,31,87,90),</v>
      </c>
    </row>
    <row r="1085" spans="1:18" x14ac:dyDescent="0.25">
      <c r="A1085" s="7" t="s">
        <v>5858</v>
      </c>
      <c r="B1085" s="8" t="s">
        <v>34</v>
      </c>
      <c r="C1085" s="10">
        <f t="shared" si="50"/>
        <v>28469</v>
      </c>
      <c r="D1085" t="s">
        <v>11</v>
      </c>
      <c r="E1085" t="s">
        <v>12</v>
      </c>
      <c r="F1085" t="s">
        <v>11</v>
      </c>
      <c r="G1085" t="s">
        <v>12</v>
      </c>
      <c r="H1085" t="s">
        <v>11</v>
      </c>
      <c r="I1085" t="s">
        <v>12</v>
      </c>
      <c r="J1085" t="s">
        <v>11</v>
      </c>
      <c r="K1085" t="s">
        <v>12</v>
      </c>
      <c r="L1085" s="12" t="s">
        <v>152</v>
      </c>
      <c r="M1085" s="12" t="s">
        <v>24</v>
      </c>
      <c r="N1085" s="12" t="s">
        <v>199</v>
      </c>
      <c r="O1085" s="12" t="s">
        <v>106</v>
      </c>
      <c r="P1085" s="12" t="s">
        <v>186</v>
      </c>
      <c r="Q1085" s="7" t="str">
        <f t="shared" si="49"/>
        <v>(1977,49,'1977.12.10',25,39,53,75,90,0),</v>
      </c>
      <c r="R1085" s="7" t="str">
        <f t="shared" si="51"/>
        <v>(1977,49,'1977.12.10',25,39,53,75,90),</v>
      </c>
    </row>
    <row r="1086" spans="1:18" x14ac:dyDescent="0.25">
      <c r="A1086" s="7" t="s">
        <v>5858</v>
      </c>
      <c r="B1086" s="8" t="s">
        <v>105</v>
      </c>
      <c r="C1086" s="10">
        <f t="shared" si="50"/>
        <v>28476</v>
      </c>
      <c r="D1086" t="s">
        <v>11</v>
      </c>
      <c r="E1086" t="s">
        <v>12</v>
      </c>
      <c r="F1086" t="s">
        <v>11</v>
      </c>
      <c r="G1086" t="s">
        <v>12</v>
      </c>
      <c r="H1086" t="s">
        <v>11</v>
      </c>
      <c r="I1086" t="s">
        <v>12</v>
      </c>
      <c r="J1086" t="s">
        <v>11</v>
      </c>
      <c r="K1086" t="s">
        <v>12</v>
      </c>
      <c r="L1086" s="12" t="s">
        <v>90</v>
      </c>
      <c r="M1086" s="12" t="s">
        <v>99</v>
      </c>
      <c r="N1086" s="12" t="s">
        <v>199</v>
      </c>
      <c r="O1086" s="12" t="s">
        <v>169</v>
      </c>
      <c r="P1086" s="12" t="s">
        <v>106</v>
      </c>
      <c r="Q1086" s="7" t="str">
        <f t="shared" si="49"/>
        <v>(1977,50,'1977.12.17',17,52,53,58,75,0),</v>
      </c>
      <c r="R1086" s="7" t="str">
        <f t="shared" si="51"/>
        <v>(1977,50,'1977.12.17',17,52,53,58,75),</v>
      </c>
    </row>
    <row r="1087" spans="1:18" x14ac:dyDescent="0.25">
      <c r="A1087" s="7" t="s">
        <v>5858</v>
      </c>
      <c r="B1087" s="8" t="s">
        <v>122</v>
      </c>
      <c r="C1087" s="10">
        <f t="shared" si="50"/>
        <v>28483</v>
      </c>
      <c r="D1087" t="s">
        <v>11</v>
      </c>
      <c r="E1087" t="s">
        <v>12</v>
      </c>
      <c r="F1087" t="s">
        <v>11</v>
      </c>
      <c r="G1087" t="s">
        <v>12</v>
      </c>
      <c r="H1087" t="s">
        <v>11</v>
      </c>
      <c r="I1087" t="s">
        <v>12</v>
      </c>
      <c r="J1087" t="s">
        <v>11</v>
      </c>
      <c r="K1087" t="s">
        <v>12</v>
      </c>
      <c r="L1087" s="12" t="s">
        <v>127</v>
      </c>
      <c r="M1087" s="12" t="s">
        <v>133</v>
      </c>
      <c r="N1087" s="12" t="s">
        <v>199</v>
      </c>
      <c r="O1087" s="12" t="s">
        <v>35</v>
      </c>
      <c r="P1087" s="12" t="s">
        <v>379</v>
      </c>
      <c r="Q1087" s="7" t="str">
        <f t="shared" si="49"/>
        <v>(1977,51,'1977.12.24',14,45,53,65,89,0),</v>
      </c>
      <c r="R1087" s="7" t="str">
        <f t="shared" si="51"/>
        <v>(1977,51,'1977.12.24',14,45,53,65,89),</v>
      </c>
    </row>
    <row r="1088" spans="1:18" x14ac:dyDescent="0.25">
      <c r="A1088" s="7" t="s">
        <v>5858</v>
      </c>
      <c r="B1088" s="8" t="s">
        <v>99</v>
      </c>
      <c r="C1088" s="10">
        <f t="shared" si="50"/>
        <v>28490</v>
      </c>
      <c r="D1088" t="s">
        <v>11</v>
      </c>
      <c r="E1088" t="s">
        <v>12</v>
      </c>
      <c r="F1088" t="s">
        <v>11</v>
      </c>
      <c r="G1088" t="s">
        <v>12</v>
      </c>
      <c r="H1088" t="s">
        <v>11</v>
      </c>
      <c r="I1088" t="s">
        <v>12</v>
      </c>
      <c r="J1088" t="s">
        <v>11</v>
      </c>
      <c r="K1088" t="s">
        <v>12</v>
      </c>
      <c r="L1088" s="12" t="s">
        <v>207</v>
      </c>
      <c r="M1088" s="12" t="s">
        <v>199</v>
      </c>
      <c r="N1088" s="12" t="s">
        <v>175</v>
      </c>
      <c r="O1088" s="12" t="s">
        <v>150</v>
      </c>
      <c r="P1088" s="12" t="s">
        <v>215</v>
      </c>
      <c r="Q1088" s="7" t="str">
        <f t="shared" si="49"/>
        <v>(1977,52,'1977.12.31',2,53,55,57,81,0),</v>
      </c>
      <c r="R1088" s="7" t="str">
        <f t="shared" si="51"/>
        <v>(1977,52,'1977.12.31',2,53,55,57,81),</v>
      </c>
    </row>
    <row r="1089" spans="1:18" x14ac:dyDescent="0.25">
      <c r="A1089" s="7" t="s">
        <v>5857</v>
      </c>
      <c r="B1089" s="8" t="s">
        <v>108</v>
      </c>
      <c r="C1089" s="10">
        <f t="shared" si="50"/>
        <v>28497</v>
      </c>
      <c r="D1089" t="s">
        <v>11</v>
      </c>
      <c r="E1089" t="s">
        <v>12</v>
      </c>
      <c r="F1089" t="s">
        <v>11</v>
      </c>
      <c r="G1089" t="s">
        <v>12</v>
      </c>
      <c r="H1089" t="s">
        <v>11</v>
      </c>
      <c r="I1089" t="s">
        <v>12</v>
      </c>
      <c r="J1089" t="s">
        <v>11</v>
      </c>
      <c r="K1089" t="s">
        <v>12</v>
      </c>
      <c r="L1089" s="12" t="s">
        <v>232</v>
      </c>
      <c r="M1089" s="12" t="s">
        <v>71</v>
      </c>
      <c r="N1089" s="12" t="s">
        <v>150</v>
      </c>
      <c r="O1089" s="12" t="s">
        <v>23</v>
      </c>
      <c r="P1089" s="12" t="s">
        <v>106</v>
      </c>
      <c r="Q1089" s="7" t="str">
        <f t="shared" si="49"/>
        <v>(1978,1,'1978.01.07',8,31,57,60,75,0),</v>
      </c>
      <c r="R1089" s="7" t="str">
        <f t="shared" si="51"/>
        <v>(1978,1,'1978.01.07',8,31,57,60,75),</v>
      </c>
    </row>
    <row r="1090" spans="1:18" x14ac:dyDescent="0.25">
      <c r="A1090" s="7" t="s">
        <v>5857</v>
      </c>
      <c r="B1090" s="8" t="s">
        <v>207</v>
      </c>
      <c r="C1090" s="10">
        <f t="shared" si="50"/>
        <v>28504</v>
      </c>
      <c r="D1090" t="s">
        <v>11</v>
      </c>
      <c r="E1090" t="s">
        <v>12</v>
      </c>
      <c r="F1090" t="s">
        <v>11</v>
      </c>
      <c r="G1090" t="s">
        <v>12</v>
      </c>
      <c r="H1090" t="s">
        <v>11</v>
      </c>
      <c r="I1090" t="s">
        <v>12</v>
      </c>
      <c r="J1090" t="s">
        <v>11</v>
      </c>
      <c r="K1090" t="s">
        <v>12</v>
      </c>
      <c r="L1090" s="12" t="s">
        <v>65</v>
      </c>
      <c r="M1090" s="12" t="s">
        <v>24</v>
      </c>
      <c r="N1090" s="12" t="s">
        <v>133</v>
      </c>
      <c r="O1090" s="12" t="s">
        <v>56</v>
      </c>
      <c r="P1090" s="12" t="s">
        <v>106</v>
      </c>
      <c r="Q1090" s="7" t="str">
        <f t="shared" ref="Q1090:Q1153" si="52">"("&amp;A1090&amp;","&amp;B1090&amp;",'"&amp;TEXT(C1090,"éééé.hh.nn")&amp;"',"&amp;L1090&amp;","&amp;M1090&amp;","&amp;N1090&amp;","&amp;O1090&amp;","&amp;P1090&amp;",0)"&amp;IF(P1091&lt;&gt;0,",","")</f>
        <v>(1978,2,'1978.01.14',13,39,45,71,75,0),</v>
      </c>
      <c r="R1090" s="7" t="str">
        <f t="shared" si="51"/>
        <v>(1978,2,'1978.01.14',13,39,45,71,75),</v>
      </c>
    </row>
    <row r="1091" spans="1:18" x14ac:dyDescent="0.25">
      <c r="A1091" s="7" t="s">
        <v>5857</v>
      </c>
      <c r="B1091" s="8" t="s">
        <v>42</v>
      </c>
      <c r="C1091" s="10">
        <f t="shared" ref="C1091:C1154" si="53">+C1090+7</f>
        <v>28511</v>
      </c>
      <c r="D1091" t="s">
        <v>11</v>
      </c>
      <c r="E1091" t="s">
        <v>12</v>
      </c>
      <c r="F1091" t="s">
        <v>11</v>
      </c>
      <c r="G1091" t="s">
        <v>12</v>
      </c>
      <c r="H1091" t="s">
        <v>11</v>
      </c>
      <c r="I1091" t="s">
        <v>12</v>
      </c>
      <c r="J1091" t="s">
        <v>11</v>
      </c>
      <c r="K1091" t="s">
        <v>12</v>
      </c>
      <c r="L1091" s="12" t="s">
        <v>90</v>
      </c>
      <c r="M1091" s="12" t="s">
        <v>116</v>
      </c>
      <c r="N1091" s="12" t="s">
        <v>72</v>
      </c>
      <c r="O1091" s="12" t="s">
        <v>56</v>
      </c>
      <c r="P1091" s="12" t="s">
        <v>201</v>
      </c>
      <c r="Q1091" s="7" t="str">
        <f t="shared" si="52"/>
        <v>(1978,3,'1978.01.21',17,29,67,71,72,0),</v>
      </c>
      <c r="R1091" s="7" t="str">
        <f t="shared" ref="R1091:R1154" si="54">IF(TRIM(P1091)="","","("&amp;A1091&amp;","&amp;B1091&amp;",'"&amp;TEXT(C1091,"éééé.hh.nn")&amp;"',"&amp;L1091&amp;","&amp;M1091&amp;","&amp;N1091&amp;","&amp;O1091&amp;","&amp;P1091&amp;")"&amp;IF(P1092=0,";",","))</f>
        <v>(1978,3,'1978.01.21',17,29,67,71,72),</v>
      </c>
    </row>
    <row r="1092" spans="1:18" x14ac:dyDescent="0.25">
      <c r="A1092" s="7" t="s">
        <v>5857</v>
      </c>
      <c r="B1092" s="8" t="s">
        <v>168</v>
      </c>
      <c r="C1092" s="10">
        <f t="shared" si="53"/>
        <v>28518</v>
      </c>
      <c r="D1092" t="s">
        <v>11</v>
      </c>
      <c r="E1092" t="s">
        <v>12</v>
      </c>
      <c r="F1092" t="s">
        <v>11</v>
      </c>
      <c r="G1092" t="s">
        <v>12</v>
      </c>
      <c r="H1092" t="s">
        <v>11</v>
      </c>
      <c r="I1092" t="s">
        <v>12</v>
      </c>
      <c r="J1092" t="s">
        <v>11</v>
      </c>
      <c r="K1092" t="s">
        <v>12</v>
      </c>
      <c r="L1092" s="12" t="s">
        <v>33</v>
      </c>
      <c r="M1092" s="12" t="s">
        <v>199</v>
      </c>
      <c r="N1092" s="12" t="s">
        <v>214</v>
      </c>
      <c r="O1092" s="12" t="s">
        <v>622</v>
      </c>
      <c r="P1092" s="12" t="s">
        <v>308</v>
      </c>
      <c r="Q1092" s="7" t="str">
        <f t="shared" si="52"/>
        <v>(1978,4,'1978.01.28',24,53,64,82,86,0),</v>
      </c>
      <c r="R1092" s="7" t="str">
        <f t="shared" si="54"/>
        <v>(1978,4,'1978.01.28',24,53,64,82,86),</v>
      </c>
    </row>
    <row r="1093" spans="1:18" x14ac:dyDescent="0.25">
      <c r="A1093" s="7" t="s">
        <v>5857</v>
      </c>
      <c r="B1093" s="8" t="s">
        <v>89</v>
      </c>
      <c r="C1093" s="10">
        <f t="shared" si="53"/>
        <v>28525</v>
      </c>
      <c r="D1093" t="s">
        <v>11</v>
      </c>
      <c r="E1093" t="s">
        <v>12</v>
      </c>
      <c r="F1093" t="s">
        <v>11</v>
      </c>
      <c r="G1093" t="s">
        <v>12</v>
      </c>
      <c r="H1093" t="s">
        <v>11</v>
      </c>
      <c r="I1093" t="s">
        <v>12</v>
      </c>
      <c r="J1093" t="s">
        <v>11</v>
      </c>
      <c r="K1093" t="s">
        <v>12</v>
      </c>
      <c r="L1093" s="12" t="s">
        <v>207</v>
      </c>
      <c r="M1093" s="12" t="s">
        <v>32</v>
      </c>
      <c r="N1093" s="12" t="s">
        <v>150</v>
      </c>
      <c r="O1093" s="12" t="s">
        <v>23</v>
      </c>
      <c r="P1093" s="12" t="s">
        <v>379</v>
      </c>
      <c r="Q1093" s="7" t="str">
        <f t="shared" si="52"/>
        <v>(1978,5,'1978.02.04',2,22,57,60,89,0),</v>
      </c>
      <c r="R1093" s="7" t="str">
        <f t="shared" si="54"/>
        <v>(1978,5,'1978.02.04',2,22,57,60,89),</v>
      </c>
    </row>
    <row r="1094" spans="1:18" x14ac:dyDescent="0.25">
      <c r="A1094" s="7" t="s">
        <v>5857</v>
      </c>
      <c r="B1094" s="8" t="s">
        <v>270</v>
      </c>
      <c r="C1094" s="10">
        <f t="shared" si="53"/>
        <v>28532</v>
      </c>
      <c r="D1094" t="s">
        <v>11</v>
      </c>
      <c r="E1094" t="s">
        <v>12</v>
      </c>
      <c r="F1094" t="s">
        <v>11</v>
      </c>
      <c r="G1094" t="s">
        <v>12</v>
      </c>
      <c r="H1094" t="s">
        <v>11</v>
      </c>
      <c r="I1094" t="s">
        <v>12</v>
      </c>
      <c r="J1094" t="s">
        <v>11</v>
      </c>
      <c r="K1094" t="s">
        <v>12</v>
      </c>
      <c r="L1094" s="12" t="s">
        <v>108</v>
      </c>
      <c r="M1094" s="12" t="s">
        <v>232</v>
      </c>
      <c r="N1094" s="12" t="s">
        <v>54</v>
      </c>
      <c r="O1094" s="12" t="s">
        <v>32</v>
      </c>
      <c r="P1094" s="12" t="s">
        <v>46</v>
      </c>
      <c r="Q1094" s="7" t="str">
        <f t="shared" si="52"/>
        <v>(1978,6,'1978.02.11',1,8,15,22,37,0),</v>
      </c>
      <c r="R1094" s="7" t="str">
        <f t="shared" si="54"/>
        <v>(1978,6,'1978.02.11',1,8,15,22,37),</v>
      </c>
    </row>
    <row r="1095" spans="1:18" x14ac:dyDescent="0.25">
      <c r="A1095" s="7" t="s">
        <v>5857</v>
      </c>
      <c r="B1095" s="8" t="s">
        <v>53</v>
      </c>
      <c r="C1095" s="10">
        <f t="shared" si="53"/>
        <v>28539</v>
      </c>
      <c r="D1095" t="s">
        <v>11</v>
      </c>
      <c r="E1095" t="s">
        <v>12</v>
      </c>
      <c r="F1095" t="s">
        <v>11</v>
      </c>
      <c r="G1095" t="s">
        <v>12</v>
      </c>
      <c r="H1095" t="s">
        <v>11</v>
      </c>
      <c r="I1095" t="s">
        <v>12</v>
      </c>
      <c r="J1095" t="s">
        <v>11</v>
      </c>
      <c r="K1095" t="s">
        <v>12</v>
      </c>
      <c r="L1095" s="12" t="s">
        <v>90</v>
      </c>
      <c r="M1095" s="12" t="s">
        <v>10</v>
      </c>
      <c r="N1095" s="12" t="s">
        <v>133</v>
      </c>
      <c r="O1095" s="12" t="s">
        <v>124</v>
      </c>
      <c r="P1095" s="12" t="s">
        <v>35</v>
      </c>
      <c r="Q1095" s="7" t="str">
        <f t="shared" si="52"/>
        <v>(1978,7,'1978.02.18',17,40,45,62,65,0),</v>
      </c>
      <c r="R1095" s="7" t="str">
        <f t="shared" si="54"/>
        <v>(1978,7,'1978.02.18',17,40,45,62,65),</v>
      </c>
    </row>
    <row r="1096" spans="1:18" x14ac:dyDescent="0.25">
      <c r="A1096" s="7" t="s">
        <v>5857</v>
      </c>
      <c r="B1096" s="8" t="s">
        <v>232</v>
      </c>
      <c r="C1096" s="10">
        <f t="shared" si="53"/>
        <v>28546</v>
      </c>
      <c r="D1096" t="s">
        <v>11</v>
      </c>
      <c r="E1096" t="s">
        <v>12</v>
      </c>
      <c r="F1096" t="s">
        <v>11</v>
      </c>
      <c r="G1096" t="s">
        <v>12</v>
      </c>
      <c r="H1096" t="s">
        <v>11</v>
      </c>
      <c r="I1096" t="s">
        <v>12</v>
      </c>
      <c r="J1096" t="s">
        <v>11</v>
      </c>
      <c r="K1096" t="s">
        <v>12</v>
      </c>
      <c r="L1096" s="12" t="s">
        <v>127</v>
      </c>
      <c r="M1096" s="12" t="s">
        <v>36</v>
      </c>
      <c r="N1096" s="12" t="s">
        <v>133</v>
      </c>
      <c r="O1096" s="12" t="s">
        <v>192</v>
      </c>
      <c r="P1096" s="12" t="s">
        <v>125</v>
      </c>
      <c r="Q1096" s="7" t="str">
        <f t="shared" si="52"/>
        <v>(1978,8,'1978.02.25',14,38,45,46,83,0),</v>
      </c>
      <c r="R1096" s="7" t="str">
        <f t="shared" si="54"/>
        <v>(1978,8,'1978.02.25',14,38,45,46,83),</v>
      </c>
    </row>
    <row r="1097" spans="1:18" x14ac:dyDescent="0.25">
      <c r="A1097" s="7" t="s">
        <v>5857</v>
      </c>
      <c r="B1097" s="8" t="s">
        <v>198</v>
      </c>
      <c r="C1097" s="10">
        <f t="shared" si="53"/>
        <v>28553</v>
      </c>
      <c r="D1097" t="s">
        <v>11</v>
      </c>
      <c r="E1097" t="s">
        <v>12</v>
      </c>
      <c r="F1097" t="s">
        <v>11</v>
      </c>
      <c r="G1097" t="s">
        <v>12</v>
      </c>
      <c r="H1097" t="s">
        <v>11</v>
      </c>
      <c r="I1097" t="s">
        <v>12</v>
      </c>
      <c r="J1097" t="s">
        <v>11</v>
      </c>
      <c r="K1097" t="s">
        <v>12</v>
      </c>
      <c r="L1097" s="12" t="s">
        <v>108</v>
      </c>
      <c r="M1097" s="12" t="s">
        <v>32</v>
      </c>
      <c r="N1097" s="12" t="s">
        <v>126</v>
      </c>
      <c r="O1097" s="12" t="s">
        <v>133</v>
      </c>
      <c r="P1097" s="12" t="s">
        <v>245</v>
      </c>
      <c r="Q1097" s="7" t="str">
        <f t="shared" si="52"/>
        <v>(1978,9,'1978.03.04',1,22,28,45,74,0),</v>
      </c>
      <c r="R1097" s="7" t="str">
        <f t="shared" si="54"/>
        <v>(1978,9,'1978.03.04',1,22,28,45,74),</v>
      </c>
    </row>
    <row r="1098" spans="1:18" x14ac:dyDescent="0.25">
      <c r="A1098" s="7" t="s">
        <v>5857</v>
      </c>
      <c r="B1098" s="8" t="s">
        <v>62</v>
      </c>
      <c r="C1098" s="10">
        <f t="shared" si="53"/>
        <v>28560</v>
      </c>
      <c r="D1098" t="s">
        <v>11</v>
      </c>
      <c r="E1098" t="s">
        <v>12</v>
      </c>
      <c r="F1098" t="s">
        <v>11</v>
      </c>
      <c r="G1098" t="s">
        <v>12</v>
      </c>
      <c r="H1098" t="s">
        <v>11</v>
      </c>
      <c r="I1098" t="s">
        <v>12</v>
      </c>
      <c r="J1098" t="s">
        <v>11</v>
      </c>
      <c r="K1098" t="s">
        <v>12</v>
      </c>
      <c r="L1098" s="12" t="s">
        <v>42</v>
      </c>
      <c r="M1098" s="12" t="s">
        <v>13</v>
      </c>
      <c r="N1098" s="12" t="s">
        <v>98</v>
      </c>
      <c r="O1098" s="12" t="s">
        <v>150</v>
      </c>
      <c r="P1098" s="12" t="s">
        <v>200</v>
      </c>
      <c r="Q1098" s="7" t="str">
        <f t="shared" si="52"/>
        <v>(1978,10,'1978.03.11',3,41,42,57,70,0),</v>
      </c>
      <c r="R1098" s="7" t="str">
        <f t="shared" si="54"/>
        <v>(1978,10,'1978.03.11',3,41,42,57,70),</v>
      </c>
    </row>
    <row r="1099" spans="1:18" x14ac:dyDescent="0.25">
      <c r="A1099" s="7" t="s">
        <v>5857</v>
      </c>
      <c r="B1099" s="8" t="s">
        <v>83</v>
      </c>
      <c r="C1099" s="10">
        <f t="shared" si="53"/>
        <v>28567</v>
      </c>
      <c r="D1099" t="s">
        <v>11</v>
      </c>
      <c r="E1099" t="s">
        <v>12</v>
      </c>
      <c r="F1099" t="s">
        <v>11</v>
      </c>
      <c r="G1099" t="s">
        <v>12</v>
      </c>
      <c r="H1099" t="s">
        <v>11</v>
      </c>
      <c r="I1099" t="s">
        <v>12</v>
      </c>
      <c r="J1099" t="s">
        <v>11</v>
      </c>
      <c r="K1099" t="s">
        <v>12</v>
      </c>
      <c r="L1099" s="12" t="s">
        <v>90</v>
      </c>
      <c r="M1099" s="12" t="s">
        <v>74</v>
      </c>
      <c r="N1099" s="12" t="s">
        <v>25</v>
      </c>
      <c r="O1099" s="12" t="s">
        <v>133</v>
      </c>
      <c r="P1099" s="12" t="s">
        <v>34</v>
      </c>
      <c r="Q1099" s="7" t="str">
        <f t="shared" si="52"/>
        <v>(1978,11,'1978.03.18',17,26,34,45,49,0),</v>
      </c>
      <c r="R1099" s="7" t="str">
        <f t="shared" si="54"/>
        <v>(1978,11,'1978.03.18',17,26,34,45,49),</v>
      </c>
    </row>
    <row r="1100" spans="1:18" x14ac:dyDescent="0.25">
      <c r="A1100" s="7" t="s">
        <v>5857</v>
      </c>
      <c r="B1100" s="8" t="s">
        <v>31</v>
      </c>
      <c r="C1100" s="10">
        <f t="shared" si="53"/>
        <v>28574</v>
      </c>
      <c r="D1100" t="s">
        <v>11</v>
      </c>
      <c r="E1100" t="s">
        <v>12</v>
      </c>
      <c r="F1100" t="s">
        <v>11</v>
      </c>
      <c r="G1100" t="s">
        <v>12</v>
      </c>
      <c r="H1100" t="s">
        <v>11</v>
      </c>
      <c r="I1100" t="s">
        <v>12</v>
      </c>
      <c r="J1100" t="s">
        <v>11</v>
      </c>
      <c r="K1100" t="s">
        <v>12</v>
      </c>
      <c r="L1100" s="12" t="s">
        <v>55</v>
      </c>
      <c r="M1100" s="12" t="s">
        <v>36</v>
      </c>
      <c r="N1100" s="12" t="s">
        <v>122</v>
      </c>
      <c r="O1100" s="12" t="s">
        <v>246</v>
      </c>
      <c r="P1100" s="12" t="s">
        <v>186</v>
      </c>
      <c r="Q1100" s="7" t="str">
        <f t="shared" si="52"/>
        <v>(1978,12,'1978.03.25',19,38,51,84,90,0),</v>
      </c>
      <c r="R1100" s="7" t="str">
        <f t="shared" si="54"/>
        <v>(1978,12,'1978.03.25',19,38,51,84,90),</v>
      </c>
    </row>
    <row r="1101" spans="1:18" x14ac:dyDescent="0.25">
      <c r="A1101" s="7" t="s">
        <v>5857</v>
      </c>
      <c r="B1101" s="8" t="s">
        <v>65</v>
      </c>
      <c r="C1101" s="10">
        <f t="shared" si="53"/>
        <v>28581</v>
      </c>
      <c r="D1101" t="s">
        <v>11</v>
      </c>
      <c r="E1101" t="s">
        <v>12</v>
      </c>
      <c r="F1101" t="s">
        <v>11</v>
      </c>
      <c r="G1101" t="s">
        <v>12</v>
      </c>
      <c r="H1101" t="s">
        <v>11</v>
      </c>
      <c r="I1101" t="s">
        <v>12</v>
      </c>
      <c r="J1101" t="s">
        <v>11</v>
      </c>
      <c r="K1101" t="s">
        <v>12</v>
      </c>
      <c r="L1101" s="12" t="s">
        <v>46</v>
      </c>
      <c r="M1101" s="12" t="s">
        <v>142</v>
      </c>
      <c r="N1101" s="12" t="s">
        <v>92</v>
      </c>
      <c r="O1101" s="12" t="s">
        <v>106</v>
      </c>
      <c r="P1101" s="12" t="s">
        <v>73</v>
      </c>
      <c r="Q1101" s="7" t="str">
        <f t="shared" si="52"/>
        <v>(1978,13,'1978.04.01',37,44,68,75,76,0),</v>
      </c>
      <c r="R1101" s="7" t="str">
        <f t="shared" si="54"/>
        <v>(1978,13,'1978.04.01',37,44,68,75,76),</v>
      </c>
    </row>
    <row r="1102" spans="1:18" x14ac:dyDescent="0.25">
      <c r="A1102" s="7" t="s">
        <v>5857</v>
      </c>
      <c r="B1102" s="8" t="s">
        <v>127</v>
      </c>
      <c r="C1102" s="10">
        <f t="shared" si="53"/>
        <v>28588</v>
      </c>
      <c r="D1102" t="s">
        <v>11</v>
      </c>
      <c r="E1102" t="s">
        <v>12</v>
      </c>
      <c r="F1102" t="s">
        <v>11</v>
      </c>
      <c r="G1102" t="s">
        <v>12</v>
      </c>
      <c r="H1102" t="s">
        <v>11</v>
      </c>
      <c r="I1102" t="s">
        <v>12</v>
      </c>
      <c r="J1102" t="s">
        <v>11</v>
      </c>
      <c r="K1102" t="s">
        <v>12</v>
      </c>
      <c r="L1102" s="12" t="s">
        <v>108</v>
      </c>
      <c r="M1102" s="12" t="s">
        <v>33</v>
      </c>
      <c r="N1102" s="12" t="s">
        <v>122</v>
      </c>
      <c r="O1102" s="12" t="s">
        <v>199</v>
      </c>
      <c r="P1102" s="12" t="s">
        <v>468</v>
      </c>
      <c r="Q1102" s="7" t="str">
        <f t="shared" si="52"/>
        <v>(1978,14,'1978.04.08',1,24,51,53,85,0),</v>
      </c>
      <c r="R1102" s="7" t="str">
        <f t="shared" si="54"/>
        <v>(1978,14,'1978.04.08',1,24,51,53,85),</v>
      </c>
    </row>
    <row r="1103" spans="1:18" x14ac:dyDescent="0.25">
      <c r="A1103" s="7" t="s">
        <v>5857</v>
      </c>
      <c r="B1103" s="8" t="s">
        <v>54</v>
      </c>
      <c r="C1103" s="10">
        <f t="shared" si="53"/>
        <v>28595</v>
      </c>
      <c r="D1103" t="s">
        <v>11</v>
      </c>
      <c r="E1103" t="s">
        <v>12</v>
      </c>
      <c r="F1103" t="s">
        <v>11</v>
      </c>
      <c r="G1103" t="s">
        <v>12</v>
      </c>
      <c r="H1103" t="s">
        <v>11</v>
      </c>
      <c r="I1103" t="s">
        <v>12</v>
      </c>
      <c r="J1103" t="s">
        <v>11</v>
      </c>
      <c r="K1103" t="s">
        <v>12</v>
      </c>
      <c r="L1103" s="12" t="s">
        <v>32</v>
      </c>
      <c r="M1103" s="12" t="s">
        <v>107</v>
      </c>
      <c r="N1103" s="12" t="s">
        <v>36</v>
      </c>
      <c r="O1103" s="12" t="s">
        <v>99</v>
      </c>
      <c r="P1103" s="12" t="s">
        <v>82</v>
      </c>
      <c r="Q1103" s="7" t="str">
        <f t="shared" si="52"/>
        <v>(1978,15,'1978.04.15',22,30,38,52,59,0),</v>
      </c>
      <c r="R1103" s="7" t="str">
        <f t="shared" si="54"/>
        <v>(1978,15,'1978.04.15',22,30,38,52,59),</v>
      </c>
    </row>
    <row r="1104" spans="1:18" x14ac:dyDescent="0.25">
      <c r="A1104" s="7" t="s">
        <v>5857</v>
      </c>
      <c r="B1104" s="8" t="s">
        <v>43</v>
      </c>
      <c r="C1104" s="10">
        <f t="shared" si="53"/>
        <v>28602</v>
      </c>
      <c r="D1104" t="s">
        <v>11</v>
      </c>
      <c r="E1104" t="s">
        <v>12</v>
      </c>
      <c r="F1104" t="s">
        <v>11</v>
      </c>
      <c r="G1104" t="s">
        <v>12</v>
      </c>
      <c r="H1104" t="s">
        <v>11</v>
      </c>
      <c r="I1104" t="s">
        <v>12</v>
      </c>
      <c r="J1104" t="s">
        <v>11</v>
      </c>
      <c r="K1104" t="s">
        <v>12</v>
      </c>
      <c r="L1104" s="12" t="s">
        <v>168</v>
      </c>
      <c r="M1104" s="12" t="s">
        <v>91</v>
      </c>
      <c r="N1104" s="12" t="s">
        <v>239</v>
      </c>
      <c r="O1104" s="12" t="s">
        <v>151</v>
      </c>
      <c r="P1104" s="12" t="s">
        <v>208</v>
      </c>
      <c r="Q1104" s="7" t="str">
        <f t="shared" si="52"/>
        <v>(1978,16,'1978.04.22',4,61,73,79,88,0),</v>
      </c>
      <c r="R1104" s="7" t="str">
        <f t="shared" si="54"/>
        <v>(1978,16,'1978.04.22',4,61,73,79,88),</v>
      </c>
    </row>
    <row r="1105" spans="1:18" x14ac:dyDescent="0.25">
      <c r="A1105" s="7" t="s">
        <v>5857</v>
      </c>
      <c r="B1105" s="8" t="s">
        <v>90</v>
      </c>
      <c r="C1105" s="10">
        <f t="shared" si="53"/>
        <v>28609</v>
      </c>
      <c r="D1105" t="s">
        <v>11</v>
      </c>
      <c r="E1105" t="s">
        <v>12</v>
      </c>
      <c r="F1105" t="s">
        <v>11</v>
      </c>
      <c r="G1105" t="s">
        <v>12</v>
      </c>
      <c r="H1105" t="s">
        <v>11</v>
      </c>
      <c r="I1105" t="s">
        <v>12</v>
      </c>
      <c r="J1105" t="s">
        <v>11</v>
      </c>
      <c r="K1105" t="s">
        <v>12</v>
      </c>
      <c r="L1105" s="12" t="s">
        <v>80</v>
      </c>
      <c r="M1105" s="12" t="s">
        <v>150</v>
      </c>
      <c r="N1105" s="12" t="s">
        <v>47</v>
      </c>
      <c r="O1105" s="12" t="s">
        <v>239</v>
      </c>
      <c r="P1105" s="12" t="s">
        <v>269</v>
      </c>
      <c r="Q1105" s="7" t="str">
        <f t="shared" si="52"/>
        <v>(1978,17,'1978.04.29',32,57,69,73,87,0),</v>
      </c>
      <c r="R1105" s="7" t="str">
        <f t="shared" si="54"/>
        <v>(1978,17,'1978.04.29',32,57,69,73,87),</v>
      </c>
    </row>
    <row r="1106" spans="1:18" x14ac:dyDescent="0.25">
      <c r="A1106" s="7" t="s">
        <v>5857</v>
      </c>
      <c r="B1106" s="8" t="s">
        <v>19</v>
      </c>
      <c r="C1106" s="10">
        <f t="shared" si="53"/>
        <v>28616</v>
      </c>
      <c r="D1106" t="s">
        <v>11</v>
      </c>
      <c r="E1106" t="s">
        <v>12</v>
      </c>
      <c r="F1106" t="s">
        <v>11</v>
      </c>
      <c r="G1106" t="s">
        <v>12</v>
      </c>
      <c r="H1106" t="s">
        <v>11</v>
      </c>
      <c r="I1106" t="s">
        <v>12</v>
      </c>
      <c r="J1106" t="s">
        <v>11</v>
      </c>
      <c r="K1106" t="s">
        <v>12</v>
      </c>
      <c r="L1106" s="12" t="s">
        <v>127</v>
      </c>
      <c r="M1106" s="12" t="s">
        <v>116</v>
      </c>
      <c r="N1106" s="12" t="s">
        <v>150</v>
      </c>
      <c r="O1106" s="12" t="s">
        <v>233</v>
      </c>
      <c r="P1106" s="12" t="s">
        <v>379</v>
      </c>
      <c r="Q1106" s="7" t="str">
        <f t="shared" si="52"/>
        <v>(1978,18,'1978.05.06',14,29,57,66,89,0),</v>
      </c>
      <c r="R1106" s="7" t="str">
        <f t="shared" si="54"/>
        <v>(1978,18,'1978.05.06',14,29,57,66,89),</v>
      </c>
    </row>
    <row r="1107" spans="1:18" x14ac:dyDescent="0.25">
      <c r="A1107" s="7" t="s">
        <v>5857</v>
      </c>
      <c r="B1107" s="8" t="s">
        <v>55</v>
      </c>
      <c r="C1107" s="10">
        <f t="shared" si="53"/>
        <v>28623</v>
      </c>
      <c r="D1107" t="s">
        <v>11</v>
      </c>
      <c r="E1107" t="s">
        <v>12</v>
      </c>
      <c r="F1107" t="s">
        <v>11</v>
      </c>
      <c r="G1107" t="s">
        <v>12</v>
      </c>
      <c r="H1107" t="s">
        <v>11</v>
      </c>
      <c r="I1107" t="s">
        <v>12</v>
      </c>
      <c r="J1107" t="s">
        <v>11</v>
      </c>
      <c r="K1107" t="s">
        <v>12</v>
      </c>
      <c r="L1107" s="12" t="s">
        <v>53</v>
      </c>
      <c r="M1107" s="12" t="s">
        <v>126</v>
      </c>
      <c r="N1107" s="12" t="s">
        <v>35</v>
      </c>
      <c r="O1107" s="12" t="s">
        <v>56</v>
      </c>
      <c r="P1107" s="12" t="s">
        <v>215</v>
      </c>
      <c r="Q1107" s="7" t="str">
        <f t="shared" si="52"/>
        <v>(1978,19,'1978.05.13',7,28,65,71,81,0),</v>
      </c>
      <c r="R1107" s="7" t="str">
        <f t="shared" si="54"/>
        <v>(1978,19,'1978.05.13',7,28,65,71,81),</v>
      </c>
    </row>
    <row r="1108" spans="1:18" x14ac:dyDescent="0.25">
      <c r="A1108" s="7" t="s">
        <v>5857</v>
      </c>
      <c r="B1108" s="8" t="s">
        <v>115</v>
      </c>
      <c r="C1108" s="10">
        <f t="shared" si="53"/>
        <v>28630</v>
      </c>
      <c r="D1108" t="s">
        <v>11</v>
      </c>
      <c r="E1108" t="s">
        <v>12</v>
      </c>
      <c r="F1108" t="s">
        <v>11</v>
      </c>
      <c r="G1108" t="s">
        <v>12</v>
      </c>
      <c r="H1108" t="s">
        <v>11</v>
      </c>
      <c r="I1108" t="s">
        <v>12</v>
      </c>
      <c r="J1108" t="s">
        <v>11</v>
      </c>
      <c r="K1108" t="s">
        <v>12</v>
      </c>
      <c r="L1108" s="12" t="s">
        <v>135</v>
      </c>
      <c r="M1108" s="12" t="s">
        <v>126</v>
      </c>
      <c r="N1108" s="12" t="s">
        <v>24</v>
      </c>
      <c r="O1108" s="12" t="s">
        <v>81</v>
      </c>
      <c r="P1108" s="12" t="s">
        <v>143</v>
      </c>
      <c r="Q1108" s="7" t="str">
        <f t="shared" si="52"/>
        <v>(1978,20,'1978.05.20',27,28,39,47,77,0),</v>
      </c>
      <c r="R1108" s="7" t="str">
        <f t="shared" si="54"/>
        <v>(1978,20,'1978.05.20',27,28,39,47,77),</v>
      </c>
    </row>
    <row r="1109" spans="1:18" x14ac:dyDescent="0.25">
      <c r="A1109" s="7" t="s">
        <v>5857</v>
      </c>
      <c r="B1109" s="8" t="s">
        <v>44</v>
      </c>
      <c r="C1109" s="10">
        <f t="shared" si="53"/>
        <v>28637</v>
      </c>
      <c r="D1109" t="s">
        <v>11</v>
      </c>
      <c r="E1109" t="s">
        <v>12</v>
      </c>
      <c r="F1109" t="s">
        <v>11</v>
      </c>
      <c r="G1109" t="s">
        <v>12</v>
      </c>
      <c r="H1109" t="s">
        <v>11</v>
      </c>
      <c r="I1109" t="s">
        <v>12</v>
      </c>
      <c r="J1109" t="s">
        <v>11</v>
      </c>
      <c r="K1109" t="s">
        <v>12</v>
      </c>
      <c r="L1109" s="12" t="s">
        <v>83</v>
      </c>
      <c r="M1109" s="12" t="s">
        <v>19</v>
      </c>
      <c r="N1109" s="12" t="s">
        <v>32</v>
      </c>
      <c r="O1109" s="12" t="s">
        <v>21</v>
      </c>
      <c r="P1109" s="12" t="s">
        <v>134</v>
      </c>
      <c r="Q1109" s="7" t="str">
        <f t="shared" si="52"/>
        <v>(1978,21,'1978.05.27',11,18,22,36,56,0),</v>
      </c>
      <c r="R1109" s="7" t="str">
        <f t="shared" si="54"/>
        <v>(1978,21,'1978.05.27',11,18,22,36,56),</v>
      </c>
    </row>
    <row r="1110" spans="1:18" x14ac:dyDescent="0.25">
      <c r="A1110" s="7" t="s">
        <v>5857</v>
      </c>
      <c r="B1110" s="8" t="s">
        <v>32</v>
      </c>
      <c r="C1110" s="10">
        <f t="shared" si="53"/>
        <v>28644</v>
      </c>
      <c r="D1110" t="s">
        <v>11</v>
      </c>
      <c r="E1110" t="s">
        <v>12</v>
      </c>
      <c r="F1110" t="s">
        <v>11</v>
      </c>
      <c r="G1110" t="s">
        <v>12</v>
      </c>
      <c r="H1110" t="s">
        <v>11</v>
      </c>
      <c r="I1110" t="s">
        <v>12</v>
      </c>
      <c r="J1110" t="s">
        <v>11</v>
      </c>
      <c r="K1110" t="s">
        <v>12</v>
      </c>
      <c r="L1110" s="12" t="s">
        <v>152</v>
      </c>
      <c r="M1110" s="12" t="s">
        <v>133</v>
      </c>
      <c r="N1110" s="12" t="s">
        <v>150</v>
      </c>
      <c r="O1110" s="12" t="s">
        <v>245</v>
      </c>
      <c r="P1110" s="12" t="s">
        <v>63</v>
      </c>
      <c r="Q1110" s="7" t="str">
        <f t="shared" si="52"/>
        <v>(1978,22,'1978.06.03',25,45,57,74,78,0),</v>
      </c>
      <c r="R1110" s="7" t="str">
        <f t="shared" si="54"/>
        <v>(1978,22,'1978.06.03',25,45,57,74,78),</v>
      </c>
    </row>
    <row r="1111" spans="1:18" x14ac:dyDescent="0.25">
      <c r="A1111" s="7" t="s">
        <v>5857</v>
      </c>
      <c r="B1111" s="8" t="s">
        <v>163</v>
      </c>
      <c r="C1111" s="10">
        <f t="shared" si="53"/>
        <v>28651</v>
      </c>
      <c r="D1111" t="s">
        <v>11</v>
      </c>
      <c r="E1111" t="s">
        <v>12</v>
      </c>
      <c r="F1111" t="s">
        <v>11</v>
      </c>
      <c r="G1111" t="s">
        <v>12</v>
      </c>
      <c r="H1111" t="s">
        <v>11</v>
      </c>
      <c r="I1111" t="s">
        <v>12</v>
      </c>
      <c r="J1111" t="s">
        <v>11</v>
      </c>
      <c r="K1111" t="s">
        <v>12</v>
      </c>
      <c r="L1111" s="12" t="s">
        <v>44</v>
      </c>
      <c r="M1111" s="12" t="s">
        <v>74</v>
      </c>
      <c r="N1111" s="12" t="s">
        <v>116</v>
      </c>
      <c r="O1111" s="12" t="s">
        <v>24</v>
      </c>
      <c r="P1111" s="12" t="s">
        <v>56</v>
      </c>
      <c r="Q1111" s="7" t="str">
        <f t="shared" si="52"/>
        <v>(1978,23,'1978.06.10',21,26,29,39,71,0),</v>
      </c>
      <c r="R1111" s="7" t="str">
        <f t="shared" si="54"/>
        <v>(1978,23,'1978.06.10',21,26,29,39,71),</v>
      </c>
    </row>
    <row r="1112" spans="1:18" x14ac:dyDescent="0.25">
      <c r="A1112" s="7" t="s">
        <v>5857</v>
      </c>
      <c r="B1112" s="8" t="s">
        <v>33</v>
      </c>
      <c r="C1112" s="10">
        <f t="shared" si="53"/>
        <v>28658</v>
      </c>
      <c r="D1112" t="s">
        <v>11</v>
      </c>
      <c r="E1112" t="s">
        <v>12</v>
      </c>
      <c r="F1112" t="s">
        <v>11</v>
      </c>
      <c r="G1112" t="s">
        <v>12</v>
      </c>
      <c r="H1112" t="s">
        <v>11</v>
      </c>
      <c r="I1112" t="s">
        <v>12</v>
      </c>
      <c r="J1112" t="s">
        <v>11</v>
      </c>
      <c r="K1112" t="s">
        <v>12</v>
      </c>
      <c r="L1112" s="12" t="s">
        <v>43</v>
      </c>
      <c r="M1112" s="12" t="s">
        <v>74</v>
      </c>
      <c r="N1112" s="12" t="s">
        <v>134</v>
      </c>
      <c r="O1112" s="12" t="s">
        <v>308</v>
      </c>
      <c r="P1112" s="12" t="s">
        <v>208</v>
      </c>
      <c r="Q1112" s="7" t="str">
        <f t="shared" si="52"/>
        <v>(1978,24,'1978.06.17',16,26,56,86,88,0),</v>
      </c>
      <c r="R1112" s="7" t="str">
        <f t="shared" si="54"/>
        <v>(1978,24,'1978.06.17',16,26,56,86,88),</v>
      </c>
    </row>
    <row r="1113" spans="1:18" x14ac:dyDescent="0.25">
      <c r="A1113" s="7" t="s">
        <v>5857</v>
      </c>
      <c r="B1113" s="8" t="s">
        <v>152</v>
      </c>
      <c r="C1113" s="10">
        <f t="shared" si="53"/>
        <v>28665</v>
      </c>
      <c r="D1113" t="s">
        <v>11</v>
      </c>
      <c r="E1113" t="s">
        <v>12</v>
      </c>
      <c r="F1113" t="s">
        <v>11</v>
      </c>
      <c r="G1113" t="s">
        <v>12</v>
      </c>
      <c r="H1113" t="s">
        <v>11</v>
      </c>
      <c r="I1113" t="s">
        <v>12</v>
      </c>
      <c r="J1113" t="s">
        <v>11</v>
      </c>
      <c r="K1113" t="s">
        <v>12</v>
      </c>
      <c r="L1113" s="12" t="s">
        <v>270</v>
      </c>
      <c r="M1113" s="12" t="s">
        <v>135</v>
      </c>
      <c r="N1113" s="12" t="s">
        <v>150</v>
      </c>
      <c r="O1113" s="12" t="s">
        <v>91</v>
      </c>
      <c r="P1113" s="12" t="s">
        <v>208</v>
      </c>
      <c r="Q1113" s="7" t="str">
        <f t="shared" si="52"/>
        <v>(1978,25,'1978.06.24',6,27,57,61,88,0),</v>
      </c>
      <c r="R1113" s="7" t="str">
        <f t="shared" si="54"/>
        <v>(1978,25,'1978.06.24',6,27,57,61,88),</v>
      </c>
    </row>
    <row r="1114" spans="1:18" x14ac:dyDescent="0.25">
      <c r="A1114" s="7" t="s">
        <v>5857</v>
      </c>
      <c r="B1114" s="8" t="s">
        <v>74</v>
      </c>
      <c r="C1114" s="10">
        <f t="shared" si="53"/>
        <v>28672</v>
      </c>
      <c r="D1114" t="s">
        <v>11</v>
      </c>
      <c r="E1114" t="s">
        <v>12</v>
      </c>
      <c r="F1114" t="s">
        <v>11</v>
      </c>
      <c r="G1114" t="s">
        <v>12</v>
      </c>
      <c r="H1114" t="s">
        <v>11</v>
      </c>
      <c r="I1114" t="s">
        <v>12</v>
      </c>
      <c r="J1114" t="s">
        <v>11</v>
      </c>
      <c r="K1114" t="s">
        <v>12</v>
      </c>
      <c r="L1114" s="12" t="s">
        <v>55</v>
      </c>
      <c r="M1114" s="12" t="s">
        <v>133</v>
      </c>
      <c r="N1114" s="12" t="s">
        <v>192</v>
      </c>
      <c r="O1114" s="12" t="s">
        <v>134</v>
      </c>
      <c r="P1114" s="12" t="s">
        <v>201</v>
      </c>
      <c r="Q1114" s="7" t="str">
        <f t="shared" si="52"/>
        <v>(1978,26,'1978.07.01',19,45,46,56,72,0),</v>
      </c>
      <c r="R1114" s="7" t="str">
        <f t="shared" si="54"/>
        <v>(1978,26,'1978.07.01',19,45,46,56,72),</v>
      </c>
    </row>
    <row r="1115" spans="1:18" x14ac:dyDescent="0.25">
      <c r="A1115" s="7" t="s">
        <v>5857</v>
      </c>
      <c r="B1115" s="8" t="s">
        <v>135</v>
      </c>
      <c r="C1115" s="10">
        <f t="shared" si="53"/>
        <v>28679</v>
      </c>
      <c r="D1115" t="s">
        <v>11</v>
      </c>
      <c r="E1115" t="s">
        <v>12</v>
      </c>
      <c r="F1115" t="s">
        <v>11</v>
      </c>
      <c r="G1115" t="s">
        <v>12</v>
      </c>
      <c r="H1115" t="s">
        <v>11</v>
      </c>
      <c r="I1115" t="s">
        <v>12</v>
      </c>
      <c r="J1115" t="s">
        <v>11</v>
      </c>
      <c r="K1115" t="s">
        <v>12</v>
      </c>
      <c r="L1115" s="12" t="s">
        <v>44</v>
      </c>
      <c r="M1115" s="12" t="s">
        <v>142</v>
      </c>
      <c r="N1115" s="12" t="s">
        <v>81</v>
      </c>
      <c r="O1115" s="12" t="s">
        <v>22</v>
      </c>
      <c r="P1115" s="12" t="s">
        <v>246</v>
      </c>
      <c r="Q1115" s="7" t="str">
        <f t="shared" si="52"/>
        <v>(1978,27,'1978.07.08',21,44,47,48,84,0),</v>
      </c>
      <c r="R1115" s="7" t="str">
        <f t="shared" si="54"/>
        <v>(1978,27,'1978.07.08',21,44,47,48,84),</v>
      </c>
    </row>
    <row r="1116" spans="1:18" x14ac:dyDescent="0.25">
      <c r="A1116" s="7" t="s">
        <v>5857</v>
      </c>
      <c r="B1116" s="8" t="s">
        <v>126</v>
      </c>
      <c r="C1116" s="10">
        <f t="shared" si="53"/>
        <v>28686</v>
      </c>
      <c r="D1116" t="s">
        <v>11</v>
      </c>
      <c r="E1116" t="s">
        <v>12</v>
      </c>
      <c r="F1116" t="s">
        <v>11</v>
      </c>
      <c r="G1116" t="s">
        <v>12</v>
      </c>
      <c r="H1116" t="s">
        <v>11</v>
      </c>
      <c r="I1116" t="s">
        <v>12</v>
      </c>
      <c r="J1116" t="s">
        <v>11</v>
      </c>
      <c r="K1116" t="s">
        <v>12</v>
      </c>
      <c r="L1116" s="12" t="s">
        <v>54</v>
      </c>
      <c r="M1116" s="12" t="s">
        <v>80</v>
      </c>
      <c r="N1116" s="12" t="s">
        <v>23</v>
      </c>
      <c r="O1116" s="12" t="s">
        <v>201</v>
      </c>
      <c r="P1116" s="12" t="s">
        <v>468</v>
      </c>
      <c r="Q1116" s="7" t="str">
        <f t="shared" si="52"/>
        <v>(1978,28,'1978.07.15',15,32,60,72,85,0),</v>
      </c>
      <c r="R1116" s="7" t="str">
        <f t="shared" si="54"/>
        <v>(1978,28,'1978.07.15',15,32,60,72,85),</v>
      </c>
    </row>
    <row r="1117" spans="1:18" x14ac:dyDescent="0.25">
      <c r="A1117" s="7" t="s">
        <v>5857</v>
      </c>
      <c r="B1117" s="8" t="s">
        <v>116</v>
      </c>
      <c r="C1117" s="10">
        <f t="shared" si="53"/>
        <v>28693</v>
      </c>
      <c r="D1117" t="s">
        <v>11</v>
      </c>
      <c r="E1117" t="s">
        <v>12</v>
      </c>
      <c r="F1117" t="s">
        <v>11</v>
      </c>
      <c r="G1117" t="s">
        <v>12</v>
      </c>
      <c r="H1117" t="s">
        <v>11</v>
      </c>
      <c r="I1117" t="s">
        <v>12</v>
      </c>
      <c r="J1117" t="s">
        <v>11</v>
      </c>
      <c r="K1117" t="s">
        <v>12</v>
      </c>
      <c r="L1117" s="12" t="s">
        <v>108</v>
      </c>
      <c r="M1117" s="12" t="s">
        <v>270</v>
      </c>
      <c r="N1117" s="12" t="s">
        <v>54</v>
      </c>
      <c r="O1117" s="12" t="s">
        <v>169</v>
      </c>
      <c r="P1117" s="12" t="s">
        <v>63</v>
      </c>
      <c r="Q1117" s="7" t="str">
        <f t="shared" si="52"/>
        <v>(1978,29,'1978.07.22',1,6,15,58,78,0),</v>
      </c>
      <c r="R1117" s="7" t="str">
        <f t="shared" si="54"/>
        <v>(1978,29,'1978.07.22',1,6,15,58,78),</v>
      </c>
    </row>
    <row r="1118" spans="1:18" x14ac:dyDescent="0.25">
      <c r="A1118" s="7" t="s">
        <v>5857</v>
      </c>
      <c r="B1118" s="8" t="s">
        <v>107</v>
      </c>
      <c r="C1118" s="10">
        <f t="shared" si="53"/>
        <v>28700</v>
      </c>
      <c r="D1118" t="s">
        <v>11</v>
      </c>
      <c r="E1118" t="s">
        <v>12</v>
      </c>
      <c r="F1118" t="s">
        <v>11</v>
      </c>
      <c r="G1118" t="s">
        <v>12</v>
      </c>
      <c r="H1118" t="s">
        <v>11</v>
      </c>
      <c r="I1118" t="s">
        <v>12</v>
      </c>
      <c r="J1118" t="s">
        <v>11</v>
      </c>
      <c r="K1118" t="s">
        <v>12</v>
      </c>
      <c r="L1118" s="12" t="s">
        <v>53</v>
      </c>
      <c r="M1118" s="12" t="s">
        <v>232</v>
      </c>
      <c r="N1118" s="12" t="s">
        <v>122</v>
      </c>
      <c r="O1118" s="12" t="s">
        <v>82</v>
      </c>
      <c r="P1118" s="12" t="s">
        <v>308</v>
      </c>
      <c r="Q1118" s="7" t="str">
        <f t="shared" si="52"/>
        <v>(1978,30,'1978.07.29',7,8,51,59,86,0),</v>
      </c>
      <c r="R1118" s="7" t="str">
        <f t="shared" si="54"/>
        <v>(1978,30,'1978.07.29',7,8,51,59,86),</v>
      </c>
    </row>
    <row r="1119" spans="1:18" x14ac:dyDescent="0.25">
      <c r="A1119" s="7" t="s">
        <v>5857</v>
      </c>
      <c r="B1119" s="8" t="s">
        <v>71</v>
      </c>
      <c r="C1119" s="10">
        <f t="shared" si="53"/>
        <v>28707</v>
      </c>
      <c r="D1119" t="s">
        <v>11</v>
      </c>
      <c r="E1119" t="s">
        <v>12</v>
      </c>
      <c r="F1119" t="s">
        <v>11</v>
      </c>
      <c r="G1119" t="s">
        <v>12</v>
      </c>
      <c r="H1119" t="s">
        <v>11</v>
      </c>
      <c r="I1119" t="s">
        <v>12</v>
      </c>
      <c r="J1119" t="s">
        <v>11</v>
      </c>
      <c r="K1119" t="s">
        <v>12</v>
      </c>
      <c r="L1119" s="12" t="s">
        <v>198</v>
      </c>
      <c r="M1119" s="12" t="s">
        <v>115</v>
      </c>
      <c r="N1119" s="12" t="s">
        <v>80</v>
      </c>
      <c r="O1119" s="12" t="s">
        <v>82</v>
      </c>
      <c r="P1119" s="12" t="s">
        <v>125</v>
      </c>
      <c r="Q1119" s="7" t="str">
        <f t="shared" si="52"/>
        <v>(1978,31,'1978.08.05',9,20,32,59,83,0),</v>
      </c>
      <c r="R1119" s="7" t="str">
        <f t="shared" si="54"/>
        <v>(1978,31,'1978.08.05',9,20,32,59,83),</v>
      </c>
    </row>
    <row r="1120" spans="1:18" x14ac:dyDescent="0.25">
      <c r="A1120" s="7" t="s">
        <v>5857</v>
      </c>
      <c r="B1120" s="8" t="s">
        <v>80</v>
      </c>
      <c r="C1120" s="10">
        <f t="shared" si="53"/>
        <v>28714</v>
      </c>
      <c r="D1120" t="s">
        <v>11</v>
      </c>
      <c r="E1120" t="s">
        <v>12</v>
      </c>
      <c r="F1120" t="s">
        <v>11</v>
      </c>
      <c r="G1120" t="s">
        <v>12</v>
      </c>
      <c r="H1120" t="s">
        <v>11</v>
      </c>
      <c r="I1120" t="s">
        <v>12</v>
      </c>
      <c r="J1120" t="s">
        <v>11</v>
      </c>
      <c r="K1120" t="s">
        <v>12</v>
      </c>
      <c r="L1120" s="12" t="s">
        <v>198</v>
      </c>
      <c r="M1120" s="12" t="s">
        <v>163</v>
      </c>
      <c r="N1120" s="12" t="s">
        <v>135</v>
      </c>
      <c r="O1120" s="12" t="s">
        <v>20</v>
      </c>
      <c r="P1120" s="12" t="s">
        <v>208</v>
      </c>
      <c r="Q1120" s="7" t="str">
        <f t="shared" si="52"/>
        <v>(1978,32,'1978.08.12',9,23,27,33,88,0),</v>
      </c>
      <c r="R1120" s="7" t="str">
        <f t="shared" si="54"/>
        <v>(1978,32,'1978.08.12',9,23,27,33,88),</v>
      </c>
    </row>
    <row r="1121" spans="1:18" x14ac:dyDescent="0.25">
      <c r="A1121" s="7" t="s">
        <v>5857</v>
      </c>
      <c r="B1121" s="8" t="s">
        <v>20</v>
      </c>
      <c r="C1121" s="10">
        <f t="shared" si="53"/>
        <v>28721</v>
      </c>
      <c r="D1121" t="s">
        <v>11</v>
      </c>
      <c r="E1121" t="s">
        <v>12</v>
      </c>
      <c r="F1121" t="s">
        <v>11</v>
      </c>
      <c r="G1121" t="s">
        <v>12</v>
      </c>
      <c r="H1121" t="s">
        <v>11</v>
      </c>
      <c r="I1121" t="s">
        <v>12</v>
      </c>
      <c r="J1121" t="s">
        <v>11</v>
      </c>
      <c r="K1121" t="s">
        <v>12</v>
      </c>
      <c r="L1121" s="12" t="s">
        <v>80</v>
      </c>
      <c r="M1121" s="12" t="s">
        <v>21</v>
      </c>
      <c r="N1121" s="12" t="s">
        <v>81</v>
      </c>
      <c r="O1121" s="12" t="s">
        <v>34</v>
      </c>
      <c r="P1121" s="12" t="s">
        <v>99</v>
      </c>
      <c r="Q1121" s="7" t="str">
        <f t="shared" si="52"/>
        <v>(1978,33,'1978.08.19',32,36,47,49,52,0),</v>
      </c>
      <c r="R1121" s="7" t="str">
        <f t="shared" si="54"/>
        <v>(1978,33,'1978.08.19',32,36,47,49,52),</v>
      </c>
    </row>
    <row r="1122" spans="1:18" x14ac:dyDescent="0.25">
      <c r="A1122" s="7" t="s">
        <v>5857</v>
      </c>
      <c r="B1122" s="8" t="s">
        <v>25</v>
      </c>
      <c r="C1122" s="10">
        <f t="shared" si="53"/>
        <v>28728</v>
      </c>
      <c r="D1122" t="s">
        <v>11</v>
      </c>
      <c r="E1122" t="s">
        <v>12</v>
      </c>
      <c r="F1122" t="s">
        <v>11</v>
      </c>
      <c r="G1122" t="s">
        <v>12</v>
      </c>
      <c r="H1122" t="s">
        <v>11</v>
      </c>
      <c r="I1122" t="s">
        <v>12</v>
      </c>
      <c r="J1122" t="s">
        <v>11</v>
      </c>
      <c r="K1122" t="s">
        <v>12</v>
      </c>
      <c r="L1122" s="12" t="s">
        <v>42</v>
      </c>
      <c r="M1122" s="12" t="s">
        <v>198</v>
      </c>
      <c r="N1122" s="12" t="s">
        <v>74</v>
      </c>
      <c r="O1122" s="12" t="s">
        <v>10</v>
      </c>
      <c r="P1122" s="12" t="s">
        <v>106</v>
      </c>
      <c r="Q1122" s="7" t="str">
        <f t="shared" si="52"/>
        <v>(1978,34,'1978.08.26',3,9,26,40,75,0),</v>
      </c>
      <c r="R1122" s="7" t="str">
        <f t="shared" si="54"/>
        <v>(1978,34,'1978.08.26',3,9,26,40,75),</v>
      </c>
    </row>
    <row r="1123" spans="1:18" x14ac:dyDescent="0.25">
      <c r="A1123" s="7" t="s">
        <v>5857</v>
      </c>
      <c r="B1123" s="8" t="s">
        <v>64</v>
      </c>
      <c r="C1123" s="10">
        <f t="shared" si="53"/>
        <v>28735</v>
      </c>
      <c r="D1123" t="s">
        <v>11</v>
      </c>
      <c r="E1123" t="s">
        <v>12</v>
      </c>
      <c r="F1123" t="s">
        <v>11</v>
      </c>
      <c r="G1123" t="s">
        <v>12</v>
      </c>
      <c r="H1123" t="s">
        <v>11</v>
      </c>
      <c r="I1123" t="s">
        <v>12</v>
      </c>
      <c r="J1123" t="s">
        <v>11</v>
      </c>
      <c r="K1123" t="s">
        <v>12</v>
      </c>
      <c r="L1123" s="12" t="s">
        <v>198</v>
      </c>
      <c r="M1123" s="12" t="s">
        <v>98</v>
      </c>
      <c r="N1123" s="12" t="s">
        <v>63</v>
      </c>
      <c r="O1123" s="12" t="s">
        <v>246</v>
      </c>
      <c r="P1123" s="12" t="s">
        <v>308</v>
      </c>
      <c r="Q1123" s="7" t="str">
        <f t="shared" si="52"/>
        <v>(1978,35,'1978.09.02',9,42,78,84,86,0),</v>
      </c>
      <c r="R1123" s="7" t="str">
        <f t="shared" si="54"/>
        <v>(1978,35,'1978.09.02',9,42,78,84,86),</v>
      </c>
    </row>
    <row r="1124" spans="1:18" x14ac:dyDescent="0.25">
      <c r="A1124" s="7" t="s">
        <v>5857</v>
      </c>
      <c r="B1124" s="8" t="s">
        <v>21</v>
      </c>
      <c r="C1124" s="10">
        <f t="shared" si="53"/>
        <v>28742</v>
      </c>
      <c r="D1124" t="s">
        <v>11</v>
      </c>
      <c r="E1124" t="s">
        <v>12</v>
      </c>
      <c r="F1124" t="s">
        <v>11</v>
      </c>
      <c r="G1124" t="s">
        <v>12</v>
      </c>
      <c r="H1124" t="s">
        <v>11</v>
      </c>
      <c r="I1124" t="s">
        <v>12</v>
      </c>
      <c r="J1124" t="s">
        <v>11</v>
      </c>
      <c r="K1124" t="s">
        <v>12</v>
      </c>
      <c r="L1124" s="12" t="s">
        <v>152</v>
      </c>
      <c r="M1124" s="12" t="s">
        <v>20</v>
      </c>
      <c r="N1124" s="12" t="s">
        <v>45</v>
      </c>
      <c r="O1124" s="12" t="s">
        <v>134</v>
      </c>
      <c r="P1124" s="12" t="s">
        <v>301</v>
      </c>
      <c r="Q1124" s="7" t="str">
        <f t="shared" si="52"/>
        <v>(1978,36,'1978.09.09',25,33,43,56,80,0),</v>
      </c>
      <c r="R1124" s="7" t="str">
        <f t="shared" si="54"/>
        <v>(1978,36,'1978.09.09',25,33,43,56,80),</v>
      </c>
    </row>
    <row r="1125" spans="1:18" x14ac:dyDescent="0.25">
      <c r="A1125" s="7" t="s">
        <v>5857</v>
      </c>
      <c r="B1125" s="8" t="s">
        <v>46</v>
      </c>
      <c r="C1125" s="10">
        <f t="shared" si="53"/>
        <v>28749</v>
      </c>
      <c r="D1125" t="s">
        <v>11</v>
      </c>
      <c r="E1125" t="s">
        <v>12</v>
      </c>
      <c r="F1125" t="s">
        <v>11</v>
      </c>
      <c r="G1125" t="s">
        <v>12</v>
      </c>
      <c r="H1125" t="s">
        <v>11</v>
      </c>
      <c r="I1125" t="s">
        <v>12</v>
      </c>
      <c r="J1125" t="s">
        <v>11</v>
      </c>
      <c r="K1125" t="s">
        <v>12</v>
      </c>
      <c r="L1125" s="12" t="s">
        <v>115</v>
      </c>
      <c r="M1125" s="12" t="s">
        <v>64</v>
      </c>
      <c r="N1125" s="12" t="s">
        <v>81</v>
      </c>
      <c r="O1125" s="12" t="s">
        <v>169</v>
      </c>
      <c r="P1125" s="12" t="s">
        <v>208</v>
      </c>
      <c r="Q1125" s="7" t="str">
        <f t="shared" si="52"/>
        <v>(1978,37,'1978.09.16',20,35,47,58,88,0),</v>
      </c>
      <c r="R1125" s="7" t="str">
        <f t="shared" si="54"/>
        <v>(1978,37,'1978.09.16',20,35,47,58,88),</v>
      </c>
    </row>
    <row r="1126" spans="1:18" x14ac:dyDescent="0.25">
      <c r="A1126" s="7" t="s">
        <v>5857</v>
      </c>
      <c r="B1126" s="8" t="s">
        <v>36</v>
      </c>
      <c r="C1126" s="10">
        <f t="shared" si="53"/>
        <v>28756</v>
      </c>
      <c r="D1126" t="s">
        <v>11</v>
      </c>
      <c r="E1126" t="s">
        <v>12</v>
      </c>
      <c r="F1126" t="s">
        <v>11</v>
      </c>
      <c r="G1126" t="s">
        <v>12</v>
      </c>
      <c r="H1126" t="s">
        <v>11</v>
      </c>
      <c r="I1126" t="s">
        <v>12</v>
      </c>
      <c r="J1126" t="s">
        <v>11</v>
      </c>
      <c r="K1126" t="s">
        <v>12</v>
      </c>
      <c r="L1126" s="12" t="s">
        <v>168</v>
      </c>
      <c r="M1126" s="12" t="s">
        <v>198</v>
      </c>
      <c r="N1126" s="12" t="s">
        <v>35</v>
      </c>
      <c r="O1126" s="12" t="s">
        <v>200</v>
      </c>
      <c r="P1126" s="12" t="s">
        <v>186</v>
      </c>
      <c r="Q1126" s="7" t="str">
        <f t="shared" si="52"/>
        <v>(1978,38,'1978.09.23',4,9,65,70,90,0),</v>
      </c>
      <c r="R1126" s="7" t="str">
        <f t="shared" si="54"/>
        <v>(1978,38,'1978.09.23',4,9,65,70,90),</v>
      </c>
    </row>
    <row r="1127" spans="1:18" x14ac:dyDescent="0.25">
      <c r="A1127" s="7" t="s">
        <v>5857</v>
      </c>
      <c r="B1127" s="8" t="s">
        <v>24</v>
      </c>
      <c r="C1127" s="10">
        <f t="shared" si="53"/>
        <v>28763</v>
      </c>
      <c r="D1127" t="s">
        <v>11</v>
      </c>
      <c r="E1127" t="s">
        <v>12</v>
      </c>
      <c r="F1127" t="s">
        <v>11</v>
      </c>
      <c r="G1127" t="s">
        <v>12</v>
      </c>
      <c r="H1127" t="s">
        <v>11</v>
      </c>
      <c r="I1127" t="s">
        <v>12</v>
      </c>
      <c r="J1127" t="s">
        <v>11</v>
      </c>
      <c r="K1127" t="s">
        <v>12</v>
      </c>
      <c r="L1127" s="12" t="s">
        <v>135</v>
      </c>
      <c r="M1127" s="12" t="s">
        <v>71</v>
      </c>
      <c r="N1127" s="12" t="s">
        <v>169</v>
      </c>
      <c r="O1127" s="12" t="s">
        <v>233</v>
      </c>
      <c r="P1127" s="12" t="s">
        <v>125</v>
      </c>
      <c r="Q1127" s="7" t="str">
        <f t="shared" si="52"/>
        <v>(1978,39,'1978.09.30',27,31,58,66,83,0),</v>
      </c>
      <c r="R1127" s="7" t="str">
        <f t="shared" si="54"/>
        <v>(1978,39,'1978.09.30',27,31,58,66,83),</v>
      </c>
    </row>
    <row r="1128" spans="1:18" x14ac:dyDescent="0.25">
      <c r="A1128" s="7" t="s">
        <v>5857</v>
      </c>
      <c r="B1128" s="8" t="s">
        <v>10</v>
      </c>
      <c r="C1128" s="10">
        <f t="shared" si="53"/>
        <v>28770</v>
      </c>
      <c r="D1128" t="s">
        <v>11</v>
      </c>
      <c r="E1128" t="s">
        <v>12</v>
      </c>
      <c r="F1128" t="s">
        <v>11</v>
      </c>
      <c r="G1128" t="s">
        <v>12</v>
      </c>
      <c r="H1128" t="s">
        <v>11</v>
      </c>
      <c r="I1128" t="s">
        <v>12</v>
      </c>
      <c r="J1128" t="s">
        <v>11</v>
      </c>
      <c r="K1128" t="s">
        <v>12</v>
      </c>
      <c r="L1128" s="12" t="s">
        <v>62</v>
      </c>
      <c r="M1128" s="12" t="s">
        <v>55</v>
      </c>
      <c r="N1128" s="12" t="s">
        <v>134</v>
      </c>
      <c r="O1128" s="12" t="s">
        <v>169</v>
      </c>
      <c r="P1128" s="12" t="s">
        <v>56</v>
      </c>
      <c r="Q1128" s="7" t="str">
        <f t="shared" si="52"/>
        <v>(1978,40,'1978.10.07',10,19,56,58,71,0),</v>
      </c>
      <c r="R1128" s="7" t="str">
        <f t="shared" si="54"/>
        <v>(1978,40,'1978.10.07',10,19,56,58,71),</v>
      </c>
    </row>
    <row r="1129" spans="1:18" x14ac:dyDescent="0.25">
      <c r="A1129" s="7" t="s">
        <v>5857</v>
      </c>
      <c r="B1129" s="8" t="s">
        <v>13</v>
      </c>
      <c r="C1129" s="10">
        <f t="shared" si="53"/>
        <v>28777</v>
      </c>
      <c r="D1129" t="s">
        <v>11</v>
      </c>
      <c r="E1129" t="s">
        <v>12</v>
      </c>
      <c r="F1129" t="s">
        <v>11</v>
      </c>
      <c r="G1129" t="s">
        <v>12</v>
      </c>
      <c r="H1129" t="s">
        <v>11</v>
      </c>
      <c r="I1129" t="s">
        <v>12</v>
      </c>
      <c r="J1129" t="s">
        <v>11</v>
      </c>
      <c r="K1129" t="s">
        <v>12</v>
      </c>
      <c r="L1129" s="12" t="s">
        <v>34</v>
      </c>
      <c r="M1129" s="12" t="s">
        <v>82</v>
      </c>
      <c r="N1129" s="12" t="s">
        <v>23</v>
      </c>
      <c r="O1129" s="12" t="s">
        <v>201</v>
      </c>
      <c r="P1129" s="12" t="s">
        <v>245</v>
      </c>
      <c r="Q1129" s="7" t="str">
        <f t="shared" si="52"/>
        <v>(1978,41,'1978.10.14',49,59,60,72,74,0),</v>
      </c>
      <c r="R1129" s="7" t="str">
        <f t="shared" si="54"/>
        <v>(1978,41,'1978.10.14',49,59,60,72,74),</v>
      </c>
    </row>
    <row r="1130" spans="1:18" x14ac:dyDescent="0.25">
      <c r="A1130" s="7" t="s">
        <v>5857</v>
      </c>
      <c r="B1130" s="8" t="s">
        <v>98</v>
      </c>
      <c r="C1130" s="10">
        <f t="shared" si="53"/>
        <v>28784</v>
      </c>
      <c r="D1130" t="s">
        <v>11</v>
      </c>
      <c r="E1130" t="s">
        <v>12</v>
      </c>
      <c r="F1130" t="s">
        <v>11</v>
      </c>
      <c r="G1130" t="s">
        <v>12</v>
      </c>
      <c r="H1130" t="s">
        <v>11</v>
      </c>
      <c r="I1130" t="s">
        <v>12</v>
      </c>
      <c r="J1130" t="s">
        <v>11</v>
      </c>
      <c r="K1130" t="s">
        <v>12</v>
      </c>
      <c r="L1130" s="12" t="s">
        <v>53</v>
      </c>
      <c r="M1130" s="12" t="s">
        <v>54</v>
      </c>
      <c r="N1130" s="12" t="s">
        <v>107</v>
      </c>
      <c r="O1130" s="12" t="s">
        <v>10</v>
      </c>
      <c r="P1130" s="12" t="s">
        <v>105</v>
      </c>
      <c r="Q1130" s="7" t="str">
        <f t="shared" si="52"/>
        <v>(1978,42,'1978.10.21',7,15,30,40,50,0),</v>
      </c>
      <c r="R1130" s="7" t="str">
        <f t="shared" si="54"/>
        <v>(1978,42,'1978.10.21',7,15,30,40,50),</v>
      </c>
    </row>
    <row r="1131" spans="1:18" x14ac:dyDescent="0.25">
      <c r="A1131" s="7" t="s">
        <v>5857</v>
      </c>
      <c r="B1131" s="8" t="s">
        <v>45</v>
      </c>
      <c r="C1131" s="10">
        <f t="shared" si="53"/>
        <v>28791</v>
      </c>
      <c r="D1131" t="s">
        <v>11</v>
      </c>
      <c r="E1131" t="s">
        <v>12</v>
      </c>
      <c r="F1131" t="s">
        <v>11</v>
      </c>
      <c r="G1131" t="s">
        <v>12</v>
      </c>
      <c r="H1131" t="s">
        <v>11</v>
      </c>
      <c r="I1131" t="s">
        <v>12</v>
      </c>
      <c r="J1131" t="s">
        <v>11</v>
      </c>
      <c r="K1131" t="s">
        <v>12</v>
      </c>
      <c r="L1131" s="12" t="s">
        <v>232</v>
      </c>
      <c r="M1131" s="12" t="s">
        <v>46</v>
      </c>
      <c r="N1131" s="12" t="s">
        <v>92</v>
      </c>
      <c r="O1131" s="12" t="s">
        <v>245</v>
      </c>
      <c r="P1131" s="12" t="s">
        <v>301</v>
      </c>
      <c r="Q1131" s="7" t="str">
        <f t="shared" si="52"/>
        <v>(1978,43,'1978.10.28',8,37,68,74,80,0),</v>
      </c>
      <c r="R1131" s="7" t="str">
        <f t="shared" si="54"/>
        <v>(1978,43,'1978.10.28',8,37,68,74,80),</v>
      </c>
    </row>
    <row r="1132" spans="1:18" x14ac:dyDescent="0.25">
      <c r="A1132" s="7" t="s">
        <v>5857</v>
      </c>
      <c r="B1132" s="8" t="s">
        <v>142</v>
      </c>
      <c r="C1132" s="10">
        <f t="shared" si="53"/>
        <v>28798</v>
      </c>
      <c r="D1132" t="s">
        <v>11</v>
      </c>
      <c r="E1132" t="s">
        <v>12</v>
      </c>
      <c r="F1132" t="s">
        <v>11</v>
      </c>
      <c r="G1132" t="s">
        <v>12</v>
      </c>
      <c r="H1132" t="s">
        <v>11</v>
      </c>
      <c r="I1132" t="s">
        <v>12</v>
      </c>
      <c r="J1132" t="s">
        <v>11</v>
      </c>
      <c r="K1132" t="s">
        <v>12</v>
      </c>
      <c r="L1132" s="12" t="s">
        <v>54</v>
      </c>
      <c r="M1132" s="12" t="s">
        <v>90</v>
      </c>
      <c r="N1132" s="12" t="s">
        <v>22</v>
      </c>
      <c r="O1132" s="12" t="s">
        <v>200</v>
      </c>
      <c r="P1132" s="12" t="s">
        <v>143</v>
      </c>
      <c r="Q1132" s="7" t="str">
        <f t="shared" si="52"/>
        <v>(1978,44,'1978.11.04',15,17,48,70,77,0),</v>
      </c>
      <c r="R1132" s="7" t="str">
        <f t="shared" si="54"/>
        <v>(1978,44,'1978.11.04',15,17,48,70,77),</v>
      </c>
    </row>
    <row r="1133" spans="1:18" x14ac:dyDescent="0.25">
      <c r="A1133" s="7" t="s">
        <v>5857</v>
      </c>
      <c r="B1133" s="8" t="s">
        <v>133</v>
      </c>
      <c r="C1133" s="10">
        <f t="shared" si="53"/>
        <v>28805</v>
      </c>
      <c r="D1133" t="s">
        <v>11</v>
      </c>
      <c r="E1133" t="s">
        <v>12</v>
      </c>
      <c r="F1133" t="s">
        <v>11</v>
      </c>
      <c r="G1133" t="s">
        <v>12</v>
      </c>
      <c r="H1133" t="s">
        <v>11</v>
      </c>
      <c r="I1133" t="s">
        <v>12</v>
      </c>
      <c r="J1133" t="s">
        <v>11</v>
      </c>
      <c r="K1133" t="s">
        <v>12</v>
      </c>
      <c r="L1133" s="12" t="s">
        <v>19</v>
      </c>
      <c r="M1133" s="12" t="s">
        <v>163</v>
      </c>
      <c r="N1133" s="12" t="s">
        <v>116</v>
      </c>
      <c r="O1133" s="12" t="s">
        <v>134</v>
      </c>
      <c r="P1133" s="12" t="s">
        <v>56</v>
      </c>
      <c r="Q1133" s="7" t="str">
        <f t="shared" si="52"/>
        <v>(1978,45,'1978.11.11',18,23,29,56,71,0),</v>
      </c>
      <c r="R1133" s="7" t="str">
        <f t="shared" si="54"/>
        <v>(1978,45,'1978.11.11',18,23,29,56,71),</v>
      </c>
    </row>
    <row r="1134" spans="1:18" x14ac:dyDescent="0.25">
      <c r="A1134" s="7" t="s">
        <v>5857</v>
      </c>
      <c r="B1134" s="8" t="s">
        <v>192</v>
      </c>
      <c r="C1134" s="10">
        <f t="shared" si="53"/>
        <v>28812</v>
      </c>
      <c r="D1134" t="s">
        <v>11</v>
      </c>
      <c r="E1134" t="s">
        <v>12</v>
      </c>
      <c r="F1134" t="s">
        <v>11</v>
      </c>
      <c r="G1134" t="s">
        <v>12</v>
      </c>
      <c r="H1134" t="s">
        <v>11</v>
      </c>
      <c r="I1134" t="s">
        <v>12</v>
      </c>
      <c r="J1134" t="s">
        <v>11</v>
      </c>
      <c r="K1134" t="s">
        <v>12</v>
      </c>
      <c r="L1134" s="12" t="s">
        <v>64</v>
      </c>
      <c r="M1134" s="12" t="s">
        <v>82</v>
      </c>
      <c r="N1134" s="12" t="s">
        <v>124</v>
      </c>
      <c r="O1134" s="12" t="s">
        <v>233</v>
      </c>
      <c r="P1134" s="12" t="s">
        <v>201</v>
      </c>
      <c r="Q1134" s="7" t="str">
        <f t="shared" si="52"/>
        <v>(1978,46,'1978.11.18',35,59,62,66,72,0),</v>
      </c>
      <c r="R1134" s="7" t="str">
        <f t="shared" si="54"/>
        <v>(1978,46,'1978.11.18',35,59,62,66,72),</v>
      </c>
    </row>
    <row r="1135" spans="1:18" x14ac:dyDescent="0.25">
      <c r="A1135" s="7" t="s">
        <v>5857</v>
      </c>
      <c r="B1135" s="8" t="s">
        <v>81</v>
      </c>
      <c r="C1135" s="10">
        <f t="shared" si="53"/>
        <v>28819</v>
      </c>
      <c r="D1135" t="s">
        <v>11</v>
      </c>
      <c r="E1135" t="s">
        <v>12</v>
      </c>
      <c r="F1135" t="s">
        <v>11</v>
      </c>
      <c r="G1135" t="s">
        <v>12</v>
      </c>
      <c r="H1135" t="s">
        <v>11</v>
      </c>
      <c r="I1135" t="s">
        <v>12</v>
      </c>
      <c r="J1135" t="s">
        <v>11</v>
      </c>
      <c r="K1135" t="s">
        <v>12</v>
      </c>
      <c r="L1135" s="12" t="s">
        <v>55</v>
      </c>
      <c r="M1135" s="12" t="s">
        <v>44</v>
      </c>
      <c r="N1135" s="12" t="s">
        <v>32</v>
      </c>
      <c r="O1135" s="12" t="s">
        <v>192</v>
      </c>
      <c r="P1135" s="12" t="s">
        <v>379</v>
      </c>
      <c r="Q1135" s="7" t="str">
        <f t="shared" si="52"/>
        <v>(1978,47,'1978.11.25',19,21,22,46,89,0),</v>
      </c>
      <c r="R1135" s="7" t="str">
        <f t="shared" si="54"/>
        <v>(1978,47,'1978.11.25',19,21,22,46,89),</v>
      </c>
    </row>
    <row r="1136" spans="1:18" x14ac:dyDescent="0.25">
      <c r="A1136" s="7" t="s">
        <v>5857</v>
      </c>
      <c r="B1136" s="8" t="s">
        <v>22</v>
      </c>
      <c r="C1136" s="10">
        <f t="shared" si="53"/>
        <v>28826</v>
      </c>
      <c r="D1136" t="s">
        <v>11</v>
      </c>
      <c r="E1136" t="s">
        <v>12</v>
      </c>
      <c r="F1136" t="s">
        <v>11</v>
      </c>
      <c r="G1136" t="s">
        <v>12</v>
      </c>
      <c r="H1136" t="s">
        <v>11</v>
      </c>
      <c r="I1136" t="s">
        <v>12</v>
      </c>
      <c r="J1136" t="s">
        <v>11</v>
      </c>
      <c r="K1136" t="s">
        <v>12</v>
      </c>
      <c r="L1136" s="12" t="s">
        <v>62</v>
      </c>
      <c r="M1136" s="12" t="s">
        <v>65</v>
      </c>
      <c r="N1136" s="12" t="s">
        <v>32</v>
      </c>
      <c r="O1136" s="12" t="s">
        <v>73</v>
      </c>
      <c r="P1136" s="12" t="s">
        <v>186</v>
      </c>
      <c r="Q1136" s="7" t="str">
        <f t="shared" si="52"/>
        <v>(1978,48,'1978.12.02',10,13,22,76,90,0),</v>
      </c>
      <c r="R1136" s="7" t="str">
        <f t="shared" si="54"/>
        <v>(1978,48,'1978.12.02',10,13,22,76,90),</v>
      </c>
    </row>
    <row r="1137" spans="1:18" x14ac:dyDescent="0.25">
      <c r="A1137" s="7" t="s">
        <v>5857</v>
      </c>
      <c r="B1137" s="8" t="s">
        <v>34</v>
      </c>
      <c r="C1137" s="10">
        <f t="shared" si="53"/>
        <v>28833</v>
      </c>
      <c r="D1137" t="s">
        <v>11</v>
      </c>
      <c r="E1137" t="s">
        <v>12</v>
      </c>
      <c r="F1137" t="s">
        <v>11</v>
      </c>
      <c r="G1137" t="s">
        <v>12</v>
      </c>
      <c r="H1137" t="s">
        <v>11</v>
      </c>
      <c r="I1137" t="s">
        <v>12</v>
      </c>
      <c r="J1137" t="s">
        <v>11</v>
      </c>
      <c r="K1137" t="s">
        <v>12</v>
      </c>
      <c r="L1137" s="12" t="s">
        <v>31</v>
      </c>
      <c r="M1137" s="12" t="s">
        <v>71</v>
      </c>
      <c r="N1137" s="12" t="s">
        <v>169</v>
      </c>
      <c r="O1137" s="12" t="s">
        <v>468</v>
      </c>
      <c r="P1137" s="12" t="s">
        <v>208</v>
      </c>
      <c r="Q1137" s="7" t="str">
        <f t="shared" si="52"/>
        <v>(1978,49,'1978.12.09',12,31,58,85,88,0),</v>
      </c>
      <c r="R1137" s="7" t="str">
        <f t="shared" si="54"/>
        <v>(1978,49,'1978.12.09',12,31,58,85,88),</v>
      </c>
    </row>
    <row r="1138" spans="1:18" x14ac:dyDescent="0.25">
      <c r="A1138" s="7" t="s">
        <v>5857</v>
      </c>
      <c r="B1138" s="8" t="s">
        <v>105</v>
      </c>
      <c r="C1138" s="10">
        <f t="shared" si="53"/>
        <v>28840</v>
      </c>
      <c r="D1138" t="s">
        <v>11</v>
      </c>
      <c r="E1138" t="s">
        <v>12</v>
      </c>
      <c r="F1138" t="s">
        <v>11</v>
      </c>
      <c r="G1138" t="s">
        <v>12</v>
      </c>
      <c r="H1138" t="s">
        <v>11</v>
      </c>
      <c r="I1138" t="s">
        <v>12</v>
      </c>
      <c r="J1138" t="s">
        <v>11</v>
      </c>
      <c r="K1138" t="s">
        <v>12</v>
      </c>
      <c r="L1138" s="12" t="s">
        <v>10</v>
      </c>
      <c r="M1138" s="12" t="s">
        <v>45</v>
      </c>
      <c r="N1138" s="12" t="s">
        <v>105</v>
      </c>
      <c r="O1138" s="12" t="s">
        <v>91</v>
      </c>
      <c r="P1138" s="12" t="s">
        <v>125</v>
      </c>
      <c r="Q1138" s="7" t="str">
        <f t="shared" si="52"/>
        <v>(1978,50,'1978.12.16',40,43,50,61,83,0),</v>
      </c>
      <c r="R1138" s="7" t="str">
        <f t="shared" si="54"/>
        <v>(1978,50,'1978.12.16',40,43,50,61,83),</v>
      </c>
    </row>
    <row r="1139" spans="1:18" x14ac:dyDescent="0.25">
      <c r="A1139" s="7" t="s">
        <v>5857</v>
      </c>
      <c r="B1139" s="8" t="s">
        <v>122</v>
      </c>
      <c r="C1139" s="10">
        <f t="shared" si="53"/>
        <v>28847</v>
      </c>
      <c r="D1139" t="s">
        <v>11</v>
      </c>
      <c r="E1139" t="s">
        <v>12</v>
      </c>
      <c r="F1139" t="s">
        <v>11</v>
      </c>
      <c r="G1139" t="s">
        <v>12</v>
      </c>
      <c r="H1139" t="s">
        <v>11</v>
      </c>
      <c r="I1139" t="s">
        <v>12</v>
      </c>
      <c r="J1139" t="s">
        <v>11</v>
      </c>
      <c r="K1139" t="s">
        <v>12</v>
      </c>
      <c r="L1139" s="12" t="s">
        <v>127</v>
      </c>
      <c r="M1139" s="12" t="s">
        <v>21</v>
      </c>
      <c r="N1139" s="12" t="s">
        <v>248</v>
      </c>
      <c r="O1139" s="12" t="s">
        <v>73</v>
      </c>
      <c r="P1139" s="12" t="s">
        <v>379</v>
      </c>
      <c r="Q1139" s="7" t="str">
        <f t="shared" si="52"/>
        <v>(1978,51,'1978.12.23',14,36,63,76,89,0),</v>
      </c>
      <c r="R1139" s="7" t="str">
        <f t="shared" si="54"/>
        <v>(1978,51,'1978.12.23',14,36,63,76,89),</v>
      </c>
    </row>
    <row r="1140" spans="1:18" x14ac:dyDescent="0.25">
      <c r="A1140" s="7" t="s">
        <v>5857</v>
      </c>
      <c r="B1140" s="8" t="s">
        <v>99</v>
      </c>
      <c r="C1140" s="10">
        <f t="shared" si="53"/>
        <v>28854</v>
      </c>
      <c r="D1140" t="s">
        <v>11</v>
      </c>
      <c r="E1140" t="s">
        <v>12</v>
      </c>
      <c r="F1140" t="s">
        <v>11</v>
      </c>
      <c r="G1140" t="s">
        <v>12</v>
      </c>
      <c r="H1140" t="s">
        <v>11</v>
      </c>
      <c r="I1140" t="s">
        <v>12</v>
      </c>
      <c r="J1140" t="s">
        <v>11</v>
      </c>
      <c r="K1140" t="s">
        <v>12</v>
      </c>
      <c r="L1140" s="12" t="s">
        <v>43</v>
      </c>
      <c r="M1140" s="12" t="s">
        <v>55</v>
      </c>
      <c r="N1140" s="12" t="s">
        <v>99</v>
      </c>
      <c r="O1140" s="12" t="s">
        <v>92</v>
      </c>
      <c r="P1140" s="12" t="s">
        <v>246</v>
      </c>
      <c r="Q1140" s="7" t="str">
        <f t="shared" si="52"/>
        <v>(1978,52,'1978.12.30',16,19,52,68,84,0),</v>
      </c>
      <c r="R1140" s="7" t="str">
        <f t="shared" si="54"/>
        <v>(1978,52,'1978.12.30',16,19,52,68,84),</v>
      </c>
    </row>
    <row r="1141" spans="1:18" x14ac:dyDescent="0.25">
      <c r="A1141" s="7" t="s">
        <v>5856</v>
      </c>
      <c r="B1141" s="8" t="s">
        <v>108</v>
      </c>
      <c r="C1141" s="10">
        <f t="shared" si="53"/>
        <v>28861</v>
      </c>
      <c r="D1141" t="s">
        <v>11</v>
      </c>
      <c r="E1141" t="s">
        <v>12</v>
      </c>
      <c r="F1141" t="s">
        <v>11</v>
      </c>
      <c r="G1141" t="s">
        <v>12</v>
      </c>
      <c r="H1141" t="s">
        <v>11</v>
      </c>
      <c r="I1141" t="s">
        <v>12</v>
      </c>
      <c r="J1141" t="s">
        <v>11</v>
      </c>
      <c r="K1141" t="s">
        <v>12</v>
      </c>
      <c r="L1141" s="12" t="s">
        <v>25</v>
      </c>
      <c r="M1141" s="12" t="s">
        <v>46</v>
      </c>
      <c r="N1141" s="12" t="s">
        <v>23</v>
      </c>
      <c r="O1141" s="12" t="s">
        <v>214</v>
      </c>
      <c r="P1141" s="12" t="s">
        <v>63</v>
      </c>
      <c r="Q1141" s="7" t="str">
        <f t="shared" si="52"/>
        <v>(1979,1,'1979.01.06',34,37,60,64,78,0),</v>
      </c>
      <c r="R1141" s="7" t="str">
        <f t="shared" si="54"/>
        <v>(1979,1,'1979.01.06',34,37,60,64,78),</v>
      </c>
    </row>
    <row r="1142" spans="1:18" x14ac:dyDescent="0.25">
      <c r="A1142" s="7" t="s">
        <v>5856</v>
      </c>
      <c r="B1142" s="8" t="s">
        <v>207</v>
      </c>
      <c r="C1142" s="10">
        <f t="shared" si="53"/>
        <v>28868</v>
      </c>
      <c r="D1142" t="s">
        <v>11</v>
      </c>
      <c r="E1142" t="s">
        <v>12</v>
      </c>
      <c r="F1142" t="s">
        <v>11</v>
      </c>
      <c r="G1142" t="s">
        <v>12</v>
      </c>
      <c r="H1142" t="s">
        <v>11</v>
      </c>
      <c r="I1142" t="s">
        <v>12</v>
      </c>
      <c r="J1142" t="s">
        <v>11</v>
      </c>
      <c r="K1142" t="s">
        <v>12</v>
      </c>
      <c r="L1142" s="12" t="s">
        <v>62</v>
      </c>
      <c r="M1142" s="12" t="s">
        <v>54</v>
      </c>
      <c r="N1142" s="12" t="s">
        <v>248</v>
      </c>
      <c r="O1142" s="12" t="s">
        <v>233</v>
      </c>
      <c r="P1142" s="12" t="s">
        <v>379</v>
      </c>
      <c r="Q1142" s="7" t="str">
        <f t="shared" si="52"/>
        <v>(1979,2,'1979.01.13',10,15,63,66,89,0),</v>
      </c>
      <c r="R1142" s="7" t="str">
        <f t="shared" si="54"/>
        <v>(1979,2,'1979.01.13',10,15,63,66,89),</v>
      </c>
    </row>
    <row r="1143" spans="1:18" x14ac:dyDescent="0.25">
      <c r="A1143" s="7" t="s">
        <v>5856</v>
      </c>
      <c r="B1143" s="8" t="s">
        <v>42</v>
      </c>
      <c r="C1143" s="10">
        <f t="shared" si="53"/>
        <v>28875</v>
      </c>
      <c r="D1143" t="s">
        <v>11</v>
      </c>
      <c r="E1143" t="s">
        <v>12</v>
      </c>
      <c r="F1143" t="s">
        <v>11</v>
      </c>
      <c r="G1143" t="s">
        <v>12</v>
      </c>
      <c r="H1143" t="s">
        <v>11</v>
      </c>
      <c r="I1143" t="s">
        <v>12</v>
      </c>
      <c r="J1143" t="s">
        <v>11</v>
      </c>
      <c r="K1143" t="s">
        <v>12</v>
      </c>
      <c r="L1143" s="12" t="s">
        <v>44</v>
      </c>
      <c r="M1143" s="12" t="s">
        <v>33</v>
      </c>
      <c r="N1143" s="12" t="s">
        <v>34</v>
      </c>
      <c r="O1143" s="12" t="s">
        <v>233</v>
      </c>
      <c r="P1143" s="12" t="s">
        <v>301</v>
      </c>
      <c r="Q1143" s="7" t="str">
        <f t="shared" si="52"/>
        <v>(1979,3,'1979.01.20',21,24,49,66,80,0),</v>
      </c>
      <c r="R1143" s="7" t="str">
        <f t="shared" si="54"/>
        <v>(1979,3,'1979.01.20',21,24,49,66,80),</v>
      </c>
    </row>
    <row r="1144" spans="1:18" x14ac:dyDescent="0.25">
      <c r="A1144" s="7" t="s">
        <v>5856</v>
      </c>
      <c r="B1144" s="8" t="s">
        <v>168</v>
      </c>
      <c r="C1144" s="10">
        <f t="shared" si="53"/>
        <v>28882</v>
      </c>
      <c r="D1144" t="s">
        <v>11</v>
      </c>
      <c r="E1144" t="s">
        <v>12</v>
      </c>
      <c r="F1144" t="s">
        <v>11</v>
      </c>
      <c r="G1144" t="s">
        <v>12</v>
      </c>
      <c r="H1144" t="s">
        <v>11</v>
      </c>
      <c r="I1144" t="s">
        <v>12</v>
      </c>
      <c r="J1144" t="s">
        <v>11</v>
      </c>
      <c r="K1144" t="s">
        <v>12</v>
      </c>
      <c r="L1144" s="12" t="s">
        <v>198</v>
      </c>
      <c r="M1144" s="12" t="s">
        <v>65</v>
      </c>
      <c r="N1144" s="12" t="s">
        <v>46</v>
      </c>
      <c r="O1144" s="12" t="s">
        <v>622</v>
      </c>
      <c r="P1144" s="12" t="s">
        <v>186</v>
      </c>
      <c r="Q1144" s="7" t="str">
        <f t="shared" si="52"/>
        <v>(1979,4,'1979.01.27',9,13,37,82,90,0),</v>
      </c>
      <c r="R1144" s="7" t="str">
        <f t="shared" si="54"/>
        <v>(1979,4,'1979.01.27',9,13,37,82,90),</v>
      </c>
    </row>
    <row r="1145" spans="1:18" x14ac:dyDescent="0.25">
      <c r="A1145" s="7" t="s">
        <v>5856</v>
      </c>
      <c r="B1145" s="8" t="s">
        <v>89</v>
      </c>
      <c r="C1145" s="10">
        <f t="shared" si="53"/>
        <v>28889</v>
      </c>
      <c r="D1145" t="s">
        <v>11</v>
      </c>
      <c r="E1145" t="s">
        <v>12</v>
      </c>
      <c r="F1145" t="s">
        <v>11</v>
      </c>
      <c r="G1145" t="s">
        <v>12</v>
      </c>
      <c r="H1145" t="s">
        <v>11</v>
      </c>
      <c r="I1145" t="s">
        <v>12</v>
      </c>
      <c r="J1145" t="s">
        <v>11</v>
      </c>
      <c r="K1145" t="s">
        <v>12</v>
      </c>
      <c r="L1145" s="12" t="s">
        <v>135</v>
      </c>
      <c r="M1145" s="12" t="s">
        <v>23</v>
      </c>
      <c r="N1145" s="12" t="s">
        <v>124</v>
      </c>
      <c r="O1145" s="12" t="s">
        <v>233</v>
      </c>
      <c r="P1145" s="12" t="s">
        <v>622</v>
      </c>
      <c r="Q1145" s="7" t="str">
        <f t="shared" si="52"/>
        <v>(1979,5,'1979.02.03',27,60,62,66,82,0),</v>
      </c>
      <c r="R1145" s="7" t="str">
        <f t="shared" si="54"/>
        <v>(1979,5,'1979.02.03',27,60,62,66,82),</v>
      </c>
    </row>
    <row r="1146" spans="1:18" x14ac:dyDescent="0.25">
      <c r="A1146" s="7" t="s">
        <v>5856</v>
      </c>
      <c r="B1146" s="8" t="s">
        <v>270</v>
      </c>
      <c r="C1146" s="10">
        <f t="shared" si="53"/>
        <v>28896</v>
      </c>
      <c r="D1146" t="s">
        <v>11</v>
      </c>
      <c r="E1146" t="s">
        <v>12</v>
      </c>
      <c r="F1146" t="s">
        <v>11</v>
      </c>
      <c r="G1146" t="s">
        <v>12</v>
      </c>
      <c r="H1146" t="s">
        <v>11</v>
      </c>
      <c r="I1146" t="s">
        <v>12</v>
      </c>
      <c r="J1146" t="s">
        <v>11</v>
      </c>
      <c r="K1146" t="s">
        <v>12</v>
      </c>
      <c r="L1146" s="12" t="s">
        <v>81</v>
      </c>
      <c r="M1146" s="12" t="s">
        <v>199</v>
      </c>
      <c r="N1146" s="12" t="s">
        <v>123</v>
      </c>
      <c r="O1146" s="12" t="s">
        <v>134</v>
      </c>
      <c r="P1146" s="12" t="s">
        <v>245</v>
      </c>
      <c r="Q1146" s="7" t="str">
        <f t="shared" si="52"/>
        <v>(1979,6,'1979.02.10',47,53,54,56,74,0),</v>
      </c>
      <c r="R1146" s="7" t="str">
        <f t="shared" si="54"/>
        <v>(1979,6,'1979.02.10',47,53,54,56,74),</v>
      </c>
    </row>
    <row r="1147" spans="1:18" x14ac:dyDescent="0.25">
      <c r="A1147" s="7" t="s">
        <v>5856</v>
      </c>
      <c r="B1147" s="8" t="s">
        <v>53</v>
      </c>
      <c r="C1147" s="10">
        <f t="shared" si="53"/>
        <v>28903</v>
      </c>
      <c r="D1147" t="s">
        <v>11</v>
      </c>
      <c r="E1147" t="s">
        <v>12</v>
      </c>
      <c r="F1147" t="s">
        <v>11</v>
      </c>
      <c r="G1147" t="s">
        <v>12</v>
      </c>
      <c r="H1147" t="s">
        <v>11</v>
      </c>
      <c r="I1147" t="s">
        <v>12</v>
      </c>
      <c r="J1147" t="s">
        <v>11</v>
      </c>
      <c r="K1147" t="s">
        <v>12</v>
      </c>
      <c r="L1147" s="12" t="s">
        <v>65</v>
      </c>
      <c r="M1147" s="12" t="s">
        <v>33</v>
      </c>
      <c r="N1147" s="12" t="s">
        <v>98</v>
      </c>
      <c r="O1147" s="12" t="s">
        <v>215</v>
      </c>
      <c r="P1147" s="12" t="s">
        <v>246</v>
      </c>
      <c r="Q1147" s="7" t="str">
        <f t="shared" si="52"/>
        <v>(1979,7,'1979.02.17',13,24,42,81,84,0),</v>
      </c>
      <c r="R1147" s="7" t="str">
        <f t="shared" si="54"/>
        <v>(1979,7,'1979.02.17',13,24,42,81,84),</v>
      </c>
    </row>
    <row r="1148" spans="1:18" x14ac:dyDescent="0.25">
      <c r="A1148" s="7" t="s">
        <v>5856</v>
      </c>
      <c r="B1148" s="8" t="s">
        <v>232</v>
      </c>
      <c r="C1148" s="10">
        <f t="shared" si="53"/>
        <v>28910</v>
      </c>
      <c r="D1148" t="s">
        <v>11</v>
      </c>
      <c r="E1148" t="s">
        <v>12</v>
      </c>
      <c r="F1148" t="s">
        <v>11</v>
      </c>
      <c r="G1148" t="s">
        <v>12</v>
      </c>
      <c r="H1148" t="s">
        <v>11</v>
      </c>
      <c r="I1148" t="s">
        <v>12</v>
      </c>
      <c r="J1148" t="s">
        <v>11</v>
      </c>
      <c r="K1148" t="s">
        <v>12</v>
      </c>
      <c r="L1148" s="12" t="s">
        <v>90</v>
      </c>
      <c r="M1148" s="12" t="s">
        <v>124</v>
      </c>
      <c r="N1148" s="12" t="s">
        <v>214</v>
      </c>
      <c r="O1148" s="12" t="s">
        <v>151</v>
      </c>
      <c r="P1148" s="12" t="s">
        <v>125</v>
      </c>
      <c r="Q1148" s="7" t="str">
        <f t="shared" si="52"/>
        <v>(1979,8,'1979.02.24',17,62,64,79,83,0),</v>
      </c>
      <c r="R1148" s="7" t="str">
        <f t="shared" si="54"/>
        <v>(1979,8,'1979.02.24',17,62,64,79,83),</v>
      </c>
    </row>
    <row r="1149" spans="1:18" x14ac:dyDescent="0.25">
      <c r="A1149" s="7" t="s">
        <v>5856</v>
      </c>
      <c r="B1149" s="8" t="s">
        <v>198</v>
      </c>
      <c r="C1149" s="10">
        <f t="shared" si="53"/>
        <v>28917</v>
      </c>
      <c r="D1149" t="s">
        <v>11</v>
      </c>
      <c r="E1149" t="s">
        <v>12</v>
      </c>
      <c r="F1149" t="s">
        <v>11</v>
      </c>
      <c r="G1149" t="s">
        <v>12</v>
      </c>
      <c r="H1149" t="s">
        <v>11</v>
      </c>
      <c r="I1149" t="s">
        <v>12</v>
      </c>
      <c r="J1149" t="s">
        <v>11</v>
      </c>
      <c r="K1149" t="s">
        <v>12</v>
      </c>
      <c r="L1149" s="12" t="s">
        <v>133</v>
      </c>
      <c r="M1149" s="12" t="s">
        <v>175</v>
      </c>
      <c r="N1149" s="12" t="s">
        <v>47</v>
      </c>
      <c r="O1149" s="12" t="s">
        <v>106</v>
      </c>
      <c r="P1149" s="12" t="s">
        <v>125</v>
      </c>
      <c r="Q1149" s="7" t="str">
        <f t="shared" si="52"/>
        <v>(1979,9,'1979.03.03',45,55,69,75,83,0),</v>
      </c>
      <c r="R1149" s="7" t="str">
        <f t="shared" si="54"/>
        <v>(1979,9,'1979.03.03',45,55,69,75,83),</v>
      </c>
    </row>
    <row r="1150" spans="1:18" x14ac:dyDescent="0.25">
      <c r="A1150" s="7" t="s">
        <v>5856</v>
      </c>
      <c r="B1150" s="8" t="s">
        <v>62</v>
      </c>
      <c r="C1150" s="10">
        <f t="shared" si="53"/>
        <v>28924</v>
      </c>
      <c r="D1150" t="s">
        <v>11</v>
      </c>
      <c r="E1150" t="s">
        <v>12</v>
      </c>
      <c r="F1150" t="s">
        <v>11</v>
      </c>
      <c r="G1150" t="s">
        <v>12</v>
      </c>
      <c r="H1150" t="s">
        <v>11</v>
      </c>
      <c r="I1150" t="s">
        <v>12</v>
      </c>
      <c r="J1150" t="s">
        <v>11</v>
      </c>
      <c r="K1150" t="s">
        <v>12</v>
      </c>
      <c r="L1150" s="12" t="s">
        <v>126</v>
      </c>
      <c r="M1150" s="12" t="s">
        <v>116</v>
      </c>
      <c r="N1150" s="12" t="s">
        <v>64</v>
      </c>
      <c r="O1150" s="12" t="s">
        <v>22</v>
      </c>
      <c r="P1150" s="12" t="s">
        <v>269</v>
      </c>
      <c r="Q1150" s="7" t="str">
        <f t="shared" si="52"/>
        <v>(1979,10,'1979.03.10',28,29,35,48,87,0),</v>
      </c>
      <c r="R1150" s="7" t="str">
        <f t="shared" si="54"/>
        <v>(1979,10,'1979.03.10',28,29,35,48,87),</v>
      </c>
    </row>
    <row r="1151" spans="1:18" x14ac:dyDescent="0.25">
      <c r="A1151" s="7" t="s">
        <v>5856</v>
      </c>
      <c r="B1151" s="8" t="s">
        <v>83</v>
      </c>
      <c r="C1151" s="10">
        <f t="shared" si="53"/>
        <v>28931</v>
      </c>
      <c r="D1151" t="s">
        <v>11</v>
      </c>
      <c r="E1151" t="s">
        <v>12</v>
      </c>
      <c r="F1151" t="s">
        <v>11</v>
      </c>
      <c r="G1151" t="s">
        <v>12</v>
      </c>
      <c r="H1151" t="s">
        <v>11</v>
      </c>
      <c r="I1151" t="s">
        <v>12</v>
      </c>
      <c r="J1151" t="s">
        <v>11</v>
      </c>
      <c r="K1151" t="s">
        <v>12</v>
      </c>
      <c r="L1151" s="12" t="s">
        <v>45</v>
      </c>
      <c r="M1151" s="12" t="s">
        <v>99</v>
      </c>
      <c r="N1151" s="12" t="s">
        <v>175</v>
      </c>
      <c r="O1151" s="12" t="s">
        <v>215</v>
      </c>
      <c r="P1151" s="12" t="s">
        <v>379</v>
      </c>
      <c r="Q1151" s="7" t="str">
        <f t="shared" si="52"/>
        <v>(1979,11,'1979.03.17',43,52,55,81,89,0),</v>
      </c>
      <c r="R1151" s="7" t="str">
        <f t="shared" si="54"/>
        <v>(1979,11,'1979.03.17',43,52,55,81,89),</v>
      </c>
    </row>
    <row r="1152" spans="1:18" x14ac:dyDescent="0.25">
      <c r="A1152" s="7" t="s">
        <v>5856</v>
      </c>
      <c r="B1152" s="8" t="s">
        <v>31</v>
      </c>
      <c r="C1152" s="10">
        <f t="shared" si="53"/>
        <v>28938</v>
      </c>
      <c r="D1152" t="s">
        <v>11</v>
      </c>
      <c r="E1152" t="s">
        <v>12</v>
      </c>
      <c r="F1152" t="s">
        <v>11</v>
      </c>
      <c r="G1152" t="s">
        <v>12</v>
      </c>
      <c r="H1152" t="s">
        <v>11</v>
      </c>
      <c r="I1152" t="s">
        <v>12</v>
      </c>
      <c r="J1152" t="s">
        <v>11</v>
      </c>
      <c r="K1152" t="s">
        <v>12</v>
      </c>
      <c r="L1152" s="12" t="s">
        <v>168</v>
      </c>
      <c r="M1152" s="12" t="s">
        <v>62</v>
      </c>
      <c r="N1152" s="12" t="s">
        <v>55</v>
      </c>
      <c r="O1152" s="12" t="s">
        <v>98</v>
      </c>
      <c r="P1152" s="12" t="s">
        <v>151</v>
      </c>
      <c r="Q1152" s="7" t="str">
        <f t="shared" si="52"/>
        <v>(1979,12,'1979.03.24',4,10,19,42,79,0),</v>
      </c>
      <c r="R1152" s="7" t="str">
        <f t="shared" si="54"/>
        <v>(1979,12,'1979.03.24',4,10,19,42,79),</v>
      </c>
    </row>
    <row r="1153" spans="1:18" x14ac:dyDescent="0.25">
      <c r="A1153" s="7" t="s">
        <v>5856</v>
      </c>
      <c r="B1153" s="8" t="s">
        <v>65</v>
      </c>
      <c r="C1153" s="10">
        <f t="shared" si="53"/>
        <v>28945</v>
      </c>
      <c r="D1153" t="s">
        <v>11</v>
      </c>
      <c r="E1153" t="s">
        <v>12</v>
      </c>
      <c r="F1153" t="s">
        <v>11</v>
      </c>
      <c r="G1153" t="s">
        <v>12</v>
      </c>
      <c r="H1153" t="s">
        <v>11</v>
      </c>
      <c r="I1153" t="s">
        <v>12</v>
      </c>
      <c r="J1153" t="s">
        <v>11</v>
      </c>
      <c r="K1153" t="s">
        <v>12</v>
      </c>
      <c r="L1153" s="12" t="s">
        <v>270</v>
      </c>
      <c r="M1153" s="12" t="s">
        <v>31</v>
      </c>
      <c r="N1153" s="12" t="s">
        <v>133</v>
      </c>
      <c r="O1153" s="12" t="s">
        <v>134</v>
      </c>
      <c r="P1153" s="12" t="s">
        <v>106</v>
      </c>
      <c r="Q1153" s="7" t="str">
        <f t="shared" si="52"/>
        <v>(1979,13,'1979.03.31',6,12,45,56,75,0),</v>
      </c>
      <c r="R1153" s="7" t="str">
        <f t="shared" si="54"/>
        <v>(1979,13,'1979.03.31',6,12,45,56,75),</v>
      </c>
    </row>
    <row r="1154" spans="1:18" x14ac:dyDescent="0.25">
      <c r="A1154" s="7" t="s">
        <v>5856</v>
      </c>
      <c r="B1154" s="8" t="s">
        <v>127</v>
      </c>
      <c r="C1154" s="10">
        <f t="shared" si="53"/>
        <v>28952</v>
      </c>
      <c r="D1154" t="s">
        <v>11</v>
      </c>
      <c r="E1154" t="s">
        <v>12</v>
      </c>
      <c r="F1154" t="s">
        <v>11</v>
      </c>
      <c r="G1154" t="s">
        <v>12</v>
      </c>
      <c r="H1154" t="s">
        <v>11</v>
      </c>
      <c r="I1154" t="s">
        <v>12</v>
      </c>
      <c r="J1154" t="s">
        <v>11</v>
      </c>
      <c r="K1154" t="s">
        <v>12</v>
      </c>
      <c r="L1154" s="12" t="s">
        <v>168</v>
      </c>
      <c r="M1154" s="12" t="s">
        <v>19</v>
      </c>
      <c r="N1154" s="12" t="s">
        <v>22</v>
      </c>
      <c r="O1154" s="12" t="s">
        <v>106</v>
      </c>
      <c r="P1154" s="12" t="s">
        <v>269</v>
      </c>
      <c r="Q1154" s="7" t="str">
        <f t="shared" ref="Q1154:Q1217" si="55">"("&amp;A1154&amp;","&amp;B1154&amp;",'"&amp;TEXT(C1154,"éééé.hh.nn")&amp;"',"&amp;L1154&amp;","&amp;M1154&amp;","&amp;N1154&amp;","&amp;O1154&amp;","&amp;P1154&amp;",0)"&amp;IF(P1155&lt;&gt;0,",","")</f>
        <v>(1979,14,'1979.04.07',4,18,48,75,87,0),</v>
      </c>
      <c r="R1154" s="7" t="str">
        <f t="shared" si="54"/>
        <v>(1979,14,'1979.04.07',4,18,48,75,87),</v>
      </c>
    </row>
    <row r="1155" spans="1:18" x14ac:dyDescent="0.25">
      <c r="A1155" s="7" t="s">
        <v>5856</v>
      </c>
      <c r="B1155" s="8" t="s">
        <v>54</v>
      </c>
      <c r="C1155" s="10">
        <f t="shared" ref="C1155:C1218" si="56">+C1154+7</f>
        <v>28959</v>
      </c>
      <c r="D1155" t="s">
        <v>11</v>
      </c>
      <c r="E1155" t="s">
        <v>12</v>
      </c>
      <c r="F1155" t="s">
        <v>11</v>
      </c>
      <c r="G1155" t="s">
        <v>12</v>
      </c>
      <c r="H1155" t="s">
        <v>11</v>
      </c>
      <c r="I1155" t="s">
        <v>12</v>
      </c>
      <c r="J1155" t="s">
        <v>11</v>
      </c>
      <c r="K1155" t="s">
        <v>12</v>
      </c>
      <c r="L1155" s="12" t="s">
        <v>42</v>
      </c>
      <c r="M1155" s="12" t="s">
        <v>152</v>
      </c>
      <c r="N1155" s="12" t="s">
        <v>10</v>
      </c>
      <c r="O1155" s="12" t="s">
        <v>45</v>
      </c>
      <c r="P1155" s="12" t="s">
        <v>622</v>
      </c>
      <c r="Q1155" s="7" t="str">
        <f t="shared" si="55"/>
        <v>(1979,15,'1979.04.14',3,25,40,43,82,0),</v>
      </c>
      <c r="R1155" s="7" t="str">
        <f t="shared" ref="R1155:R1218" si="57">IF(TRIM(P1155)="","","("&amp;A1155&amp;","&amp;B1155&amp;",'"&amp;TEXT(C1155,"éééé.hh.nn")&amp;"',"&amp;L1155&amp;","&amp;M1155&amp;","&amp;N1155&amp;","&amp;O1155&amp;","&amp;P1155&amp;")"&amp;IF(P1156=0,";",","))</f>
        <v>(1979,15,'1979.04.14',3,25,40,43,82),</v>
      </c>
    </row>
    <row r="1156" spans="1:18" x14ac:dyDescent="0.25">
      <c r="A1156" s="7" t="s">
        <v>5856</v>
      </c>
      <c r="B1156" s="8" t="s">
        <v>43</v>
      </c>
      <c r="C1156" s="10">
        <f t="shared" si="56"/>
        <v>28966</v>
      </c>
      <c r="D1156" t="s">
        <v>11</v>
      </c>
      <c r="E1156" t="s">
        <v>12</v>
      </c>
      <c r="F1156" t="s">
        <v>11</v>
      </c>
      <c r="G1156" t="s">
        <v>12</v>
      </c>
      <c r="H1156" t="s">
        <v>11</v>
      </c>
      <c r="I1156" t="s">
        <v>12</v>
      </c>
      <c r="J1156" t="s">
        <v>11</v>
      </c>
      <c r="K1156" t="s">
        <v>12</v>
      </c>
      <c r="L1156" s="12" t="s">
        <v>53</v>
      </c>
      <c r="M1156" s="12" t="s">
        <v>115</v>
      </c>
      <c r="N1156" s="12" t="s">
        <v>122</v>
      </c>
      <c r="O1156" s="12" t="s">
        <v>245</v>
      </c>
      <c r="P1156" s="12" t="s">
        <v>269</v>
      </c>
      <c r="Q1156" s="7" t="str">
        <f t="shared" si="55"/>
        <v>(1979,16,'1979.04.21',7,20,51,74,87,0),</v>
      </c>
      <c r="R1156" s="7" t="str">
        <f t="shared" si="57"/>
        <v>(1979,16,'1979.04.21',7,20,51,74,87),</v>
      </c>
    </row>
    <row r="1157" spans="1:18" x14ac:dyDescent="0.25">
      <c r="A1157" s="7" t="s">
        <v>5856</v>
      </c>
      <c r="B1157" s="8" t="s">
        <v>90</v>
      </c>
      <c r="C1157" s="10">
        <f t="shared" si="56"/>
        <v>28973</v>
      </c>
      <c r="D1157" t="s">
        <v>11</v>
      </c>
      <c r="E1157" t="s">
        <v>12</v>
      </c>
      <c r="F1157" t="s">
        <v>11</v>
      </c>
      <c r="G1157" t="s">
        <v>12</v>
      </c>
      <c r="H1157" t="s">
        <v>11</v>
      </c>
      <c r="I1157" t="s">
        <v>12</v>
      </c>
      <c r="J1157" t="s">
        <v>11</v>
      </c>
      <c r="K1157" t="s">
        <v>12</v>
      </c>
      <c r="L1157" s="12" t="s">
        <v>53</v>
      </c>
      <c r="M1157" s="12" t="s">
        <v>64</v>
      </c>
      <c r="N1157" s="12" t="s">
        <v>21</v>
      </c>
      <c r="O1157" s="12" t="s">
        <v>91</v>
      </c>
      <c r="P1157" s="12" t="s">
        <v>622</v>
      </c>
      <c r="Q1157" s="7" t="str">
        <f t="shared" si="55"/>
        <v>(1979,17,'1979.04.28',7,35,36,61,82,0),</v>
      </c>
      <c r="R1157" s="7" t="str">
        <f t="shared" si="57"/>
        <v>(1979,17,'1979.04.28',7,35,36,61,82),</v>
      </c>
    </row>
    <row r="1158" spans="1:18" x14ac:dyDescent="0.25">
      <c r="A1158" s="7" t="s">
        <v>5856</v>
      </c>
      <c r="B1158" s="8" t="s">
        <v>19</v>
      </c>
      <c r="C1158" s="10">
        <f t="shared" si="56"/>
        <v>28980</v>
      </c>
      <c r="D1158" t="s">
        <v>11</v>
      </c>
      <c r="E1158" t="s">
        <v>12</v>
      </c>
      <c r="F1158" t="s">
        <v>11</v>
      </c>
      <c r="G1158" t="s">
        <v>12</v>
      </c>
      <c r="H1158" t="s">
        <v>11</v>
      </c>
      <c r="I1158" t="s">
        <v>12</v>
      </c>
      <c r="J1158" t="s">
        <v>11</v>
      </c>
      <c r="K1158" t="s">
        <v>12</v>
      </c>
      <c r="L1158" s="12" t="s">
        <v>83</v>
      </c>
      <c r="M1158" s="12" t="s">
        <v>152</v>
      </c>
      <c r="N1158" s="12" t="s">
        <v>64</v>
      </c>
      <c r="O1158" s="12" t="s">
        <v>133</v>
      </c>
      <c r="P1158" s="12" t="s">
        <v>150</v>
      </c>
      <c r="Q1158" s="7" t="str">
        <f t="shared" si="55"/>
        <v>(1979,18,'1979.05.05',11,25,35,45,57,0),</v>
      </c>
      <c r="R1158" s="7" t="str">
        <f t="shared" si="57"/>
        <v>(1979,18,'1979.05.05',11,25,35,45,57),</v>
      </c>
    </row>
    <row r="1159" spans="1:18" x14ac:dyDescent="0.25">
      <c r="A1159" s="7" t="s">
        <v>5856</v>
      </c>
      <c r="B1159" s="8" t="s">
        <v>55</v>
      </c>
      <c r="C1159" s="10">
        <f t="shared" si="56"/>
        <v>28987</v>
      </c>
      <c r="D1159" t="s">
        <v>11</v>
      </c>
      <c r="E1159" t="s">
        <v>12</v>
      </c>
      <c r="F1159" t="s">
        <v>11</v>
      </c>
      <c r="G1159" t="s">
        <v>12</v>
      </c>
      <c r="H1159" t="s">
        <v>11</v>
      </c>
      <c r="I1159" t="s">
        <v>12</v>
      </c>
      <c r="J1159" t="s">
        <v>11</v>
      </c>
      <c r="K1159" t="s">
        <v>12</v>
      </c>
      <c r="L1159" s="12" t="s">
        <v>43</v>
      </c>
      <c r="M1159" s="12" t="s">
        <v>152</v>
      </c>
      <c r="N1159" s="12" t="s">
        <v>135</v>
      </c>
      <c r="O1159" s="12" t="s">
        <v>123</v>
      </c>
      <c r="P1159" s="12" t="s">
        <v>269</v>
      </c>
      <c r="Q1159" s="7" t="str">
        <f t="shared" si="55"/>
        <v>(1979,19,'1979.05.12',16,25,27,54,87,0),</v>
      </c>
      <c r="R1159" s="7" t="str">
        <f t="shared" si="57"/>
        <v>(1979,19,'1979.05.12',16,25,27,54,87),</v>
      </c>
    </row>
    <row r="1160" spans="1:18" x14ac:dyDescent="0.25">
      <c r="A1160" s="7" t="s">
        <v>5856</v>
      </c>
      <c r="B1160" s="8" t="s">
        <v>115</v>
      </c>
      <c r="C1160" s="10">
        <f t="shared" si="56"/>
        <v>28994</v>
      </c>
      <c r="D1160" t="s">
        <v>11</v>
      </c>
      <c r="E1160" t="s">
        <v>12</v>
      </c>
      <c r="F1160" t="s">
        <v>11</v>
      </c>
      <c r="G1160" t="s">
        <v>12</v>
      </c>
      <c r="H1160" t="s">
        <v>11</v>
      </c>
      <c r="I1160" t="s">
        <v>12</v>
      </c>
      <c r="J1160" t="s">
        <v>11</v>
      </c>
      <c r="K1160" t="s">
        <v>12</v>
      </c>
      <c r="L1160" s="12" t="s">
        <v>126</v>
      </c>
      <c r="M1160" s="12" t="s">
        <v>20</v>
      </c>
      <c r="N1160" s="12" t="s">
        <v>25</v>
      </c>
      <c r="O1160" s="12" t="s">
        <v>81</v>
      </c>
      <c r="P1160" s="12" t="s">
        <v>73</v>
      </c>
      <c r="Q1160" s="7" t="str">
        <f t="shared" si="55"/>
        <v>(1979,20,'1979.05.19',28,33,34,47,76,0),</v>
      </c>
      <c r="R1160" s="7" t="str">
        <f t="shared" si="57"/>
        <v>(1979,20,'1979.05.19',28,33,34,47,76),</v>
      </c>
    </row>
    <row r="1161" spans="1:18" x14ac:dyDescent="0.25">
      <c r="A1161" s="7" t="s">
        <v>5856</v>
      </c>
      <c r="B1161" s="8" t="s">
        <v>44</v>
      </c>
      <c r="C1161" s="10">
        <f t="shared" si="56"/>
        <v>29001</v>
      </c>
      <c r="D1161" t="s">
        <v>11</v>
      </c>
      <c r="E1161" t="s">
        <v>12</v>
      </c>
      <c r="F1161" t="s">
        <v>11</v>
      </c>
      <c r="G1161" t="s">
        <v>12</v>
      </c>
      <c r="H1161" t="s">
        <v>11</v>
      </c>
      <c r="I1161" t="s">
        <v>12</v>
      </c>
      <c r="J1161" t="s">
        <v>11</v>
      </c>
      <c r="K1161" t="s">
        <v>12</v>
      </c>
      <c r="L1161" s="12" t="s">
        <v>270</v>
      </c>
      <c r="M1161" s="12" t="s">
        <v>53</v>
      </c>
      <c r="N1161" s="12" t="s">
        <v>13</v>
      </c>
      <c r="O1161" s="12" t="s">
        <v>192</v>
      </c>
      <c r="P1161" s="12" t="s">
        <v>308</v>
      </c>
      <c r="Q1161" s="7" t="str">
        <f t="shared" si="55"/>
        <v>(1979,21,'1979.05.26',6,7,41,46,86,0),</v>
      </c>
      <c r="R1161" s="7" t="str">
        <f t="shared" si="57"/>
        <v>(1979,21,'1979.05.26',6,7,41,46,86),</v>
      </c>
    </row>
    <row r="1162" spans="1:18" x14ac:dyDescent="0.25">
      <c r="A1162" s="7" t="s">
        <v>5856</v>
      </c>
      <c r="B1162" s="8" t="s">
        <v>32</v>
      </c>
      <c r="C1162" s="10">
        <f t="shared" si="56"/>
        <v>29008</v>
      </c>
      <c r="D1162" t="s">
        <v>11</v>
      </c>
      <c r="E1162" t="s">
        <v>12</v>
      </c>
      <c r="F1162" t="s">
        <v>11</v>
      </c>
      <c r="G1162" t="s">
        <v>12</v>
      </c>
      <c r="H1162" t="s">
        <v>11</v>
      </c>
      <c r="I1162" t="s">
        <v>12</v>
      </c>
      <c r="J1162" t="s">
        <v>11</v>
      </c>
      <c r="K1162" t="s">
        <v>12</v>
      </c>
      <c r="L1162" s="12" t="s">
        <v>98</v>
      </c>
      <c r="M1162" s="12" t="s">
        <v>133</v>
      </c>
      <c r="N1162" s="12" t="s">
        <v>82</v>
      </c>
      <c r="O1162" s="12" t="s">
        <v>124</v>
      </c>
      <c r="P1162" s="12" t="s">
        <v>47</v>
      </c>
      <c r="Q1162" s="7" t="str">
        <f t="shared" si="55"/>
        <v>(1979,22,'1979.06.02',42,45,59,62,69,0),</v>
      </c>
      <c r="R1162" s="7" t="str">
        <f t="shared" si="57"/>
        <v>(1979,22,'1979.06.02',42,45,59,62,69),</v>
      </c>
    </row>
    <row r="1163" spans="1:18" x14ac:dyDescent="0.25">
      <c r="A1163" s="7" t="s">
        <v>5856</v>
      </c>
      <c r="B1163" s="8" t="s">
        <v>163</v>
      </c>
      <c r="C1163" s="10">
        <f t="shared" si="56"/>
        <v>29015</v>
      </c>
      <c r="D1163" t="s">
        <v>11</v>
      </c>
      <c r="E1163" t="s">
        <v>12</v>
      </c>
      <c r="F1163" t="s">
        <v>11</v>
      </c>
      <c r="G1163" t="s">
        <v>12</v>
      </c>
      <c r="H1163" t="s">
        <v>11</v>
      </c>
      <c r="I1163" t="s">
        <v>12</v>
      </c>
      <c r="J1163" t="s">
        <v>11</v>
      </c>
      <c r="K1163" t="s">
        <v>12</v>
      </c>
      <c r="L1163" s="12" t="s">
        <v>31</v>
      </c>
      <c r="M1163" s="12" t="s">
        <v>107</v>
      </c>
      <c r="N1163" s="12" t="s">
        <v>13</v>
      </c>
      <c r="O1163" s="12" t="s">
        <v>23</v>
      </c>
      <c r="P1163" s="12" t="s">
        <v>124</v>
      </c>
      <c r="Q1163" s="7" t="str">
        <f t="shared" si="55"/>
        <v>(1979,23,'1979.06.09',12,30,41,60,62,0),</v>
      </c>
      <c r="R1163" s="7" t="str">
        <f t="shared" si="57"/>
        <v>(1979,23,'1979.06.09',12,30,41,60,62),</v>
      </c>
    </row>
    <row r="1164" spans="1:18" x14ac:dyDescent="0.25">
      <c r="A1164" s="7" t="s">
        <v>5856</v>
      </c>
      <c r="B1164" s="8" t="s">
        <v>33</v>
      </c>
      <c r="C1164" s="10">
        <f t="shared" si="56"/>
        <v>29022</v>
      </c>
      <c r="D1164" t="s">
        <v>11</v>
      </c>
      <c r="E1164" t="s">
        <v>12</v>
      </c>
      <c r="F1164" t="s">
        <v>11</v>
      </c>
      <c r="G1164" t="s">
        <v>12</v>
      </c>
      <c r="H1164" t="s">
        <v>11</v>
      </c>
      <c r="I1164" t="s">
        <v>12</v>
      </c>
      <c r="J1164" t="s">
        <v>11</v>
      </c>
      <c r="K1164" t="s">
        <v>12</v>
      </c>
      <c r="L1164" s="12" t="s">
        <v>53</v>
      </c>
      <c r="M1164" s="12" t="s">
        <v>43</v>
      </c>
      <c r="N1164" s="12" t="s">
        <v>10</v>
      </c>
      <c r="O1164" s="12" t="s">
        <v>269</v>
      </c>
      <c r="P1164" s="12" t="s">
        <v>379</v>
      </c>
      <c r="Q1164" s="7" t="str">
        <f t="shared" si="55"/>
        <v>(1979,24,'1979.06.16',7,16,40,87,89,0),</v>
      </c>
      <c r="R1164" s="7" t="str">
        <f t="shared" si="57"/>
        <v>(1979,24,'1979.06.16',7,16,40,87,89),</v>
      </c>
    </row>
    <row r="1165" spans="1:18" x14ac:dyDescent="0.25">
      <c r="A1165" s="7" t="s">
        <v>5856</v>
      </c>
      <c r="B1165" s="8" t="s">
        <v>152</v>
      </c>
      <c r="C1165" s="10">
        <f t="shared" si="56"/>
        <v>29029</v>
      </c>
      <c r="D1165" t="s">
        <v>11</v>
      </c>
      <c r="E1165" t="s">
        <v>12</v>
      </c>
      <c r="F1165" t="s">
        <v>11</v>
      </c>
      <c r="G1165" t="s">
        <v>12</v>
      </c>
      <c r="H1165" t="s">
        <v>11</v>
      </c>
      <c r="I1165" t="s">
        <v>12</v>
      </c>
      <c r="J1165" t="s">
        <v>11</v>
      </c>
      <c r="K1165" t="s">
        <v>12</v>
      </c>
      <c r="L1165" s="12" t="s">
        <v>127</v>
      </c>
      <c r="M1165" s="12" t="s">
        <v>54</v>
      </c>
      <c r="N1165" s="12" t="s">
        <v>56</v>
      </c>
      <c r="O1165" s="12" t="s">
        <v>246</v>
      </c>
      <c r="P1165" s="12" t="s">
        <v>208</v>
      </c>
      <c r="Q1165" s="7" t="str">
        <f t="shared" si="55"/>
        <v>(1979,25,'1979.06.23',14,15,71,84,88,0),</v>
      </c>
      <c r="R1165" s="7" t="str">
        <f t="shared" si="57"/>
        <v>(1979,25,'1979.06.23',14,15,71,84,88),</v>
      </c>
    </row>
    <row r="1166" spans="1:18" x14ac:dyDescent="0.25">
      <c r="A1166" s="7" t="s">
        <v>5856</v>
      </c>
      <c r="B1166" s="8" t="s">
        <v>74</v>
      </c>
      <c r="C1166" s="10">
        <f t="shared" si="56"/>
        <v>29036</v>
      </c>
      <c r="D1166" t="s">
        <v>11</v>
      </c>
      <c r="E1166" t="s">
        <v>12</v>
      </c>
      <c r="F1166" t="s">
        <v>11</v>
      </c>
      <c r="G1166" t="s">
        <v>12</v>
      </c>
      <c r="H1166" t="s">
        <v>11</v>
      </c>
      <c r="I1166" t="s">
        <v>12</v>
      </c>
      <c r="J1166" t="s">
        <v>11</v>
      </c>
      <c r="K1166" t="s">
        <v>12</v>
      </c>
      <c r="L1166" s="12" t="s">
        <v>105</v>
      </c>
      <c r="M1166" s="12" t="s">
        <v>134</v>
      </c>
      <c r="N1166" s="12" t="s">
        <v>150</v>
      </c>
      <c r="O1166" s="12" t="s">
        <v>82</v>
      </c>
      <c r="P1166" s="12" t="s">
        <v>245</v>
      </c>
      <c r="Q1166" s="7" t="str">
        <f t="shared" si="55"/>
        <v>(1979,26,'1979.06.30',50,56,57,59,74,0),</v>
      </c>
      <c r="R1166" s="7" t="str">
        <f t="shared" si="57"/>
        <v>(1979,26,'1979.06.30',50,56,57,59,74),</v>
      </c>
    </row>
    <row r="1167" spans="1:18" x14ac:dyDescent="0.25">
      <c r="A1167" s="7" t="s">
        <v>5856</v>
      </c>
      <c r="B1167" s="8" t="s">
        <v>135</v>
      </c>
      <c r="C1167" s="10">
        <f t="shared" si="56"/>
        <v>29043</v>
      </c>
      <c r="D1167" t="s">
        <v>11</v>
      </c>
      <c r="E1167" t="s">
        <v>12</v>
      </c>
      <c r="F1167" t="s">
        <v>11</v>
      </c>
      <c r="G1167" t="s">
        <v>12</v>
      </c>
      <c r="H1167" t="s">
        <v>11</v>
      </c>
      <c r="I1167" t="s">
        <v>12</v>
      </c>
      <c r="J1167" t="s">
        <v>11</v>
      </c>
      <c r="K1167" t="s">
        <v>12</v>
      </c>
      <c r="L1167" s="12" t="s">
        <v>83</v>
      </c>
      <c r="M1167" s="12" t="s">
        <v>115</v>
      </c>
      <c r="N1167" s="12" t="s">
        <v>25</v>
      </c>
      <c r="O1167" s="12" t="s">
        <v>98</v>
      </c>
      <c r="P1167" s="12" t="s">
        <v>22</v>
      </c>
      <c r="Q1167" s="7" t="str">
        <f t="shared" si="55"/>
        <v>(1979,27,'1979.07.07',11,20,34,42,48,0),</v>
      </c>
      <c r="R1167" s="7" t="str">
        <f t="shared" si="57"/>
        <v>(1979,27,'1979.07.07',11,20,34,42,48),</v>
      </c>
    </row>
    <row r="1168" spans="1:18" x14ac:dyDescent="0.25">
      <c r="A1168" s="7" t="s">
        <v>5856</v>
      </c>
      <c r="B1168" s="8" t="s">
        <v>126</v>
      </c>
      <c r="C1168" s="10">
        <f t="shared" si="56"/>
        <v>29050</v>
      </c>
      <c r="D1168" t="s">
        <v>11</v>
      </c>
      <c r="E1168" t="s">
        <v>12</v>
      </c>
      <c r="F1168" t="s">
        <v>11</v>
      </c>
      <c r="G1168" t="s">
        <v>12</v>
      </c>
      <c r="H1168" t="s">
        <v>11</v>
      </c>
      <c r="I1168" t="s">
        <v>12</v>
      </c>
      <c r="J1168" t="s">
        <v>11</v>
      </c>
      <c r="K1168" t="s">
        <v>12</v>
      </c>
      <c r="L1168" s="12" t="s">
        <v>207</v>
      </c>
      <c r="M1168" s="12" t="s">
        <v>31</v>
      </c>
      <c r="N1168" s="12" t="s">
        <v>116</v>
      </c>
      <c r="O1168" s="12" t="s">
        <v>124</v>
      </c>
      <c r="P1168" s="12" t="s">
        <v>151</v>
      </c>
      <c r="Q1168" s="7" t="str">
        <f t="shared" si="55"/>
        <v>(1979,28,'1979.07.14',2,12,29,62,79,0),</v>
      </c>
      <c r="R1168" s="7" t="str">
        <f t="shared" si="57"/>
        <v>(1979,28,'1979.07.14',2,12,29,62,79),</v>
      </c>
    </row>
    <row r="1169" spans="1:18" x14ac:dyDescent="0.25">
      <c r="A1169" s="7" t="s">
        <v>5856</v>
      </c>
      <c r="B1169" s="8" t="s">
        <v>116</v>
      </c>
      <c r="C1169" s="10">
        <f t="shared" si="56"/>
        <v>29057</v>
      </c>
      <c r="D1169" t="s">
        <v>11</v>
      </c>
      <c r="E1169" t="s">
        <v>12</v>
      </c>
      <c r="F1169" t="s">
        <v>11</v>
      </c>
      <c r="G1169" t="s">
        <v>12</v>
      </c>
      <c r="H1169" t="s">
        <v>11</v>
      </c>
      <c r="I1169" t="s">
        <v>12</v>
      </c>
      <c r="J1169" t="s">
        <v>11</v>
      </c>
      <c r="K1169" t="s">
        <v>12</v>
      </c>
      <c r="L1169" s="12" t="s">
        <v>54</v>
      </c>
      <c r="M1169" s="12" t="s">
        <v>80</v>
      </c>
      <c r="N1169" s="12" t="s">
        <v>25</v>
      </c>
      <c r="O1169" s="12" t="s">
        <v>122</v>
      </c>
      <c r="P1169" s="12" t="s">
        <v>246</v>
      </c>
      <c r="Q1169" s="7" t="str">
        <f t="shared" si="55"/>
        <v>(1979,29,'1979.07.21',15,32,34,51,84,0),</v>
      </c>
      <c r="R1169" s="7" t="str">
        <f t="shared" si="57"/>
        <v>(1979,29,'1979.07.21',15,32,34,51,84),</v>
      </c>
    </row>
    <row r="1170" spans="1:18" x14ac:dyDescent="0.25">
      <c r="A1170" s="7" t="s">
        <v>5856</v>
      </c>
      <c r="B1170" s="8" t="s">
        <v>107</v>
      </c>
      <c r="C1170" s="10">
        <f t="shared" si="56"/>
        <v>29064</v>
      </c>
      <c r="D1170" t="s">
        <v>11</v>
      </c>
      <c r="E1170" t="s">
        <v>12</v>
      </c>
      <c r="F1170" t="s">
        <v>11</v>
      </c>
      <c r="G1170" t="s">
        <v>12</v>
      </c>
      <c r="H1170" t="s">
        <v>11</v>
      </c>
      <c r="I1170" t="s">
        <v>12</v>
      </c>
      <c r="J1170" t="s">
        <v>11</v>
      </c>
      <c r="K1170" t="s">
        <v>12</v>
      </c>
      <c r="L1170" s="12" t="s">
        <v>115</v>
      </c>
      <c r="M1170" s="12" t="s">
        <v>32</v>
      </c>
      <c r="N1170" s="12" t="s">
        <v>214</v>
      </c>
      <c r="O1170" s="12" t="s">
        <v>233</v>
      </c>
      <c r="P1170" s="12" t="s">
        <v>47</v>
      </c>
      <c r="Q1170" s="7" t="str">
        <f t="shared" si="55"/>
        <v>(1979,30,'1979.07.28',20,22,64,66,69,0),</v>
      </c>
      <c r="R1170" s="7" t="str">
        <f t="shared" si="57"/>
        <v>(1979,30,'1979.07.28',20,22,64,66,69),</v>
      </c>
    </row>
    <row r="1171" spans="1:18" x14ac:dyDescent="0.25">
      <c r="A1171" s="7" t="s">
        <v>5856</v>
      </c>
      <c r="B1171" s="8" t="s">
        <v>71</v>
      </c>
      <c r="C1171" s="10">
        <f t="shared" si="56"/>
        <v>29071</v>
      </c>
      <c r="D1171" t="s">
        <v>11</v>
      </c>
      <c r="E1171" t="s">
        <v>12</v>
      </c>
      <c r="F1171" t="s">
        <v>11</v>
      </c>
      <c r="G1171" t="s">
        <v>12</v>
      </c>
      <c r="H1171" t="s">
        <v>11</v>
      </c>
      <c r="I1171" t="s">
        <v>12</v>
      </c>
      <c r="J1171" t="s">
        <v>11</v>
      </c>
      <c r="K1171" t="s">
        <v>12</v>
      </c>
      <c r="L1171" s="12" t="s">
        <v>42</v>
      </c>
      <c r="M1171" s="12" t="s">
        <v>89</v>
      </c>
      <c r="N1171" s="12" t="s">
        <v>71</v>
      </c>
      <c r="O1171" s="12" t="s">
        <v>245</v>
      </c>
      <c r="P1171" s="12" t="s">
        <v>186</v>
      </c>
      <c r="Q1171" s="7" t="str">
        <f t="shared" si="55"/>
        <v>(1979,31,'1979.08.04',3,5,31,74,90,0),</v>
      </c>
      <c r="R1171" s="7" t="str">
        <f t="shared" si="57"/>
        <v>(1979,31,'1979.08.04',3,5,31,74,90),</v>
      </c>
    </row>
    <row r="1172" spans="1:18" x14ac:dyDescent="0.25">
      <c r="A1172" s="7" t="s">
        <v>5856</v>
      </c>
      <c r="B1172" s="8" t="s">
        <v>80</v>
      </c>
      <c r="C1172" s="10">
        <f t="shared" si="56"/>
        <v>29078</v>
      </c>
      <c r="D1172" t="s">
        <v>11</v>
      </c>
      <c r="E1172" t="s">
        <v>12</v>
      </c>
      <c r="F1172" t="s">
        <v>11</v>
      </c>
      <c r="G1172" t="s">
        <v>12</v>
      </c>
      <c r="H1172" t="s">
        <v>11</v>
      </c>
      <c r="I1172" t="s">
        <v>12</v>
      </c>
      <c r="J1172" t="s">
        <v>11</v>
      </c>
      <c r="K1172" t="s">
        <v>12</v>
      </c>
      <c r="L1172" s="12" t="s">
        <v>74</v>
      </c>
      <c r="M1172" s="12" t="s">
        <v>71</v>
      </c>
      <c r="N1172" s="12" t="s">
        <v>64</v>
      </c>
      <c r="O1172" s="12" t="s">
        <v>21</v>
      </c>
      <c r="P1172" s="12" t="s">
        <v>105</v>
      </c>
      <c r="Q1172" s="7" t="str">
        <f t="shared" si="55"/>
        <v>(1979,32,'1979.08.11',26,31,35,36,50,0),</v>
      </c>
      <c r="R1172" s="7" t="str">
        <f t="shared" si="57"/>
        <v>(1979,32,'1979.08.11',26,31,35,36,50),</v>
      </c>
    </row>
    <row r="1173" spans="1:18" x14ac:dyDescent="0.25">
      <c r="A1173" s="7" t="s">
        <v>5856</v>
      </c>
      <c r="B1173" s="8" t="s">
        <v>20</v>
      </c>
      <c r="C1173" s="10">
        <f t="shared" si="56"/>
        <v>29085</v>
      </c>
      <c r="D1173" t="s">
        <v>11</v>
      </c>
      <c r="E1173" t="s">
        <v>12</v>
      </c>
      <c r="F1173" t="s">
        <v>11</v>
      </c>
      <c r="G1173" t="s">
        <v>12</v>
      </c>
      <c r="H1173" t="s">
        <v>11</v>
      </c>
      <c r="I1173" t="s">
        <v>12</v>
      </c>
      <c r="J1173" t="s">
        <v>11</v>
      </c>
      <c r="K1173" t="s">
        <v>12</v>
      </c>
      <c r="L1173" s="12" t="s">
        <v>43</v>
      </c>
      <c r="M1173" s="12" t="s">
        <v>192</v>
      </c>
      <c r="N1173" s="12" t="s">
        <v>248</v>
      </c>
      <c r="O1173" s="12" t="s">
        <v>301</v>
      </c>
      <c r="P1173" s="12" t="s">
        <v>215</v>
      </c>
      <c r="Q1173" s="7" t="str">
        <f t="shared" si="55"/>
        <v>(1979,33,'1979.08.18',16,46,63,80,81,0),</v>
      </c>
      <c r="R1173" s="7" t="str">
        <f t="shared" si="57"/>
        <v>(1979,33,'1979.08.18',16,46,63,80,81),</v>
      </c>
    </row>
    <row r="1174" spans="1:18" x14ac:dyDescent="0.25">
      <c r="A1174" s="7" t="s">
        <v>5856</v>
      </c>
      <c r="B1174" s="8" t="s">
        <v>25</v>
      </c>
      <c r="C1174" s="10">
        <f t="shared" si="56"/>
        <v>29092</v>
      </c>
      <c r="D1174" t="s">
        <v>11</v>
      </c>
      <c r="E1174" t="s">
        <v>12</v>
      </c>
      <c r="F1174" t="s">
        <v>11</v>
      </c>
      <c r="G1174" t="s">
        <v>12</v>
      </c>
      <c r="H1174" t="s">
        <v>11</v>
      </c>
      <c r="I1174" t="s">
        <v>12</v>
      </c>
      <c r="J1174" t="s">
        <v>11</v>
      </c>
      <c r="K1174" t="s">
        <v>12</v>
      </c>
      <c r="L1174" s="12" t="s">
        <v>89</v>
      </c>
      <c r="M1174" s="12" t="s">
        <v>232</v>
      </c>
      <c r="N1174" s="12" t="s">
        <v>142</v>
      </c>
      <c r="O1174" s="12" t="s">
        <v>133</v>
      </c>
      <c r="P1174" s="12" t="s">
        <v>34</v>
      </c>
      <c r="Q1174" s="7" t="str">
        <f t="shared" si="55"/>
        <v>(1979,34,'1979.08.25',5,8,44,45,49,0),</v>
      </c>
      <c r="R1174" s="7" t="str">
        <f t="shared" si="57"/>
        <v>(1979,34,'1979.08.25',5,8,44,45,49),</v>
      </c>
    </row>
    <row r="1175" spans="1:18" x14ac:dyDescent="0.25">
      <c r="A1175" s="7" t="s">
        <v>5856</v>
      </c>
      <c r="B1175" s="8" t="s">
        <v>64</v>
      </c>
      <c r="C1175" s="10">
        <f t="shared" si="56"/>
        <v>29099</v>
      </c>
      <c r="D1175" t="s">
        <v>11</v>
      </c>
      <c r="E1175" t="s">
        <v>12</v>
      </c>
      <c r="F1175" t="s">
        <v>11</v>
      </c>
      <c r="G1175" t="s">
        <v>12</v>
      </c>
      <c r="H1175" t="s">
        <v>11</v>
      </c>
      <c r="I1175" t="s">
        <v>12</v>
      </c>
      <c r="J1175" t="s">
        <v>11</v>
      </c>
      <c r="K1175" t="s">
        <v>12</v>
      </c>
      <c r="L1175" s="12" t="s">
        <v>270</v>
      </c>
      <c r="M1175" s="12" t="s">
        <v>62</v>
      </c>
      <c r="N1175" s="12" t="s">
        <v>98</v>
      </c>
      <c r="O1175" s="12" t="s">
        <v>22</v>
      </c>
      <c r="P1175" s="12" t="s">
        <v>233</v>
      </c>
      <c r="Q1175" s="7" t="str">
        <f t="shared" si="55"/>
        <v>(1979,35,'1979.09.01',6,10,42,48,66,0),</v>
      </c>
      <c r="R1175" s="7" t="str">
        <f t="shared" si="57"/>
        <v>(1979,35,'1979.09.01',6,10,42,48,66),</v>
      </c>
    </row>
    <row r="1176" spans="1:18" x14ac:dyDescent="0.25">
      <c r="A1176" s="7" t="s">
        <v>5856</v>
      </c>
      <c r="B1176" s="8" t="s">
        <v>21</v>
      </c>
      <c r="C1176" s="10">
        <f t="shared" si="56"/>
        <v>29106</v>
      </c>
      <c r="D1176" t="s">
        <v>11</v>
      </c>
      <c r="E1176" t="s">
        <v>12</v>
      </c>
      <c r="F1176" t="s">
        <v>11</v>
      </c>
      <c r="G1176" t="s">
        <v>12</v>
      </c>
      <c r="H1176" t="s">
        <v>11</v>
      </c>
      <c r="I1176" t="s">
        <v>12</v>
      </c>
      <c r="J1176" t="s">
        <v>11</v>
      </c>
      <c r="K1176" t="s">
        <v>12</v>
      </c>
      <c r="L1176" s="12" t="s">
        <v>232</v>
      </c>
      <c r="M1176" s="12" t="s">
        <v>32</v>
      </c>
      <c r="N1176" s="12" t="s">
        <v>133</v>
      </c>
      <c r="O1176" s="12" t="s">
        <v>99</v>
      </c>
      <c r="P1176" s="12" t="s">
        <v>245</v>
      </c>
      <c r="Q1176" s="7" t="str">
        <f t="shared" si="55"/>
        <v>(1979,36,'1979.09.08',8,22,45,52,74,0),</v>
      </c>
      <c r="R1176" s="7" t="str">
        <f t="shared" si="57"/>
        <v>(1979,36,'1979.09.08',8,22,45,52,74),</v>
      </c>
    </row>
    <row r="1177" spans="1:18" x14ac:dyDescent="0.25">
      <c r="A1177" s="7" t="s">
        <v>5856</v>
      </c>
      <c r="B1177" s="8" t="s">
        <v>46</v>
      </c>
      <c r="C1177" s="10">
        <f t="shared" si="56"/>
        <v>29113</v>
      </c>
      <c r="D1177" t="s">
        <v>11</v>
      </c>
      <c r="E1177" t="s">
        <v>12</v>
      </c>
      <c r="F1177" t="s">
        <v>11</v>
      </c>
      <c r="G1177" t="s">
        <v>12</v>
      </c>
      <c r="H1177" t="s">
        <v>11</v>
      </c>
      <c r="I1177" t="s">
        <v>12</v>
      </c>
      <c r="J1177" t="s">
        <v>11</v>
      </c>
      <c r="K1177" t="s">
        <v>12</v>
      </c>
      <c r="L1177" s="12" t="s">
        <v>168</v>
      </c>
      <c r="M1177" s="12" t="s">
        <v>270</v>
      </c>
      <c r="N1177" s="12" t="s">
        <v>105</v>
      </c>
      <c r="O1177" s="12" t="s">
        <v>134</v>
      </c>
      <c r="P1177" s="12" t="s">
        <v>92</v>
      </c>
      <c r="Q1177" s="7" t="str">
        <f t="shared" si="55"/>
        <v>(1979,37,'1979.09.15',4,6,50,56,68,0),</v>
      </c>
      <c r="R1177" s="7" t="str">
        <f t="shared" si="57"/>
        <v>(1979,37,'1979.09.15',4,6,50,56,68),</v>
      </c>
    </row>
    <row r="1178" spans="1:18" x14ac:dyDescent="0.25">
      <c r="A1178" s="7" t="s">
        <v>5856</v>
      </c>
      <c r="B1178" s="8" t="s">
        <v>36</v>
      </c>
      <c r="C1178" s="10">
        <f t="shared" si="56"/>
        <v>29120</v>
      </c>
      <c r="D1178" t="s">
        <v>11</v>
      </c>
      <c r="E1178" t="s">
        <v>12</v>
      </c>
      <c r="F1178" t="s">
        <v>11</v>
      </c>
      <c r="G1178" t="s">
        <v>12</v>
      </c>
      <c r="H1178" t="s">
        <v>11</v>
      </c>
      <c r="I1178" t="s">
        <v>12</v>
      </c>
      <c r="J1178" t="s">
        <v>11</v>
      </c>
      <c r="K1178" t="s">
        <v>12</v>
      </c>
      <c r="L1178" s="12" t="s">
        <v>25</v>
      </c>
      <c r="M1178" s="12" t="s">
        <v>82</v>
      </c>
      <c r="N1178" s="12" t="s">
        <v>72</v>
      </c>
      <c r="O1178" s="12" t="s">
        <v>106</v>
      </c>
      <c r="P1178" s="12" t="s">
        <v>63</v>
      </c>
      <c r="Q1178" s="7" t="str">
        <f t="shared" si="55"/>
        <v>(1979,38,'1979.09.22',34,59,67,75,78,0),</v>
      </c>
      <c r="R1178" s="7" t="str">
        <f t="shared" si="57"/>
        <v>(1979,38,'1979.09.22',34,59,67,75,78),</v>
      </c>
    </row>
    <row r="1179" spans="1:18" x14ac:dyDescent="0.25">
      <c r="A1179" s="7" t="s">
        <v>5856</v>
      </c>
      <c r="B1179" s="8" t="s">
        <v>24</v>
      </c>
      <c r="C1179" s="10">
        <f t="shared" si="56"/>
        <v>29127</v>
      </c>
      <c r="D1179" t="s">
        <v>11</v>
      </c>
      <c r="E1179" t="s">
        <v>12</v>
      </c>
      <c r="F1179" t="s">
        <v>11</v>
      </c>
      <c r="G1179" t="s">
        <v>12</v>
      </c>
      <c r="H1179" t="s">
        <v>11</v>
      </c>
      <c r="I1179" t="s">
        <v>12</v>
      </c>
      <c r="J1179" t="s">
        <v>11</v>
      </c>
      <c r="K1179" t="s">
        <v>12</v>
      </c>
      <c r="L1179" s="12" t="s">
        <v>32</v>
      </c>
      <c r="M1179" s="12" t="s">
        <v>74</v>
      </c>
      <c r="N1179" s="12" t="s">
        <v>64</v>
      </c>
      <c r="O1179" s="12" t="s">
        <v>133</v>
      </c>
      <c r="P1179" s="12" t="s">
        <v>150</v>
      </c>
      <c r="Q1179" s="7" t="str">
        <f t="shared" si="55"/>
        <v>(1979,39,'1979.09.29',22,26,35,45,57,0),</v>
      </c>
      <c r="R1179" s="7" t="str">
        <f t="shared" si="57"/>
        <v>(1979,39,'1979.09.29',22,26,35,45,57),</v>
      </c>
    </row>
    <row r="1180" spans="1:18" x14ac:dyDescent="0.25">
      <c r="A1180" s="7" t="s">
        <v>5856</v>
      </c>
      <c r="B1180" s="8" t="s">
        <v>10</v>
      </c>
      <c r="C1180" s="10">
        <f t="shared" si="56"/>
        <v>29134</v>
      </c>
      <c r="D1180" t="s">
        <v>11</v>
      </c>
      <c r="E1180" t="s">
        <v>12</v>
      </c>
      <c r="F1180" t="s">
        <v>11</v>
      </c>
      <c r="G1180" t="s">
        <v>12</v>
      </c>
      <c r="H1180" t="s">
        <v>11</v>
      </c>
      <c r="I1180" t="s">
        <v>12</v>
      </c>
      <c r="J1180" t="s">
        <v>11</v>
      </c>
      <c r="K1180" t="s">
        <v>12</v>
      </c>
      <c r="L1180" s="12" t="s">
        <v>207</v>
      </c>
      <c r="M1180" s="12" t="s">
        <v>232</v>
      </c>
      <c r="N1180" s="12" t="s">
        <v>83</v>
      </c>
      <c r="O1180" s="12" t="s">
        <v>43</v>
      </c>
      <c r="P1180" s="12" t="s">
        <v>199</v>
      </c>
      <c r="Q1180" s="7" t="str">
        <f t="shared" si="55"/>
        <v>(1979,40,'1979.10.06',2,8,11,16,53,0),</v>
      </c>
      <c r="R1180" s="7" t="str">
        <f t="shared" si="57"/>
        <v>(1979,40,'1979.10.06',2,8,11,16,53),</v>
      </c>
    </row>
    <row r="1181" spans="1:18" x14ac:dyDescent="0.25">
      <c r="A1181" s="7" t="s">
        <v>5856</v>
      </c>
      <c r="B1181" s="8" t="s">
        <v>13</v>
      </c>
      <c r="C1181" s="10">
        <f t="shared" si="56"/>
        <v>29141</v>
      </c>
      <c r="D1181" t="s">
        <v>11</v>
      </c>
      <c r="E1181" t="s">
        <v>12</v>
      </c>
      <c r="F1181" t="s">
        <v>11</v>
      </c>
      <c r="G1181" t="s">
        <v>12</v>
      </c>
      <c r="H1181" t="s">
        <v>11</v>
      </c>
      <c r="I1181" t="s">
        <v>12</v>
      </c>
      <c r="J1181" t="s">
        <v>11</v>
      </c>
      <c r="K1181" t="s">
        <v>12</v>
      </c>
      <c r="L1181" s="12" t="s">
        <v>55</v>
      </c>
      <c r="M1181" s="12" t="s">
        <v>64</v>
      </c>
      <c r="N1181" s="12" t="s">
        <v>36</v>
      </c>
      <c r="O1181" s="12" t="s">
        <v>143</v>
      </c>
      <c r="P1181" s="12" t="s">
        <v>151</v>
      </c>
      <c r="Q1181" s="7" t="str">
        <f t="shared" si="55"/>
        <v>(1979,41,'1979.10.13',19,35,38,77,79,0),</v>
      </c>
      <c r="R1181" s="7" t="str">
        <f t="shared" si="57"/>
        <v>(1979,41,'1979.10.13',19,35,38,77,79),</v>
      </c>
    </row>
    <row r="1182" spans="1:18" x14ac:dyDescent="0.25">
      <c r="A1182" s="7" t="s">
        <v>5856</v>
      </c>
      <c r="B1182" s="8" t="s">
        <v>98</v>
      </c>
      <c r="C1182" s="10">
        <f t="shared" si="56"/>
        <v>29148</v>
      </c>
      <c r="D1182" t="s">
        <v>11</v>
      </c>
      <c r="E1182" t="s">
        <v>12</v>
      </c>
      <c r="F1182" t="s">
        <v>11</v>
      </c>
      <c r="G1182" t="s">
        <v>12</v>
      </c>
      <c r="H1182" t="s">
        <v>11</v>
      </c>
      <c r="I1182" t="s">
        <v>12</v>
      </c>
      <c r="J1182" t="s">
        <v>11</v>
      </c>
      <c r="K1182" t="s">
        <v>12</v>
      </c>
      <c r="L1182" s="12" t="s">
        <v>116</v>
      </c>
      <c r="M1182" s="12" t="s">
        <v>107</v>
      </c>
      <c r="N1182" s="12" t="s">
        <v>46</v>
      </c>
      <c r="O1182" s="12" t="s">
        <v>200</v>
      </c>
      <c r="P1182" s="12" t="s">
        <v>56</v>
      </c>
      <c r="Q1182" s="7" t="str">
        <f t="shared" si="55"/>
        <v>(1979,42,'1979.10.20',29,30,37,70,71,0),</v>
      </c>
      <c r="R1182" s="7" t="str">
        <f t="shared" si="57"/>
        <v>(1979,42,'1979.10.20',29,30,37,70,71),</v>
      </c>
    </row>
    <row r="1183" spans="1:18" x14ac:dyDescent="0.25">
      <c r="A1183" s="7" t="s">
        <v>5856</v>
      </c>
      <c r="B1183" s="8" t="s">
        <v>45</v>
      </c>
      <c r="C1183" s="10">
        <f t="shared" si="56"/>
        <v>29155</v>
      </c>
      <c r="D1183" t="s">
        <v>11</v>
      </c>
      <c r="E1183" t="s">
        <v>12</v>
      </c>
      <c r="F1183" t="s">
        <v>11</v>
      </c>
      <c r="G1183" t="s">
        <v>12</v>
      </c>
      <c r="H1183" t="s">
        <v>11</v>
      </c>
      <c r="I1183" t="s">
        <v>12</v>
      </c>
      <c r="J1183" t="s">
        <v>11</v>
      </c>
      <c r="K1183" t="s">
        <v>12</v>
      </c>
      <c r="L1183" s="12" t="s">
        <v>19</v>
      </c>
      <c r="M1183" s="12" t="s">
        <v>21</v>
      </c>
      <c r="N1183" s="12" t="s">
        <v>81</v>
      </c>
      <c r="O1183" s="12" t="s">
        <v>22</v>
      </c>
      <c r="P1183" s="12" t="s">
        <v>23</v>
      </c>
      <c r="Q1183" s="7" t="str">
        <f t="shared" si="55"/>
        <v>(1979,43,'1979.10.27',18,36,47,48,60,0),</v>
      </c>
      <c r="R1183" s="7" t="str">
        <f t="shared" si="57"/>
        <v>(1979,43,'1979.10.27',18,36,47,48,60),</v>
      </c>
    </row>
    <row r="1184" spans="1:18" x14ac:dyDescent="0.25">
      <c r="A1184" s="7" t="s">
        <v>5856</v>
      </c>
      <c r="B1184" s="8" t="s">
        <v>142</v>
      </c>
      <c r="C1184" s="10">
        <f t="shared" si="56"/>
        <v>29162</v>
      </c>
      <c r="D1184" t="s">
        <v>11</v>
      </c>
      <c r="E1184" t="s">
        <v>12</v>
      </c>
      <c r="F1184" t="s">
        <v>11</v>
      </c>
      <c r="G1184" t="s">
        <v>12</v>
      </c>
      <c r="H1184" t="s">
        <v>11</v>
      </c>
      <c r="I1184" t="s">
        <v>12</v>
      </c>
      <c r="J1184" t="s">
        <v>11</v>
      </c>
      <c r="K1184" t="s">
        <v>12</v>
      </c>
      <c r="L1184" s="12" t="s">
        <v>127</v>
      </c>
      <c r="M1184" s="12" t="s">
        <v>80</v>
      </c>
      <c r="N1184" s="12" t="s">
        <v>239</v>
      </c>
      <c r="O1184" s="12" t="s">
        <v>269</v>
      </c>
      <c r="P1184" s="12" t="s">
        <v>208</v>
      </c>
      <c r="Q1184" s="7" t="str">
        <f t="shared" si="55"/>
        <v>(1979,44,'1979.11.03',14,32,73,87,88,0),</v>
      </c>
      <c r="R1184" s="7" t="str">
        <f t="shared" si="57"/>
        <v>(1979,44,'1979.11.03',14,32,73,87,88),</v>
      </c>
    </row>
    <row r="1185" spans="1:18" x14ac:dyDescent="0.25">
      <c r="A1185" s="7" t="s">
        <v>5856</v>
      </c>
      <c r="B1185" s="8" t="s">
        <v>133</v>
      </c>
      <c r="C1185" s="10">
        <f t="shared" si="56"/>
        <v>29169</v>
      </c>
      <c r="D1185" t="s">
        <v>11</v>
      </c>
      <c r="E1185" t="s">
        <v>12</v>
      </c>
      <c r="F1185" t="s">
        <v>11</v>
      </c>
      <c r="G1185" t="s">
        <v>12</v>
      </c>
      <c r="H1185" t="s">
        <v>11</v>
      </c>
      <c r="I1185" t="s">
        <v>12</v>
      </c>
      <c r="J1185" t="s">
        <v>11</v>
      </c>
      <c r="K1185" t="s">
        <v>12</v>
      </c>
      <c r="L1185" s="12" t="s">
        <v>53</v>
      </c>
      <c r="M1185" s="12" t="s">
        <v>43</v>
      </c>
      <c r="N1185" s="12" t="s">
        <v>99</v>
      </c>
      <c r="O1185" s="12" t="s">
        <v>143</v>
      </c>
      <c r="P1185" s="12" t="s">
        <v>301</v>
      </c>
      <c r="Q1185" s="7" t="str">
        <f t="shared" si="55"/>
        <v>(1979,45,'1979.11.10',7,16,52,77,80,0),</v>
      </c>
      <c r="R1185" s="7" t="str">
        <f t="shared" si="57"/>
        <v>(1979,45,'1979.11.10',7,16,52,77,80),</v>
      </c>
    </row>
    <row r="1186" spans="1:18" x14ac:dyDescent="0.25">
      <c r="A1186" s="7" t="s">
        <v>5856</v>
      </c>
      <c r="B1186" s="8" t="s">
        <v>192</v>
      </c>
      <c r="C1186" s="10">
        <f t="shared" si="56"/>
        <v>29176</v>
      </c>
      <c r="D1186" t="s">
        <v>11</v>
      </c>
      <c r="E1186" t="s">
        <v>12</v>
      </c>
      <c r="F1186" t="s">
        <v>11</v>
      </c>
      <c r="G1186" t="s">
        <v>12</v>
      </c>
      <c r="H1186" t="s">
        <v>11</v>
      </c>
      <c r="I1186" t="s">
        <v>12</v>
      </c>
      <c r="J1186" t="s">
        <v>11</v>
      </c>
      <c r="K1186" t="s">
        <v>12</v>
      </c>
      <c r="L1186" s="12" t="s">
        <v>198</v>
      </c>
      <c r="M1186" s="12" t="s">
        <v>64</v>
      </c>
      <c r="N1186" s="12" t="s">
        <v>22</v>
      </c>
      <c r="O1186" s="12" t="s">
        <v>34</v>
      </c>
      <c r="P1186" s="12" t="s">
        <v>47</v>
      </c>
      <c r="Q1186" s="7" t="str">
        <f t="shared" si="55"/>
        <v>(1979,46,'1979.11.17',9,35,48,49,69,0),</v>
      </c>
      <c r="R1186" s="7" t="str">
        <f t="shared" si="57"/>
        <v>(1979,46,'1979.11.17',9,35,48,49,69),</v>
      </c>
    </row>
    <row r="1187" spans="1:18" x14ac:dyDescent="0.25">
      <c r="A1187" s="7" t="s">
        <v>5856</v>
      </c>
      <c r="B1187" s="8" t="s">
        <v>81</v>
      </c>
      <c r="C1187" s="10">
        <f t="shared" si="56"/>
        <v>29183</v>
      </c>
      <c r="D1187" t="s">
        <v>11</v>
      </c>
      <c r="E1187" t="s">
        <v>12</v>
      </c>
      <c r="F1187" t="s">
        <v>11</v>
      </c>
      <c r="G1187" t="s">
        <v>12</v>
      </c>
      <c r="H1187" t="s">
        <v>11</v>
      </c>
      <c r="I1187" t="s">
        <v>12</v>
      </c>
      <c r="J1187" t="s">
        <v>11</v>
      </c>
      <c r="K1187" t="s">
        <v>12</v>
      </c>
      <c r="L1187" s="12" t="s">
        <v>43</v>
      </c>
      <c r="M1187" s="12" t="s">
        <v>71</v>
      </c>
      <c r="N1187" s="12" t="s">
        <v>22</v>
      </c>
      <c r="O1187" s="12" t="s">
        <v>124</v>
      </c>
      <c r="P1187" s="12" t="s">
        <v>248</v>
      </c>
      <c r="Q1187" s="7" t="str">
        <f t="shared" si="55"/>
        <v>(1979,47,'1979.11.24',16,31,48,62,63,0),</v>
      </c>
      <c r="R1187" s="7" t="str">
        <f t="shared" si="57"/>
        <v>(1979,47,'1979.11.24',16,31,48,62,63),</v>
      </c>
    </row>
    <row r="1188" spans="1:18" x14ac:dyDescent="0.25">
      <c r="A1188" s="7" t="s">
        <v>5856</v>
      </c>
      <c r="B1188" s="8" t="s">
        <v>22</v>
      </c>
      <c r="C1188" s="10">
        <f t="shared" si="56"/>
        <v>29190</v>
      </c>
      <c r="D1188" t="s">
        <v>11</v>
      </c>
      <c r="E1188" t="s">
        <v>12</v>
      </c>
      <c r="F1188" t="s">
        <v>11</v>
      </c>
      <c r="G1188" t="s">
        <v>12</v>
      </c>
      <c r="H1188" t="s">
        <v>11</v>
      </c>
      <c r="I1188" t="s">
        <v>12</v>
      </c>
      <c r="J1188" t="s">
        <v>11</v>
      </c>
      <c r="K1188" t="s">
        <v>12</v>
      </c>
      <c r="L1188" s="12" t="s">
        <v>232</v>
      </c>
      <c r="M1188" s="12" t="s">
        <v>21</v>
      </c>
      <c r="N1188" s="12" t="s">
        <v>36</v>
      </c>
      <c r="O1188" s="12" t="s">
        <v>92</v>
      </c>
      <c r="P1188" s="12" t="s">
        <v>239</v>
      </c>
      <c r="Q1188" s="7" t="str">
        <f t="shared" si="55"/>
        <v>(1979,48,'1979.12.01',8,36,38,68,73,0),</v>
      </c>
      <c r="R1188" s="7" t="str">
        <f t="shared" si="57"/>
        <v>(1979,48,'1979.12.01',8,36,38,68,73),</v>
      </c>
    </row>
    <row r="1189" spans="1:18" x14ac:dyDescent="0.25">
      <c r="A1189" s="7" t="s">
        <v>5856</v>
      </c>
      <c r="B1189" s="8" t="s">
        <v>34</v>
      </c>
      <c r="C1189" s="10">
        <f t="shared" si="56"/>
        <v>29197</v>
      </c>
      <c r="D1189" t="s">
        <v>11</v>
      </c>
      <c r="E1189" t="s">
        <v>12</v>
      </c>
      <c r="F1189" t="s">
        <v>11</v>
      </c>
      <c r="G1189" t="s">
        <v>12</v>
      </c>
      <c r="H1189" t="s">
        <v>11</v>
      </c>
      <c r="I1189" t="s">
        <v>12</v>
      </c>
      <c r="J1189" t="s">
        <v>11</v>
      </c>
      <c r="K1189" t="s">
        <v>12</v>
      </c>
      <c r="L1189" s="12" t="s">
        <v>42</v>
      </c>
      <c r="M1189" s="12" t="s">
        <v>152</v>
      </c>
      <c r="N1189" s="12" t="s">
        <v>133</v>
      </c>
      <c r="O1189" s="12" t="s">
        <v>214</v>
      </c>
      <c r="P1189" s="12" t="s">
        <v>151</v>
      </c>
      <c r="Q1189" s="7" t="str">
        <f t="shared" si="55"/>
        <v>(1979,49,'1979.12.08',3,25,45,64,79,0),</v>
      </c>
      <c r="R1189" s="7" t="str">
        <f t="shared" si="57"/>
        <v>(1979,49,'1979.12.08',3,25,45,64,79),</v>
      </c>
    </row>
    <row r="1190" spans="1:18" x14ac:dyDescent="0.25">
      <c r="A1190" s="7" t="s">
        <v>5856</v>
      </c>
      <c r="B1190" s="8" t="s">
        <v>105</v>
      </c>
      <c r="C1190" s="10">
        <f t="shared" si="56"/>
        <v>29204</v>
      </c>
      <c r="D1190" t="s">
        <v>11</v>
      </c>
      <c r="E1190" t="s">
        <v>12</v>
      </c>
      <c r="F1190" t="s">
        <v>11</v>
      </c>
      <c r="G1190" t="s">
        <v>12</v>
      </c>
      <c r="H1190" t="s">
        <v>11</v>
      </c>
      <c r="I1190" t="s">
        <v>12</v>
      </c>
      <c r="J1190" t="s">
        <v>11</v>
      </c>
      <c r="K1190" t="s">
        <v>12</v>
      </c>
      <c r="L1190" s="12" t="s">
        <v>62</v>
      </c>
      <c r="M1190" s="12" t="s">
        <v>45</v>
      </c>
      <c r="N1190" s="12" t="s">
        <v>34</v>
      </c>
      <c r="O1190" s="12" t="s">
        <v>245</v>
      </c>
      <c r="P1190" s="12" t="s">
        <v>379</v>
      </c>
      <c r="Q1190" s="7" t="str">
        <f t="shared" si="55"/>
        <v>(1979,50,'1979.12.15',10,43,49,74,89,0),</v>
      </c>
      <c r="R1190" s="7" t="str">
        <f t="shared" si="57"/>
        <v>(1979,50,'1979.12.15',10,43,49,74,89),</v>
      </c>
    </row>
    <row r="1191" spans="1:18" x14ac:dyDescent="0.25">
      <c r="A1191" s="7" t="s">
        <v>5856</v>
      </c>
      <c r="B1191" s="8" t="s">
        <v>122</v>
      </c>
      <c r="C1191" s="10">
        <f t="shared" si="56"/>
        <v>29211</v>
      </c>
      <c r="D1191" t="s">
        <v>11</v>
      </c>
      <c r="E1191" t="s">
        <v>12</v>
      </c>
      <c r="F1191" t="s">
        <v>11</v>
      </c>
      <c r="G1191" t="s">
        <v>12</v>
      </c>
      <c r="H1191" t="s">
        <v>11</v>
      </c>
      <c r="I1191" t="s">
        <v>12</v>
      </c>
      <c r="J1191" t="s">
        <v>11</v>
      </c>
      <c r="K1191" t="s">
        <v>12</v>
      </c>
      <c r="L1191" s="12" t="s">
        <v>32</v>
      </c>
      <c r="M1191" s="12" t="s">
        <v>25</v>
      </c>
      <c r="N1191" s="12" t="s">
        <v>92</v>
      </c>
      <c r="O1191" s="12" t="s">
        <v>269</v>
      </c>
      <c r="P1191" s="12" t="s">
        <v>379</v>
      </c>
      <c r="Q1191" s="7" t="str">
        <f t="shared" si="55"/>
        <v>(1979,51,'1979.12.22',22,34,68,87,89,0),</v>
      </c>
      <c r="R1191" s="7" t="str">
        <f t="shared" si="57"/>
        <v>(1979,51,'1979.12.22',22,34,68,87,89),</v>
      </c>
    </row>
    <row r="1192" spans="1:18" x14ac:dyDescent="0.25">
      <c r="A1192" s="7" t="s">
        <v>5856</v>
      </c>
      <c r="B1192" s="8" t="s">
        <v>99</v>
      </c>
      <c r="C1192" s="10">
        <f t="shared" si="56"/>
        <v>29218</v>
      </c>
      <c r="D1192" t="s">
        <v>11</v>
      </c>
      <c r="E1192" t="s">
        <v>12</v>
      </c>
      <c r="F1192" t="s">
        <v>11</v>
      </c>
      <c r="G1192" t="s">
        <v>12</v>
      </c>
      <c r="H1192" t="s">
        <v>11</v>
      </c>
      <c r="I1192" t="s">
        <v>12</v>
      </c>
      <c r="J1192" t="s">
        <v>11</v>
      </c>
      <c r="K1192" t="s">
        <v>12</v>
      </c>
      <c r="L1192" s="12" t="s">
        <v>65</v>
      </c>
      <c r="M1192" s="12" t="s">
        <v>126</v>
      </c>
      <c r="N1192" s="12" t="s">
        <v>46</v>
      </c>
      <c r="O1192" s="12" t="s">
        <v>200</v>
      </c>
      <c r="P1192" s="12" t="s">
        <v>245</v>
      </c>
      <c r="Q1192" s="7" t="str">
        <f t="shared" si="55"/>
        <v>(1979,52,'1979.12.29',13,28,37,70,74,0),</v>
      </c>
      <c r="R1192" s="7" t="str">
        <f t="shared" si="57"/>
        <v>(1979,52,'1979.12.29',13,28,37,70,74),</v>
      </c>
    </row>
    <row r="1193" spans="1:18" x14ac:dyDescent="0.25">
      <c r="A1193" s="7" t="s">
        <v>5855</v>
      </c>
      <c r="B1193" s="8" t="s">
        <v>108</v>
      </c>
      <c r="C1193" s="10">
        <f t="shared" si="56"/>
        <v>29225</v>
      </c>
      <c r="D1193" t="s">
        <v>11</v>
      </c>
      <c r="E1193" t="s">
        <v>12</v>
      </c>
      <c r="F1193" t="s">
        <v>11</v>
      </c>
      <c r="G1193" t="s">
        <v>12</v>
      </c>
      <c r="H1193" t="s">
        <v>11</v>
      </c>
      <c r="I1193" t="s">
        <v>12</v>
      </c>
      <c r="J1193" t="s">
        <v>11</v>
      </c>
      <c r="K1193" t="s">
        <v>12</v>
      </c>
      <c r="L1193" s="12" t="s">
        <v>31</v>
      </c>
      <c r="M1193" s="12" t="s">
        <v>192</v>
      </c>
      <c r="N1193" s="12" t="s">
        <v>175</v>
      </c>
      <c r="O1193" s="12" t="s">
        <v>47</v>
      </c>
      <c r="P1193" s="12" t="s">
        <v>56</v>
      </c>
      <c r="Q1193" s="7" t="str">
        <f t="shared" si="55"/>
        <v>(1980,1,'1980.01.05',12,46,55,69,71,0),</v>
      </c>
      <c r="R1193" s="7" t="str">
        <f t="shared" si="57"/>
        <v>(1980,1,'1980.01.05',12,46,55,69,71),</v>
      </c>
    </row>
    <row r="1194" spans="1:18" x14ac:dyDescent="0.25">
      <c r="A1194" s="7" t="s">
        <v>5855</v>
      </c>
      <c r="B1194" s="8" t="s">
        <v>207</v>
      </c>
      <c r="C1194" s="10">
        <f t="shared" si="56"/>
        <v>29232</v>
      </c>
      <c r="D1194" t="s">
        <v>11</v>
      </c>
      <c r="E1194" t="s">
        <v>12</v>
      </c>
      <c r="F1194" t="s">
        <v>11</v>
      </c>
      <c r="G1194" t="s">
        <v>12</v>
      </c>
      <c r="H1194" t="s">
        <v>11</v>
      </c>
      <c r="I1194" t="s">
        <v>12</v>
      </c>
      <c r="J1194" t="s">
        <v>11</v>
      </c>
      <c r="K1194" t="s">
        <v>12</v>
      </c>
      <c r="L1194" s="12" t="s">
        <v>32</v>
      </c>
      <c r="M1194" s="12" t="s">
        <v>122</v>
      </c>
      <c r="N1194" s="12" t="s">
        <v>123</v>
      </c>
      <c r="O1194" s="12" t="s">
        <v>239</v>
      </c>
      <c r="P1194" s="12" t="s">
        <v>106</v>
      </c>
      <c r="Q1194" s="7" t="str">
        <f t="shared" si="55"/>
        <v>(1980,2,'1980.01.12',22,51,54,73,75,0),</v>
      </c>
      <c r="R1194" s="7" t="str">
        <f t="shared" si="57"/>
        <v>(1980,2,'1980.01.12',22,51,54,73,75),</v>
      </c>
    </row>
    <row r="1195" spans="1:18" x14ac:dyDescent="0.25">
      <c r="A1195" s="7" t="s">
        <v>5855</v>
      </c>
      <c r="B1195" s="8" t="s">
        <v>42</v>
      </c>
      <c r="C1195" s="10">
        <f t="shared" si="56"/>
        <v>29239</v>
      </c>
      <c r="D1195" t="s">
        <v>11</v>
      </c>
      <c r="E1195" t="s">
        <v>12</v>
      </c>
      <c r="F1195" t="s">
        <v>11</v>
      </c>
      <c r="G1195" t="s">
        <v>12</v>
      </c>
      <c r="H1195" t="s">
        <v>11</v>
      </c>
      <c r="I1195" t="s">
        <v>12</v>
      </c>
      <c r="J1195" t="s">
        <v>11</v>
      </c>
      <c r="K1195" t="s">
        <v>12</v>
      </c>
      <c r="L1195" s="12" t="s">
        <v>32</v>
      </c>
      <c r="M1195" s="12" t="s">
        <v>21</v>
      </c>
      <c r="N1195" s="12" t="s">
        <v>199</v>
      </c>
      <c r="O1195" s="12" t="s">
        <v>123</v>
      </c>
      <c r="P1195" s="12" t="s">
        <v>269</v>
      </c>
      <c r="Q1195" s="7" t="str">
        <f t="shared" si="55"/>
        <v>(1980,3,'1980.01.19',22,36,53,54,87,0),</v>
      </c>
      <c r="R1195" s="7" t="str">
        <f t="shared" si="57"/>
        <v>(1980,3,'1980.01.19',22,36,53,54,87),</v>
      </c>
    </row>
    <row r="1196" spans="1:18" x14ac:dyDescent="0.25">
      <c r="A1196" s="7" t="s">
        <v>5855</v>
      </c>
      <c r="B1196" s="8" t="s">
        <v>168</v>
      </c>
      <c r="C1196" s="10">
        <f t="shared" si="56"/>
        <v>29246</v>
      </c>
      <c r="D1196" t="s">
        <v>11</v>
      </c>
      <c r="E1196" t="s">
        <v>12</v>
      </c>
      <c r="F1196" t="s">
        <v>11</v>
      </c>
      <c r="G1196" t="s">
        <v>12</v>
      </c>
      <c r="H1196" t="s">
        <v>11</v>
      </c>
      <c r="I1196" t="s">
        <v>12</v>
      </c>
      <c r="J1196" t="s">
        <v>11</v>
      </c>
      <c r="K1196" t="s">
        <v>12</v>
      </c>
      <c r="L1196" s="12" t="s">
        <v>53</v>
      </c>
      <c r="M1196" s="12" t="s">
        <v>65</v>
      </c>
      <c r="N1196" s="12" t="s">
        <v>152</v>
      </c>
      <c r="O1196" s="12" t="s">
        <v>233</v>
      </c>
      <c r="P1196" s="12" t="s">
        <v>308</v>
      </c>
      <c r="Q1196" s="7" t="str">
        <f t="shared" si="55"/>
        <v>(1980,4,'1980.01.26',7,13,25,66,86,0),</v>
      </c>
      <c r="R1196" s="7" t="str">
        <f t="shared" si="57"/>
        <v>(1980,4,'1980.01.26',7,13,25,66,86),</v>
      </c>
    </row>
    <row r="1197" spans="1:18" x14ac:dyDescent="0.25">
      <c r="A1197" s="7" t="s">
        <v>5855</v>
      </c>
      <c r="B1197" s="8" t="s">
        <v>89</v>
      </c>
      <c r="C1197" s="10">
        <f t="shared" si="56"/>
        <v>29253</v>
      </c>
      <c r="D1197" t="s">
        <v>11</v>
      </c>
      <c r="E1197" t="s">
        <v>12</v>
      </c>
      <c r="F1197" t="s">
        <v>11</v>
      </c>
      <c r="G1197" t="s">
        <v>12</v>
      </c>
      <c r="H1197" t="s">
        <v>11</v>
      </c>
      <c r="I1197" t="s">
        <v>12</v>
      </c>
      <c r="J1197" t="s">
        <v>11</v>
      </c>
      <c r="K1197" t="s">
        <v>12</v>
      </c>
      <c r="L1197" s="12" t="s">
        <v>42</v>
      </c>
      <c r="M1197" s="12" t="s">
        <v>90</v>
      </c>
      <c r="N1197" s="12" t="s">
        <v>199</v>
      </c>
      <c r="O1197" s="12" t="s">
        <v>134</v>
      </c>
      <c r="P1197" s="12" t="s">
        <v>82</v>
      </c>
      <c r="Q1197" s="7" t="str">
        <f t="shared" si="55"/>
        <v>(1980,5,'1980.02.02',3,17,53,56,59,0),</v>
      </c>
      <c r="R1197" s="7" t="str">
        <f t="shared" si="57"/>
        <v>(1980,5,'1980.02.02',3,17,53,56,59),</v>
      </c>
    </row>
    <row r="1198" spans="1:18" x14ac:dyDescent="0.25">
      <c r="A1198" s="7" t="s">
        <v>5855</v>
      </c>
      <c r="B1198" s="8" t="s">
        <v>270</v>
      </c>
      <c r="C1198" s="10">
        <f t="shared" si="56"/>
        <v>29260</v>
      </c>
      <c r="D1198" t="s">
        <v>11</v>
      </c>
      <c r="E1198" t="s">
        <v>12</v>
      </c>
      <c r="F1198" t="s">
        <v>11</v>
      </c>
      <c r="G1198" t="s">
        <v>12</v>
      </c>
      <c r="H1198" t="s">
        <v>11</v>
      </c>
      <c r="I1198" t="s">
        <v>12</v>
      </c>
      <c r="J1198" t="s">
        <v>11</v>
      </c>
      <c r="K1198" t="s">
        <v>12</v>
      </c>
      <c r="L1198" s="12" t="s">
        <v>89</v>
      </c>
      <c r="M1198" s="12" t="s">
        <v>53</v>
      </c>
      <c r="N1198" s="12" t="s">
        <v>127</v>
      </c>
      <c r="O1198" s="12" t="s">
        <v>115</v>
      </c>
      <c r="P1198" s="12" t="s">
        <v>10</v>
      </c>
      <c r="Q1198" s="7" t="str">
        <f t="shared" si="55"/>
        <v>(1980,6,'1980.02.09',5,7,14,20,40,0),</v>
      </c>
      <c r="R1198" s="7" t="str">
        <f t="shared" si="57"/>
        <v>(1980,6,'1980.02.09',5,7,14,20,40),</v>
      </c>
    </row>
    <row r="1199" spans="1:18" x14ac:dyDescent="0.25">
      <c r="A1199" s="7" t="s">
        <v>5855</v>
      </c>
      <c r="B1199" s="8" t="s">
        <v>53</v>
      </c>
      <c r="C1199" s="10">
        <f t="shared" si="56"/>
        <v>29267</v>
      </c>
      <c r="D1199" t="s">
        <v>11</v>
      </c>
      <c r="E1199" t="s">
        <v>12</v>
      </c>
      <c r="F1199" t="s">
        <v>11</v>
      </c>
      <c r="G1199" t="s">
        <v>12</v>
      </c>
      <c r="H1199" t="s">
        <v>11</v>
      </c>
      <c r="I1199" t="s">
        <v>12</v>
      </c>
      <c r="J1199" t="s">
        <v>11</v>
      </c>
      <c r="K1199" t="s">
        <v>12</v>
      </c>
      <c r="L1199" s="12" t="s">
        <v>62</v>
      </c>
      <c r="M1199" s="12" t="s">
        <v>33</v>
      </c>
      <c r="N1199" s="12" t="s">
        <v>64</v>
      </c>
      <c r="O1199" s="12" t="s">
        <v>239</v>
      </c>
      <c r="P1199" s="12" t="s">
        <v>63</v>
      </c>
      <c r="Q1199" s="7" t="str">
        <f t="shared" si="55"/>
        <v>(1980,7,'1980.02.16',10,24,35,73,78,0),</v>
      </c>
      <c r="R1199" s="7" t="str">
        <f t="shared" si="57"/>
        <v>(1980,7,'1980.02.16',10,24,35,73,78),</v>
      </c>
    </row>
    <row r="1200" spans="1:18" x14ac:dyDescent="0.25">
      <c r="A1200" s="7" t="s">
        <v>5855</v>
      </c>
      <c r="B1200" s="8" t="s">
        <v>232</v>
      </c>
      <c r="C1200" s="10">
        <f t="shared" si="56"/>
        <v>29274</v>
      </c>
      <c r="D1200" t="s">
        <v>11</v>
      </c>
      <c r="E1200" t="s">
        <v>12</v>
      </c>
      <c r="F1200" t="s">
        <v>11</v>
      </c>
      <c r="G1200" t="s">
        <v>12</v>
      </c>
      <c r="H1200" t="s">
        <v>11</v>
      </c>
      <c r="I1200" t="s">
        <v>12</v>
      </c>
      <c r="J1200" t="s">
        <v>11</v>
      </c>
      <c r="K1200" t="s">
        <v>12</v>
      </c>
      <c r="L1200" s="12" t="s">
        <v>62</v>
      </c>
      <c r="M1200" s="12" t="s">
        <v>80</v>
      </c>
      <c r="N1200" s="12" t="s">
        <v>622</v>
      </c>
      <c r="O1200" s="12" t="s">
        <v>246</v>
      </c>
      <c r="P1200" s="12" t="s">
        <v>269</v>
      </c>
      <c r="Q1200" s="7" t="str">
        <f t="shared" si="55"/>
        <v>(1980,8,'1980.02.23',10,32,82,84,87,0),</v>
      </c>
      <c r="R1200" s="7" t="str">
        <f t="shared" si="57"/>
        <v>(1980,8,'1980.02.23',10,32,82,84,87),</v>
      </c>
    </row>
    <row r="1201" spans="1:18" x14ac:dyDescent="0.25">
      <c r="A1201" s="7" t="s">
        <v>5855</v>
      </c>
      <c r="B1201" s="8" t="s">
        <v>198</v>
      </c>
      <c r="C1201" s="10">
        <f t="shared" si="56"/>
        <v>29281</v>
      </c>
      <c r="D1201" t="s">
        <v>11</v>
      </c>
      <c r="E1201" t="s">
        <v>12</v>
      </c>
      <c r="F1201" t="s">
        <v>11</v>
      </c>
      <c r="G1201" t="s">
        <v>12</v>
      </c>
      <c r="H1201" t="s">
        <v>11</v>
      </c>
      <c r="I1201" t="s">
        <v>12</v>
      </c>
      <c r="J1201" t="s">
        <v>11</v>
      </c>
      <c r="K1201" t="s">
        <v>12</v>
      </c>
      <c r="L1201" s="12" t="s">
        <v>89</v>
      </c>
      <c r="M1201" s="12" t="s">
        <v>90</v>
      </c>
      <c r="N1201" s="12" t="s">
        <v>13</v>
      </c>
      <c r="O1201" s="12" t="s">
        <v>124</v>
      </c>
      <c r="P1201" s="12" t="s">
        <v>201</v>
      </c>
      <c r="Q1201" s="7" t="str">
        <f t="shared" si="55"/>
        <v>(1980,9,'1980.03.01',5,17,41,62,72,0),</v>
      </c>
      <c r="R1201" s="7" t="str">
        <f t="shared" si="57"/>
        <v>(1980,9,'1980.03.01',5,17,41,62,72),</v>
      </c>
    </row>
    <row r="1202" spans="1:18" x14ac:dyDescent="0.25">
      <c r="A1202" s="7" t="s">
        <v>5855</v>
      </c>
      <c r="B1202" s="8" t="s">
        <v>62</v>
      </c>
      <c r="C1202" s="10">
        <f t="shared" si="56"/>
        <v>29288</v>
      </c>
      <c r="D1202" t="s">
        <v>11</v>
      </c>
      <c r="E1202" t="s">
        <v>12</v>
      </c>
      <c r="F1202" t="s">
        <v>11</v>
      </c>
      <c r="G1202" t="s">
        <v>12</v>
      </c>
      <c r="H1202" t="s">
        <v>11</v>
      </c>
      <c r="I1202" t="s">
        <v>12</v>
      </c>
      <c r="J1202" t="s">
        <v>11</v>
      </c>
      <c r="K1202" t="s">
        <v>12</v>
      </c>
      <c r="L1202" s="12" t="s">
        <v>83</v>
      </c>
      <c r="M1202" s="12" t="s">
        <v>31</v>
      </c>
      <c r="N1202" s="12" t="s">
        <v>123</v>
      </c>
      <c r="O1202" s="12" t="s">
        <v>134</v>
      </c>
      <c r="P1202" s="12" t="s">
        <v>622</v>
      </c>
      <c r="Q1202" s="7" t="str">
        <f t="shared" si="55"/>
        <v>(1980,10,'1980.03.08',11,12,54,56,82,0),</v>
      </c>
      <c r="R1202" s="7" t="str">
        <f t="shared" si="57"/>
        <v>(1980,10,'1980.03.08',11,12,54,56,82),</v>
      </c>
    </row>
    <row r="1203" spans="1:18" x14ac:dyDescent="0.25">
      <c r="A1203" s="7" t="s">
        <v>5855</v>
      </c>
      <c r="B1203" s="8" t="s">
        <v>83</v>
      </c>
      <c r="C1203" s="10">
        <f t="shared" si="56"/>
        <v>29295</v>
      </c>
      <c r="D1203" t="s">
        <v>11</v>
      </c>
      <c r="E1203" t="s">
        <v>12</v>
      </c>
      <c r="F1203" t="s">
        <v>11</v>
      </c>
      <c r="G1203" t="s">
        <v>12</v>
      </c>
      <c r="H1203" t="s">
        <v>11</v>
      </c>
      <c r="I1203" t="s">
        <v>12</v>
      </c>
      <c r="J1203" t="s">
        <v>11</v>
      </c>
      <c r="K1203" t="s">
        <v>12</v>
      </c>
      <c r="L1203" s="12" t="s">
        <v>19</v>
      </c>
      <c r="M1203" s="12" t="s">
        <v>214</v>
      </c>
      <c r="N1203" s="12" t="s">
        <v>200</v>
      </c>
      <c r="O1203" s="12" t="s">
        <v>308</v>
      </c>
      <c r="P1203" s="12" t="s">
        <v>186</v>
      </c>
      <c r="Q1203" s="7" t="str">
        <f t="shared" si="55"/>
        <v>(1980,11,'1980.03.15',18,64,70,86,90,0),</v>
      </c>
      <c r="R1203" s="7" t="str">
        <f t="shared" si="57"/>
        <v>(1980,11,'1980.03.15',18,64,70,86,90),</v>
      </c>
    </row>
    <row r="1204" spans="1:18" x14ac:dyDescent="0.25">
      <c r="A1204" s="7" t="s">
        <v>5855</v>
      </c>
      <c r="B1204" s="8" t="s">
        <v>31</v>
      </c>
      <c r="C1204" s="10">
        <f t="shared" si="56"/>
        <v>29302</v>
      </c>
      <c r="D1204" t="s">
        <v>11</v>
      </c>
      <c r="E1204" t="s">
        <v>12</v>
      </c>
      <c r="F1204" t="s">
        <v>11</v>
      </c>
      <c r="G1204" t="s">
        <v>12</v>
      </c>
      <c r="H1204" t="s">
        <v>11</v>
      </c>
      <c r="I1204" t="s">
        <v>12</v>
      </c>
      <c r="J1204" t="s">
        <v>11</v>
      </c>
      <c r="K1204" t="s">
        <v>12</v>
      </c>
      <c r="L1204" s="12" t="s">
        <v>53</v>
      </c>
      <c r="M1204" s="12" t="s">
        <v>36</v>
      </c>
      <c r="N1204" s="12" t="s">
        <v>45</v>
      </c>
      <c r="O1204" s="12" t="s">
        <v>47</v>
      </c>
      <c r="P1204" s="12" t="s">
        <v>215</v>
      </c>
      <c r="Q1204" s="7" t="str">
        <f t="shared" si="55"/>
        <v>(1980,12,'1980.03.22',7,38,43,69,81,0),</v>
      </c>
      <c r="R1204" s="7" t="str">
        <f t="shared" si="57"/>
        <v>(1980,12,'1980.03.22',7,38,43,69,81),</v>
      </c>
    </row>
    <row r="1205" spans="1:18" x14ac:dyDescent="0.25">
      <c r="A1205" s="7" t="s">
        <v>5855</v>
      </c>
      <c r="B1205" s="8" t="s">
        <v>65</v>
      </c>
      <c r="C1205" s="10">
        <f t="shared" si="56"/>
        <v>29309</v>
      </c>
      <c r="D1205" t="s">
        <v>11</v>
      </c>
      <c r="E1205" t="s">
        <v>12</v>
      </c>
      <c r="F1205" t="s">
        <v>11</v>
      </c>
      <c r="G1205" t="s">
        <v>12</v>
      </c>
      <c r="H1205" t="s">
        <v>11</v>
      </c>
      <c r="I1205" t="s">
        <v>12</v>
      </c>
      <c r="J1205" t="s">
        <v>11</v>
      </c>
      <c r="K1205" t="s">
        <v>12</v>
      </c>
      <c r="L1205" s="12" t="s">
        <v>207</v>
      </c>
      <c r="M1205" s="12" t="s">
        <v>163</v>
      </c>
      <c r="N1205" s="12" t="s">
        <v>105</v>
      </c>
      <c r="O1205" s="12" t="s">
        <v>214</v>
      </c>
      <c r="P1205" s="12" t="s">
        <v>186</v>
      </c>
      <c r="Q1205" s="7" t="str">
        <f t="shared" si="55"/>
        <v>(1980,13,'1980.03.29',2,23,50,64,90,0),</v>
      </c>
      <c r="R1205" s="7" t="str">
        <f t="shared" si="57"/>
        <v>(1980,13,'1980.03.29',2,23,50,64,90),</v>
      </c>
    </row>
    <row r="1206" spans="1:18" x14ac:dyDescent="0.25">
      <c r="A1206" s="7" t="s">
        <v>5855</v>
      </c>
      <c r="B1206" s="8" t="s">
        <v>127</v>
      </c>
      <c r="C1206" s="10">
        <f t="shared" si="56"/>
        <v>29316</v>
      </c>
      <c r="D1206" t="s">
        <v>11</v>
      </c>
      <c r="E1206" t="s">
        <v>12</v>
      </c>
      <c r="F1206" t="s">
        <v>11</v>
      </c>
      <c r="G1206" t="s">
        <v>12</v>
      </c>
      <c r="H1206" t="s">
        <v>11</v>
      </c>
      <c r="I1206" t="s">
        <v>12</v>
      </c>
      <c r="J1206" t="s">
        <v>11</v>
      </c>
      <c r="K1206" t="s">
        <v>12</v>
      </c>
      <c r="L1206" s="12" t="s">
        <v>127</v>
      </c>
      <c r="M1206" s="12" t="s">
        <v>71</v>
      </c>
      <c r="N1206" s="12" t="s">
        <v>214</v>
      </c>
      <c r="O1206" s="12" t="s">
        <v>233</v>
      </c>
      <c r="P1206" s="12" t="s">
        <v>143</v>
      </c>
      <c r="Q1206" s="7" t="str">
        <f t="shared" si="55"/>
        <v>(1980,14,'1980.04.05',14,31,64,66,77,0),</v>
      </c>
      <c r="R1206" s="7" t="str">
        <f t="shared" si="57"/>
        <v>(1980,14,'1980.04.05',14,31,64,66,77),</v>
      </c>
    </row>
    <row r="1207" spans="1:18" x14ac:dyDescent="0.25">
      <c r="A1207" s="7" t="s">
        <v>5855</v>
      </c>
      <c r="B1207" s="8" t="s">
        <v>54</v>
      </c>
      <c r="C1207" s="10">
        <f t="shared" si="56"/>
        <v>29323</v>
      </c>
      <c r="D1207" t="s">
        <v>11</v>
      </c>
      <c r="E1207" t="s">
        <v>12</v>
      </c>
      <c r="F1207" t="s">
        <v>11</v>
      </c>
      <c r="G1207" t="s">
        <v>12</v>
      </c>
      <c r="H1207" t="s">
        <v>11</v>
      </c>
      <c r="I1207" t="s">
        <v>12</v>
      </c>
      <c r="J1207" t="s">
        <v>11</v>
      </c>
      <c r="K1207" t="s">
        <v>12</v>
      </c>
      <c r="L1207" s="12" t="s">
        <v>90</v>
      </c>
      <c r="M1207" s="12" t="s">
        <v>163</v>
      </c>
      <c r="N1207" s="12" t="s">
        <v>25</v>
      </c>
      <c r="O1207" s="12" t="s">
        <v>175</v>
      </c>
      <c r="P1207" s="12" t="s">
        <v>233</v>
      </c>
      <c r="Q1207" s="7" t="str">
        <f t="shared" si="55"/>
        <v>(1980,15,'1980.04.12',17,23,34,55,66,0),</v>
      </c>
      <c r="R1207" s="7" t="str">
        <f t="shared" si="57"/>
        <v>(1980,15,'1980.04.12',17,23,34,55,66),</v>
      </c>
    </row>
    <row r="1208" spans="1:18" x14ac:dyDescent="0.25">
      <c r="A1208" s="7" t="s">
        <v>5855</v>
      </c>
      <c r="B1208" s="8" t="s">
        <v>43</v>
      </c>
      <c r="C1208" s="10">
        <f t="shared" si="56"/>
        <v>29330</v>
      </c>
      <c r="D1208" t="s">
        <v>11</v>
      </c>
      <c r="E1208" t="s">
        <v>12</v>
      </c>
      <c r="F1208" t="s">
        <v>11</v>
      </c>
      <c r="G1208" t="s">
        <v>12</v>
      </c>
      <c r="H1208" t="s">
        <v>11</v>
      </c>
      <c r="I1208" t="s">
        <v>12</v>
      </c>
      <c r="J1208" t="s">
        <v>11</v>
      </c>
      <c r="K1208" t="s">
        <v>12</v>
      </c>
      <c r="L1208" s="12" t="s">
        <v>54</v>
      </c>
      <c r="M1208" s="12" t="s">
        <v>192</v>
      </c>
      <c r="N1208" s="12" t="s">
        <v>82</v>
      </c>
      <c r="O1208" s="12" t="s">
        <v>23</v>
      </c>
      <c r="P1208" s="12" t="s">
        <v>215</v>
      </c>
      <c r="Q1208" s="7" t="str">
        <f t="shared" si="55"/>
        <v>(1980,16,'1980.04.19',15,46,59,60,81,0),</v>
      </c>
      <c r="R1208" s="7" t="str">
        <f t="shared" si="57"/>
        <v>(1980,16,'1980.04.19',15,46,59,60,81),</v>
      </c>
    </row>
    <row r="1209" spans="1:18" x14ac:dyDescent="0.25">
      <c r="A1209" s="7" t="s">
        <v>5855</v>
      </c>
      <c r="B1209" s="8" t="s">
        <v>90</v>
      </c>
      <c r="C1209" s="10">
        <f t="shared" si="56"/>
        <v>29337</v>
      </c>
      <c r="D1209" t="s">
        <v>11</v>
      </c>
      <c r="E1209" t="s">
        <v>12</v>
      </c>
      <c r="F1209" t="s">
        <v>11</v>
      </c>
      <c r="G1209" t="s">
        <v>12</v>
      </c>
      <c r="H1209" t="s">
        <v>11</v>
      </c>
      <c r="I1209" t="s">
        <v>12</v>
      </c>
      <c r="J1209" t="s">
        <v>11</v>
      </c>
      <c r="K1209" t="s">
        <v>12</v>
      </c>
      <c r="L1209" s="12" t="s">
        <v>42</v>
      </c>
      <c r="M1209" s="12" t="s">
        <v>10</v>
      </c>
      <c r="N1209" s="12" t="s">
        <v>169</v>
      </c>
      <c r="O1209" s="12" t="s">
        <v>82</v>
      </c>
      <c r="P1209" s="12" t="s">
        <v>269</v>
      </c>
      <c r="Q1209" s="7" t="str">
        <f t="shared" si="55"/>
        <v>(1980,17,'1980.04.26',3,40,58,59,87,0),</v>
      </c>
      <c r="R1209" s="7" t="str">
        <f t="shared" si="57"/>
        <v>(1980,17,'1980.04.26',3,40,58,59,87),</v>
      </c>
    </row>
    <row r="1210" spans="1:18" x14ac:dyDescent="0.25">
      <c r="A1210" s="7" t="s">
        <v>5855</v>
      </c>
      <c r="B1210" s="8" t="s">
        <v>19</v>
      </c>
      <c r="C1210" s="10">
        <f t="shared" si="56"/>
        <v>29344</v>
      </c>
      <c r="D1210" t="s">
        <v>11</v>
      </c>
      <c r="E1210" t="s">
        <v>12</v>
      </c>
      <c r="F1210" t="s">
        <v>11</v>
      </c>
      <c r="G1210" t="s">
        <v>12</v>
      </c>
      <c r="H1210" t="s">
        <v>11</v>
      </c>
      <c r="I1210" t="s">
        <v>12</v>
      </c>
      <c r="J1210" t="s">
        <v>11</v>
      </c>
      <c r="K1210" t="s">
        <v>12</v>
      </c>
      <c r="L1210" s="12" t="s">
        <v>55</v>
      </c>
      <c r="M1210" s="12" t="s">
        <v>152</v>
      </c>
      <c r="N1210" s="12" t="s">
        <v>20</v>
      </c>
      <c r="O1210" s="12" t="s">
        <v>199</v>
      </c>
      <c r="P1210" s="12" t="s">
        <v>82</v>
      </c>
      <c r="Q1210" s="7" t="str">
        <f t="shared" si="55"/>
        <v>(1980,18,'1980.05.03',19,25,33,53,59,0),</v>
      </c>
      <c r="R1210" s="7" t="str">
        <f t="shared" si="57"/>
        <v>(1980,18,'1980.05.03',19,25,33,53,59),</v>
      </c>
    </row>
    <row r="1211" spans="1:18" x14ac:dyDescent="0.25">
      <c r="A1211" s="7" t="s">
        <v>5855</v>
      </c>
      <c r="B1211" s="8" t="s">
        <v>55</v>
      </c>
      <c r="C1211" s="10">
        <f t="shared" si="56"/>
        <v>29351</v>
      </c>
      <c r="D1211" t="s">
        <v>11</v>
      </c>
      <c r="E1211" t="s">
        <v>12</v>
      </c>
      <c r="F1211" t="s">
        <v>11</v>
      </c>
      <c r="G1211" t="s">
        <v>12</v>
      </c>
      <c r="H1211" t="s">
        <v>11</v>
      </c>
      <c r="I1211" t="s">
        <v>12</v>
      </c>
      <c r="J1211" t="s">
        <v>11</v>
      </c>
      <c r="K1211" t="s">
        <v>12</v>
      </c>
      <c r="L1211" s="12" t="s">
        <v>127</v>
      </c>
      <c r="M1211" s="12" t="s">
        <v>32</v>
      </c>
      <c r="N1211" s="12" t="s">
        <v>116</v>
      </c>
      <c r="O1211" s="12" t="s">
        <v>82</v>
      </c>
      <c r="P1211" s="12" t="s">
        <v>23</v>
      </c>
      <c r="Q1211" s="7" t="str">
        <f t="shared" si="55"/>
        <v>(1980,19,'1980.05.10',14,22,29,59,60,0),</v>
      </c>
      <c r="R1211" s="7" t="str">
        <f t="shared" si="57"/>
        <v>(1980,19,'1980.05.10',14,22,29,59,60),</v>
      </c>
    </row>
    <row r="1212" spans="1:18" x14ac:dyDescent="0.25">
      <c r="A1212" s="7" t="s">
        <v>5855</v>
      </c>
      <c r="B1212" s="8" t="s">
        <v>115</v>
      </c>
      <c r="C1212" s="10">
        <f t="shared" si="56"/>
        <v>29358</v>
      </c>
      <c r="D1212" t="s">
        <v>11</v>
      </c>
      <c r="E1212" t="s">
        <v>12</v>
      </c>
      <c r="F1212" t="s">
        <v>11</v>
      </c>
      <c r="G1212" t="s">
        <v>12</v>
      </c>
      <c r="H1212" t="s">
        <v>11</v>
      </c>
      <c r="I1212" t="s">
        <v>12</v>
      </c>
      <c r="J1212" t="s">
        <v>11</v>
      </c>
      <c r="K1212" t="s">
        <v>12</v>
      </c>
      <c r="L1212" s="12" t="s">
        <v>19</v>
      </c>
      <c r="M1212" s="12" t="s">
        <v>71</v>
      </c>
      <c r="N1212" s="12" t="s">
        <v>81</v>
      </c>
      <c r="O1212" s="12" t="s">
        <v>214</v>
      </c>
      <c r="P1212" s="12" t="s">
        <v>73</v>
      </c>
      <c r="Q1212" s="7" t="str">
        <f t="shared" si="55"/>
        <v>(1980,20,'1980.05.17',18,31,47,64,76,0),</v>
      </c>
      <c r="R1212" s="7" t="str">
        <f t="shared" si="57"/>
        <v>(1980,20,'1980.05.17',18,31,47,64,76),</v>
      </c>
    </row>
    <row r="1213" spans="1:18" x14ac:dyDescent="0.25">
      <c r="A1213" s="7" t="s">
        <v>5855</v>
      </c>
      <c r="B1213" s="8" t="s">
        <v>44</v>
      </c>
      <c r="C1213" s="10">
        <f t="shared" si="56"/>
        <v>29365</v>
      </c>
      <c r="D1213" t="s">
        <v>11</v>
      </c>
      <c r="E1213" t="s">
        <v>12</v>
      </c>
      <c r="F1213" t="s">
        <v>11</v>
      </c>
      <c r="G1213" t="s">
        <v>12</v>
      </c>
      <c r="H1213" t="s">
        <v>11</v>
      </c>
      <c r="I1213" t="s">
        <v>12</v>
      </c>
      <c r="J1213" t="s">
        <v>11</v>
      </c>
      <c r="K1213" t="s">
        <v>12</v>
      </c>
      <c r="L1213" s="12" t="s">
        <v>19</v>
      </c>
      <c r="M1213" s="12" t="s">
        <v>44</v>
      </c>
      <c r="N1213" s="12" t="s">
        <v>116</v>
      </c>
      <c r="O1213" s="12" t="s">
        <v>233</v>
      </c>
      <c r="P1213" s="12" t="s">
        <v>301</v>
      </c>
      <c r="Q1213" s="7" t="str">
        <f t="shared" si="55"/>
        <v>(1980,21,'1980.05.24',18,21,29,66,80,0),</v>
      </c>
      <c r="R1213" s="7" t="str">
        <f t="shared" si="57"/>
        <v>(1980,21,'1980.05.24',18,21,29,66,80),</v>
      </c>
    </row>
    <row r="1214" spans="1:18" x14ac:dyDescent="0.25">
      <c r="A1214" s="7" t="s">
        <v>5855</v>
      </c>
      <c r="B1214" s="8" t="s">
        <v>32</v>
      </c>
      <c r="C1214" s="10">
        <f t="shared" si="56"/>
        <v>29372</v>
      </c>
      <c r="D1214" t="s">
        <v>11</v>
      </c>
      <c r="E1214" t="s">
        <v>12</v>
      </c>
      <c r="F1214" t="s">
        <v>11</v>
      </c>
      <c r="G1214" t="s">
        <v>12</v>
      </c>
      <c r="H1214" t="s">
        <v>11</v>
      </c>
      <c r="I1214" t="s">
        <v>12</v>
      </c>
      <c r="J1214" t="s">
        <v>11</v>
      </c>
      <c r="K1214" t="s">
        <v>12</v>
      </c>
      <c r="L1214" s="12" t="s">
        <v>83</v>
      </c>
      <c r="M1214" s="12" t="s">
        <v>44</v>
      </c>
      <c r="N1214" s="12" t="s">
        <v>92</v>
      </c>
      <c r="O1214" s="12" t="s">
        <v>151</v>
      </c>
      <c r="P1214" s="12" t="s">
        <v>215</v>
      </c>
      <c r="Q1214" s="7" t="str">
        <f t="shared" si="55"/>
        <v>(1980,22,'1980.05.31',11,21,68,79,81,0),</v>
      </c>
      <c r="R1214" s="7" t="str">
        <f t="shared" si="57"/>
        <v>(1980,22,'1980.05.31',11,21,68,79,81),</v>
      </c>
    </row>
    <row r="1215" spans="1:18" x14ac:dyDescent="0.25">
      <c r="A1215" s="7" t="s">
        <v>5855</v>
      </c>
      <c r="B1215" s="8" t="s">
        <v>163</v>
      </c>
      <c r="C1215" s="10">
        <f t="shared" si="56"/>
        <v>29379</v>
      </c>
      <c r="D1215" t="s">
        <v>11</v>
      </c>
      <c r="E1215" t="s">
        <v>12</v>
      </c>
      <c r="F1215" t="s">
        <v>11</v>
      </c>
      <c r="G1215" t="s">
        <v>12</v>
      </c>
      <c r="H1215" t="s">
        <v>11</v>
      </c>
      <c r="I1215" t="s">
        <v>12</v>
      </c>
      <c r="J1215" t="s">
        <v>11</v>
      </c>
      <c r="K1215" t="s">
        <v>12</v>
      </c>
      <c r="L1215" s="12" t="s">
        <v>270</v>
      </c>
      <c r="M1215" s="12" t="s">
        <v>163</v>
      </c>
      <c r="N1215" s="12" t="s">
        <v>135</v>
      </c>
      <c r="O1215" s="12" t="s">
        <v>64</v>
      </c>
      <c r="P1215" s="12" t="s">
        <v>98</v>
      </c>
      <c r="Q1215" s="7" t="str">
        <f t="shared" si="55"/>
        <v>(1980,23,'1980.06.07',6,23,27,35,42,0),</v>
      </c>
      <c r="R1215" s="7" t="str">
        <f t="shared" si="57"/>
        <v>(1980,23,'1980.06.07',6,23,27,35,42),</v>
      </c>
    </row>
    <row r="1216" spans="1:18" x14ac:dyDescent="0.25">
      <c r="A1216" s="7" t="s">
        <v>5855</v>
      </c>
      <c r="B1216" s="8" t="s">
        <v>33</v>
      </c>
      <c r="C1216" s="10">
        <f t="shared" si="56"/>
        <v>29386</v>
      </c>
      <c r="D1216" t="s">
        <v>11</v>
      </c>
      <c r="E1216" t="s">
        <v>12</v>
      </c>
      <c r="F1216" t="s">
        <v>11</v>
      </c>
      <c r="G1216" t="s">
        <v>12</v>
      </c>
      <c r="H1216" t="s">
        <v>11</v>
      </c>
      <c r="I1216" t="s">
        <v>12</v>
      </c>
      <c r="J1216" t="s">
        <v>11</v>
      </c>
      <c r="K1216" t="s">
        <v>12</v>
      </c>
      <c r="L1216" s="12" t="s">
        <v>42</v>
      </c>
      <c r="M1216" s="12" t="s">
        <v>45</v>
      </c>
      <c r="N1216" s="12" t="s">
        <v>133</v>
      </c>
      <c r="O1216" s="12" t="s">
        <v>201</v>
      </c>
      <c r="P1216" s="12" t="s">
        <v>269</v>
      </c>
      <c r="Q1216" s="7" t="str">
        <f t="shared" si="55"/>
        <v>(1980,24,'1980.06.14',3,43,45,72,87,0),</v>
      </c>
      <c r="R1216" s="7" t="str">
        <f t="shared" si="57"/>
        <v>(1980,24,'1980.06.14',3,43,45,72,87),</v>
      </c>
    </row>
    <row r="1217" spans="1:18" x14ac:dyDescent="0.25">
      <c r="A1217" s="7" t="s">
        <v>5855</v>
      </c>
      <c r="B1217" s="8" t="s">
        <v>152</v>
      </c>
      <c r="C1217" s="10">
        <f t="shared" si="56"/>
        <v>29393</v>
      </c>
      <c r="D1217" t="s">
        <v>11</v>
      </c>
      <c r="E1217" t="s">
        <v>12</v>
      </c>
      <c r="F1217" t="s">
        <v>11</v>
      </c>
      <c r="G1217" t="s">
        <v>12</v>
      </c>
      <c r="H1217" t="s">
        <v>11</v>
      </c>
      <c r="I1217" t="s">
        <v>12</v>
      </c>
      <c r="J1217" t="s">
        <v>11</v>
      </c>
      <c r="K1217" t="s">
        <v>12</v>
      </c>
      <c r="L1217" s="12" t="s">
        <v>53</v>
      </c>
      <c r="M1217" s="12" t="s">
        <v>65</v>
      </c>
      <c r="N1217" s="12" t="s">
        <v>90</v>
      </c>
      <c r="O1217" s="12" t="s">
        <v>32</v>
      </c>
      <c r="P1217" s="12" t="s">
        <v>33</v>
      </c>
      <c r="Q1217" s="7" t="str">
        <f t="shared" si="55"/>
        <v>(1980,25,'1980.06.21',7,13,17,22,24,0),</v>
      </c>
      <c r="R1217" s="7" t="str">
        <f t="shared" si="57"/>
        <v>(1980,25,'1980.06.21',7,13,17,22,24),</v>
      </c>
    </row>
    <row r="1218" spans="1:18" x14ac:dyDescent="0.25">
      <c r="A1218" s="7" t="s">
        <v>5855</v>
      </c>
      <c r="B1218" s="8" t="s">
        <v>74</v>
      </c>
      <c r="C1218" s="10">
        <f t="shared" si="56"/>
        <v>29400</v>
      </c>
      <c r="D1218" t="s">
        <v>11</v>
      </c>
      <c r="E1218" t="s">
        <v>12</v>
      </c>
      <c r="F1218" t="s">
        <v>11</v>
      </c>
      <c r="G1218" t="s">
        <v>12</v>
      </c>
      <c r="H1218" t="s">
        <v>11</v>
      </c>
      <c r="I1218" t="s">
        <v>12</v>
      </c>
      <c r="J1218" t="s">
        <v>11</v>
      </c>
      <c r="K1218" t="s">
        <v>12</v>
      </c>
      <c r="L1218" s="12" t="s">
        <v>62</v>
      </c>
      <c r="M1218" s="12" t="s">
        <v>152</v>
      </c>
      <c r="N1218" s="12" t="s">
        <v>21</v>
      </c>
      <c r="O1218" s="12" t="s">
        <v>122</v>
      </c>
      <c r="P1218" s="12" t="s">
        <v>175</v>
      </c>
      <c r="Q1218" s="7" t="str">
        <f t="shared" ref="Q1218:Q1281" si="58">"("&amp;A1218&amp;","&amp;B1218&amp;",'"&amp;TEXT(C1218,"éééé.hh.nn")&amp;"',"&amp;L1218&amp;","&amp;M1218&amp;","&amp;N1218&amp;","&amp;O1218&amp;","&amp;P1218&amp;",0)"&amp;IF(P1219&lt;&gt;0,",","")</f>
        <v>(1980,26,'1980.06.28',10,25,36,51,55,0),</v>
      </c>
      <c r="R1218" s="7" t="str">
        <f t="shared" si="57"/>
        <v>(1980,26,'1980.06.28',10,25,36,51,55),</v>
      </c>
    </row>
    <row r="1219" spans="1:18" x14ac:dyDescent="0.25">
      <c r="A1219" s="7" t="s">
        <v>5855</v>
      </c>
      <c r="B1219" s="8" t="s">
        <v>135</v>
      </c>
      <c r="C1219" s="10">
        <f t="shared" ref="C1219:C1282" si="59">+C1218+7</f>
        <v>29407</v>
      </c>
      <c r="D1219" t="s">
        <v>11</v>
      </c>
      <c r="E1219" t="s">
        <v>12</v>
      </c>
      <c r="F1219" t="s">
        <v>11</v>
      </c>
      <c r="G1219" t="s">
        <v>12</v>
      </c>
      <c r="H1219" t="s">
        <v>11</v>
      </c>
      <c r="I1219" t="s">
        <v>12</v>
      </c>
      <c r="J1219" t="s">
        <v>11</v>
      </c>
      <c r="K1219" t="s">
        <v>12</v>
      </c>
      <c r="L1219" s="12" t="s">
        <v>89</v>
      </c>
      <c r="M1219" s="12" t="s">
        <v>19</v>
      </c>
      <c r="N1219" s="12" t="s">
        <v>135</v>
      </c>
      <c r="O1219" s="12" t="s">
        <v>24</v>
      </c>
      <c r="P1219" s="12" t="s">
        <v>45</v>
      </c>
      <c r="Q1219" s="7" t="str">
        <f t="shared" si="58"/>
        <v>(1980,27,'1980.07.05',5,18,27,39,43,0),</v>
      </c>
      <c r="R1219" s="7" t="str">
        <f t="shared" ref="R1219:R1282" si="60">IF(TRIM(P1219)="","","("&amp;A1219&amp;","&amp;B1219&amp;",'"&amp;TEXT(C1219,"éééé.hh.nn")&amp;"',"&amp;L1219&amp;","&amp;M1219&amp;","&amp;N1219&amp;","&amp;O1219&amp;","&amp;P1219&amp;")"&amp;IF(P1220=0,";",","))</f>
        <v>(1980,27,'1980.07.05',5,18,27,39,43),</v>
      </c>
    </row>
    <row r="1220" spans="1:18" x14ac:dyDescent="0.25">
      <c r="A1220" s="7" t="s">
        <v>5855</v>
      </c>
      <c r="B1220" s="8" t="s">
        <v>126</v>
      </c>
      <c r="C1220" s="10">
        <f t="shared" si="59"/>
        <v>29414</v>
      </c>
      <c r="D1220" t="s">
        <v>11</v>
      </c>
      <c r="E1220" t="s">
        <v>12</v>
      </c>
      <c r="F1220" t="s">
        <v>11</v>
      </c>
      <c r="G1220" t="s">
        <v>12</v>
      </c>
      <c r="H1220" t="s">
        <v>11</v>
      </c>
      <c r="I1220" t="s">
        <v>12</v>
      </c>
      <c r="J1220" t="s">
        <v>11</v>
      </c>
      <c r="K1220" t="s">
        <v>12</v>
      </c>
      <c r="L1220" s="12" t="s">
        <v>53</v>
      </c>
      <c r="M1220" s="12" t="s">
        <v>198</v>
      </c>
      <c r="N1220" s="12" t="s">
        <v>127</v>
      </c>
      <c r="O1220" s="12" t="s">
        <v>54</v>
      </c>
      <c r="P1220" s="12" t="s">
        <v>301</v>
      </c>
      <c r="Q1220" s="7" t="str">
        <f t="shared" si="58"/>
        <v>(1980,28,'1980.07.12',7,9,14,15,80,0),</v>
      </c>
      <c r="R1220" s="7" t="str">
        <f t="shared" si="60"/>
        <v>(1980,28,'1980.07.12',7,9,14,15,80),</v>
      </c>
    </row>
    <row r="1221" spans="1:18" x14ac:dyDescent="0.25">
      <c r="A1221" s="7" t="s">
        <v>5855</v>
      </c>
      <c r="B1221" s="8" t="s">
        <v>116</v>
      </c>
      <c r="C1221" s="10">
        <f t="shared" si="59"/>
        <v>29421</v>
      </c>
      <c r="D1221" t="s">
        <v>11</v>
      </c>
      <c r="E1221" t="s">
        <v>12</v>
      </c>
      <c r="F1221" t="s">
        <v>11</v>
      </c>
      <c r="G1221" t="s">
        <v>12</v>
      </c>
      <c r="H1221" t="s">
        <v>11</v>
      </c>
      <c r="I1221" t="s">
        <v>12</v>
      </c>
      <c r="J1221" t="s">
        <v>11</v>
      </c>
      <c r="K1221" t="s">
        <v>12</v>
      </c>
      <c r="L1221" s="12" t="s">
        <v>65</v>
      </c>
      <c r="M1221" s="12" t="s">
        <v>152</v>
      </c>
      <c r="N1221" s="12" t="s">
        <v>135</v>
      </c>
      <c r="O1221" s="12" t="s">
        <v>98</v>
      </c>
      <c r="P1221" s="12" t="s">
        <v>56</v>
      </c>
      <c r="Q1221" s="7" t="str">
        <f t="shared" si="58"/>
        <v>(1980,29,'1980.07.19',13,25,27,42,71,0),</v>
      </c>
      <c r="R1221" s="7" t="str">
        <f t="shared" si="60"/>
        <v>(1980,29,'1980.07.19',13,25,27,42,71),</v>
      </c>
    </row>
    <row r="1222" spans="1:18" x14ac:dyDescent="0.25">
      <c r="A1222" s="7" t="s">
        <v>5855</v>
      </c>
      <c r="B1222" s="8" t="s">
        <v>107</v>
      </c>
      <c r="C1222" s="10">
        <f t="shared" si="59"/>
        <v>29428</v>
      </c>
      <c r="D1222" t="s">
        <v>11</v>
      </c>
      <c r="E1222" t="s">
        <v>12</v>
      </c>
      <c r="F1222" t="s">
        <v>11</v>
      </c>
      <c r="G1222" t="s">
        <v>12</v>
      </c>
      <c r="H1222" t="s">
        <v>11</v>
      </c>
      <c r="I1222" t="s">
        <v>12</v>
      </c>
      <c r="J1222" t="s">
        <v>11</v>
      </c>
      <c r="K1222" t="s">
        <v>12</v>
      </c>
      <c r="L1222" s="12" t="s">
        <v>31</v>
      </c>
      <c r="M1222" s="12" t="s">
        <v>65</v>
      </c>
      <c r="N1222" s="12" t="s">
        <v>46</v>
      </c>
      <c r="O1222" s="12" t="s">
        <v>134</v>
      </c>
      <c r="P1222" s="12" t="s">
        <v>379</v>
      </c>
      <c r="Q1222" s="7" t="str">
        <f t="shared" si="58"/>
        <v>(1980,30,'1980.07.26',12,13,37,56,89,0),</v>
      </c>
      <c r="R1222" s="7" t="str">
        <f t="shared" si="60"/>
        <v>(1980,30,'1980.07.26',12,13,37,56,89),</v>
      </c>
    </row>
    <row r="1223" spans="1:18" x14ac:dyDescent="0.25">
      <c r="A1223" s="7" t="s">
        <v>5855</v>
      </c>
      <c r="B1223" s="8" t="s">
        <v>71</v>
      </c>
      <c r="C1223" s="10">
        <f t="shared" si="59"/>
        <v>29435</v>
      </c>
      <c r="D1223" t="s">
        <v>11</v>
      </c>
      <c r="E1223" t="s">
        <v>12</v>
      </c>
      <c r="F1223" t="s">
        <v>11</v>
      </c>
      <c r="G1223" t="s">
        <v>12</v>
      </c>
      <c r="H1223" t="s">
        <v>11</v>
      </c>
      <c r="I1223" t="s">
        <v>12</v>
      </c>
      <c r="J1223" t="s">
        <v>11</v>
      </c>
      <c r="K1223" t="s">
        <v>12</v>
      </c>
      <c r="L1223" s="12" t="s">
        <v>31</v>
      </c>
      <c r="M1223" s="12" t="s">
        <v>19</v>
      </c>
      <c r="N1223" s="12" t="s">
        <v>201</v>
      </c>
      <c r="O1223" s="12" t="s">
        <v>301</v>
      </c>
      <c r="P1223" s="12" t="s">
        <v>186</v>
      </c>
      <c r="Q1223" s="7" t="str">
        <f t="shared" si="58"/>
        <v>(1980,31,'1980.08.02',12,18,72,80,90,0),</v>
      </c>
      <c r="R1223" s="7" t="str">
        <f t="shared" si="60"/>
        <v>(1980,31,'1980.08.02',12,18,72,80,90),</v>
      </c>
    </row>
    <row r="1224" spans="1:18" x14ac:dyDescent="0.25">
      <c r="A1224" s="7" t="s">
        <v>5855</v>
      </c>
      <c r="B1224" s="8" t="s">
        <v>80</v>
      </c>
      <c r="C1224" s="10">
        <f t="shared" si="59"/>
        <v>29442</v>
      </c>
      <c r="D1224" t="s">
        <v>11</v>
      </c>
      <c r="E1224" t="s">
        <v>12</v>
      </c>
      <c r="F1224" t="s">
        <v>11</v>
      </c>
      <c r="G1224" t="s">
        <v>12</v>
      </c>
      <c r="H1224" t="s">
        <v>11</v>
      </c>
      <c r="I1224" t="s">
        <v>12</v>
      </c>
      <c r="J1224" t="s">
        <v>11</v>
      </c>
      <c r="K1224" t="s">
        <v>12</v>
      </c>
      <c r="L1224" s="12" t="s">
        <v>22</v>
      </c>
      <c r="M1224" s="12" t="s">
        <v>82</v>
      </c>
      <c r="N1224" s="12" t="s">
        <v>35</v>
      </c>
      <c r="O1224" s="12" t="s">
        <v>92</v>
      </c>
      <c r="P1224" s="12" t="s">
        <v>186</v>
      </c>
      <c r="Q1224" s="7" t="str">
        <f t="shared" si="58"/>
        <v>(1980,32,'1980.08.09',48,59,65,68,90,0),</v>
      </c>
      <c r="R1224" s="7" t="str">
        <f t="shared" si="60"/>
        <v>(1980,32,'1980.08.09',48,59,65,68,90),</v>
      </c>
    </row>
    <row r="1225" spans="1:18" x14ac:dyDescent="0.25">
      <c r="A1225" s="7" t="s">
        <v>5855</v>
      </c>
      <c r="B1225" s="8" t="s">
        <v>20</v>
      </c>
      <c r="C1225" s="10">
        <f t="shared" si="59"/>
        <v>29449</v>
      </c>
      <c r="D1225" t="s">
        <v>11</v>
      </c>
      <c r="E1225" t="s">
        <v>12</v>
      </c>
      <c r="F1225" t="s">
        <v>11</v>
      </c>
      <c r="G1225" t="s">
        <v>12</v>
      </c>
      <c r="H1225" t="s">
        <v>11</v>
      </c>
      <c r="I1225" t="s">
        <v>12</v>
      </c>
      <c r="J1225" t="s">
        <v>11</v>
      </c>
      <c r="K1225" t="s">
        <v>12</v>
      </c>
      <c r="L1225" s="12" t="s">
        <v>43</v>
      </c>
      <c r="M1225" s="12" t="s">
        <v>126</v>
      </c>
      <c r="N1225" s="12" t="s">
        <v>122</v>
      </c>
      <c r="O1225" s="12" t="s">
        <v>82</v>
      </c>
      <c r="P1225" s="12" t="s">
        <v>214</v>
      </c>
      <c r="Q1225" s="7" t="str">
        <f t="shared" si="58"/>
        <v>(1980,33,'1980.08.16',16,28,51,59,64,0),</v>
      </c>
      <c r="R1225" s="7" t="str">
        <f t="shared" si="60"/>
        <v>(1980,33,'1980.08.16',16,28,51,59,64),</v>
      </c>
    </row>
    <row r="1226" spans="1:18" x14ac:dyDescent="0.25">
      <c r="A1226" s="7" t="s">
        <v>5855</v>
      </c>
      <c r="B1226" s="8" t="s">
        <v>25</v>
      </c>
      <c r="C1226" s="10">
        <f t="shared" si="59"/>
        <v>29456</v>
      </c>
      <c r="D1226" t="s">
        <v>11</v>
      </c>
      <c r="E1226" t="s">
        <v>12</v>
      </c>
      <c r="F1226" t="s">
        <v>11</v>
      </c>
      <c r="G1226" t="s">
        <v>12</v>
      </c>
      <c r="H1226" t="s">
        <v>11</v>
      </c>
      <c r="I1226" t="s">
        <v>12</v>
      </c>
      <c r="J1226" t="s">
        <v>11</v>
      </c>
      <c r="K1226" t="s">
        <v>12</v>
      </c>
      <c r="L1226" s="12" t="s">
        <v>21</v>
      </c>
      <c r="M1226" s="12" t="s">
        <v>22</v>
      </c>
      <c r="N1226" s="12" t="s">
        <v>124</v>
      </c>
      <c r="O1226" s="12" t="s">
        <v>35</v>
      </c>
      <c r="P1226" s="12" t="s">
        <v>47</v>
      </c>
      <c r="Q1226" s="7" t="str">
        <f t="shared" si="58"/>
        <v>(1980,34,'1980.08.23',36,48,62,65,69,0),</v>
      </c>
      <c r="R1226" s="7" t="str">
        <f t="shared" si="60"/>
        <v>(1980,34,'1980.08.23',36,48,62,65,69),</v>
      </c>
    </row>
    <row r="1227" spans="1:18" x14ac:dyDescent="0.25">
      <c r="A1227" s="7" t="s">
        <v>5855</v>
      </c>
      <c r="B1227" s="8" t="s">
        <v>64</v>
      </c>
      <c r="C1227" s="10">
        <f t="shared" si="59"/>
        <v>29463</v>
      </c>
      <c r="D1227" t="s">
        <v>11</v>
      </c>
      <c r="E1227" t="s">
        <v>12</v>
      </c>
      <c r="F1227" t="s">
        <v>11</v>
      </c>
      <c r="G1227" t="s">
        <v>12</v>
      </c>
      <c r="H1227" t="s">
        <v>11</v>
      </c>
      <c r="I1227" t="s">
        <v>12</v>
      </c>
      <c r="J1227" t="s">
        <v>11</v>
      </c>
      <c r="K1227" t="s">
        <v>12</v>
      </c>
      <c r="L1227" s="12" t="s">
        <v>54</v>
      </c>
      <c r="M1227" s="12" t="s">
        <v>152</v>
      </c>
      <c r="N1227" s="12" t="s">
        <v>24</v>
      </c>
      <c r="O1227" s="12" t="s">
        <v>98</v>
      </c>
      <c r="P1227" s="12" t="s">
        <v>143</v>
      </c>
      <c r="Q1227" s="7" t="str">
        <f t="shared" si="58"/>
        <v>(1980,35,'1980.08.30',15,25,39,42,77,0),</v>
      </c>
      <c r="R1227" s="7" t="str">
        <f t="shared" si="60"/>
        <v>(1980,35,'1980.08.30',15,25,39,42,77),</v>
      </c>
    </row>
    <row r="1228" spans="1:18" x14ac:dyDescent="0.25">
      <c r="A1228" s="7" t="s">
        <v>5855</v>
      </c>
      <c r="B1228" s="8" t="s">
        <v>21</v>
      </c>
      <c r="C1228" s="10">
        <f t="shared" si="59"/>
        <v>29470</v>
      </c>
      <c r="D1228" t="s">
        <v>11</v>
      </c>
      <c r="E1228" t="s">
        <v>12</v>
      </c>
      <c r="F1228" t="s">
        <v>11</v>
      </c>
      <c r="G1228" t="s">
        <v>12</v>
      </c>
      <c r="H1228" t="s">
        <v>11</v>
      </c>
      <c r="I1228" t="s">
        <v>12</v>
      </c>
      <c r="J1228" t="s">
        <v>11</v>
      </c>
      <c r="K1228" t="s">
        <v>12</v>
      </c>
      <c r="L1228" s="12" t="s">
        <v>32</v>
      </c>
      <c r="M1228" s="12" t="s">
        <v>80</v>
      </c>
      <c r="N1228" s="12" t="s">
        <v>10</v>
      </c>
      <c r="O1228" s="12" t="s">
        <v>81</v>
      </c>
      <c r="P1228" s="12" t="s">
        <v>151</v>
      </c>
      <c r="Q1228" s="7" t="str">
        <f t="shared" si="58"/>
        <v>(1980,36,'1980.09.06',22,32,40,47,79,0),</v>
      </c>
      <c r="R1228" s="7" t="str">
        <f t="shared" si="60"/>
        <v>(1980,36,'1980.09.06',22,32,40,47,79),</v>
      </c>
    </row>
    <row r="1229" spans="1:18" x14ac:dyDescent="0.25">
      <c r="A1229" s="7" t="s">
        <v>5855</v>
      </c>
      <c r="B1229" s="8" t="s">
        <v>46</v>
      </c>
      <c r="C1229" s="10">
        <f t="shared" si="59"/>
        <v>29477</v>
      </c>
      <c r="D1229" t="s">
        <v>11</v>
      </c>
      <c r="E1229" t="s">
        <v>12</v>
      </c>
      <c r="F1229" t="s">
        <v>11</v>
      </c>
      <c r="G1229" t="s">
        <v>12</v>
      </c>
      <c r="H1229" t="s">
        <v>11</v>
      </c>
      <c r="I1229" t="s">
        <v>12</v>
      </c>
      <c r="J1229" t="s">
        <v>11</v>
      </c>
      <c r="K1229" t="s">
        <v>12</v>
      </c>
      <c r="L1229" s="12" t="s">
        <v>19</v>
      </c>
      <c r="M1229" s="12" t="s">
        <v>163</v>
      </c>
      <c r="N1229" s="12" t="s">
        <v>80</v>
      </c>
      <c r="O1229" s="12" t="s">
        <v>192</v>
      </c>
      <c r="P1229" s="12" t="s">
        <v>214</v>
      </c>
      <c r="Q1229" s="7" t="str">
        <f t="shared" si="58"/>
        <v>(1980,37,'1980.09.13',18,23,32,46,64,0),</v>
      </c>
      <c r="R1229" s="7" t="str">
        <f t="shared" si="60"/>
        <v>(1980,37,'1980.09.13',18,23,32,46,64),</v>
      </c>
    </row>
    <row r="1230" spans="1:18" x14ac:dyDescent="0.25">
      <c r="A1230" s="7" t="s">
        <v>5855</v>
      </c>
      <c r="B1230" s="8" t="s">
        <v>36</v>
      </c>
      <c r="C1230" s="10">
        <f t="shared" si="59"/>
        <v>29484</v>
      </c>
      <c r="D1230" t="s">
        <v>11</v>
      </c>
      <c r="E1230" t="s">
        <v>12</v>
      </c>
      <c r="F1230" t="s">
        <v>11</v>
      </c>
      <c r="G1230" t="s">
        <v>12</v>
      </c>
      <c r="H1230" t="s">
        <v>11</v>
      </c>
      <c r="I1230" t="s">
        <v>12</v>
      </c>
      <c r="J1230" t="s">
        <v>11</v>
      </c>
      <c r="K1230" t="s">
        <v>12</v>
      </c>
      <c r="L1230" s="12" t="s">
        <v>42</v>
      </c>
      <c r="M1230" s="12" t="s">
        <v>55</v>
      </c>
      <c r="N1230" s="12" t="s">
        <v>56</v>
      </c>
      <c r="O1230" s="12" t="s">
        <v>73</v>
      </c>
      <c r="P1230" s="12" t="s">
        <v>125</v>
      </c>
      <c r="Q1230" s="7" t="str">
        <f t="shared" si="58"/>
        <v>(1980,38,'1980.09.20',3,19,71,76,83,0),</v>
      </c>
      <c r="R1230" s="7" t="str">
        <f t="shared" si="60"/>
        <v>(1980,38,'1980.09.20',3,19,71,76,83),</v>
      </c>
    </row>
    <row r="1231" spans="1:18" x14ac:dyDescent="0.25">
      <c r="A1231" s="7" t="s">
        <v>5855</v>
      </c>
      <c r="B1231" s="8" t="s">
        <v>24</v>
      </c>
      <c r="C1231" s="10">
        <f t="shared" si="59"/>
        <v>29491</v>
      </c>
      <c r="D1231" t="s">
        <v>11</v>
      </c>
      <c r="E1231" t="s">
        <v>12</v>
      </c>
      <c r="F1231" t="s">
        <v>11</v>
      </c>
      <c r="G1231" t="s">
        <v>12</v>
      </c>
      <c r="H1231" t="s">
        <v>11</v>
      </c>
      <c r="I1231" t="s">
        <v>12</v>
      </c>
      <c r="J1231" t="s">
        <v>11</v>
      </c>
      <c r="K1231" t="s">
        <v>12</v>
      </c>
      <c r="L1231" s="12" t="s">
        <v>42</v>
      </c>
      <c r="M1231" s="12" t="s">
        <v>31</v>
      </c>
      <c r="N1231" s="12" t="s">
        <v>80</v>
      </c>
      <c r="O1231" s="12" t="s">
        <v>10</v>
      </c>
      <c r="P1231" s="12" t="s">
        <v>99</v>
      </c>
      <c r="Q1231" s="7" t="str">
        <f t="shared" si="58"/>
        <v>(1980,39,'1980.09.27',3,12,32,40,52,0),</v>
      </c>
      <c r="R1231" s="7" t="str">
        <f t="shared" si="60"/>
        <v>(1980,39,'1980.09.27',3,12,32,40,52),</v>
      </c>
    </row>
    <row r="1232" spans="1:18" x14ac:dyDescent="0.25">
      <c r="A1232" s="7" t="s">
        <v>5855</v>
      </c>
      <c r="B1232" s="8" t="s">
        <v>10</v>
      </c>
      <c r="C1232" s="10">
        <f t="shared" si="59"/>
        <v>29498</v>
      </c>
      <c r="D1232" t="s">
        <v>11</v>
      </c>
      <c r="E1232" t="s">
        <v>12</v>
      </c>
      <c r="F1232" t="s">
        <v>11</v>
      </c>
      <c r="G1232" t="s">
        <v>12</v>
      </c>
      <c r="H1232" t="s">
        <v>11</v>
      </c>
      <c r="I1232" t="s">
        <v>12</v>
      </c>
      <c r="J1232" t="s">
        <v>11</v>
      </c>
      <c r="K1232" t="s">
        <v>12</v>
      </c>
      <c r="L1232" s="12" t="s">
        <v>232</v>
      </c>
      <c r="M1232" s="12" t="s">
        <v>65</v>
      </c>
      <c r="N1232" s="12" t="s">
        <v>192</v>
      </c>
      <c r="O1232" s="12" t="s">
        <v>123</v>
      </c>
      <c r="P1232" s="12" t="s">
        <v>134</v>
      </c>
      <c r="Q1232" s="7" t="str">
        <f t="shared" si="58"/>
        <v>(1980,40,'1980.10.04',8,13,46,54,56,0),</v>
      </c>
      <c r="R1232" s="7" t="str">
        <f t="shared" si="60"/>
        <v>(1980,40,'1980.10.04',8,13,46,54,56),</v>
      </c>
    </row>
    <row r="1233" spans="1:18" x14ac:dyDescent="0.25">
      <c r="A1233" s="7" t="s">
        <v>5855</v>
      </c>
      <c r="B1233" s="8" t="s">
        <v>13</v>
      </c>
      <c r="C1233" s="10">
        <f t="shared" si="59"/>
        <v>29505</v>
      </c>
      <c r="D1233" t="s">
        <v>11</v>
      </c>
      <c r="E1233" t="s">
        <v>12</v>
      </c>
      <c r="F1233" t="s">
        <v>11</v>
      </c>
      <c r="G1233" t="s">
        <v>12</v>
      </c>
      <c r="H1233" t="s">
        <v>11</v>
      </c>
      <c r="I1233" t="s">
        <v>12</v>
      </c>
      <c r="J1233" t="s">
        <v>11</v>
      </c>
      <c r="K1233" t="s">
        <v>12</v>
      </c>
      <c r="L1233" s="12" t="s">
        <v>42</v>
      </c>
      <c r="M1233" s="12" t="s">
        <v>127</v>
      </c>
      <c r="N1233" s="12" t="s">
        <v>81</v>
      </c>
      <c r="O1233" s="12" t="s">
        <v>106</v>
      </c>
      <c r="P1233" s="12" t="s">
        <v>308</v>
      </c>
      <c r="Q1233" s="7" t="str">
        <f t="shared" si="58"/>
        <v>(1980,41,'1980.10.11',3,14,47,75,86,0),</v>
      </c>
      <c r="R1233" s="7" t="str">
        <f t="shared" si="60"/>
        <v>(1980,41,'1980.10.11',3,14,47,75,86),</v>
      </c>
    </row>
    <row r="1234" spans="1:18" x14ac:dyDescent="0.25">
      <c r="A1234" s="7" t="s">
        <v>5855</v>
      </c>
      <c r="B1234" s="8" t="s">
        <v>98</v>
      </c>
      <c r="C1234" s="10">
        <f t="shared" si="59"/>
        <v>29512</v>
      </c>
      <c r="D1234" t="s">
        <v>11</v>
      </c>
      <c r="E1234" t="s">
        <v>12</v>
      </c>
      <c r="F1234" t="s">
        <v>11</v>
      </c>
      <c r="G1234" t="s">
        <v>12</v>
      </c>
      <c r="H1234" t="s">
        <v>11</v>
      </c>
      <c r="I1234" t="s">
        <v>12</v>
      </c>
      <c r="J1234" t="s">
        <v>11</v>
      </c>
      <c r="K1234" t="s">
        <v>12</v>
      </c>
      <c r="L1234" s="12" t="s">
        <v>90</v>
      </c>
      <c r="M1234" s="12" t="s">
        <v>13</v>
      </c>
      <c r="N1234" s="12" t="s">
        <v>99</v>
      </c>
      <c r="O1234" s="12" t="s">
        <v>143</v>
      </c>
      <c r="P1234" s="12" t="s">
        <v>269</v>
      </c>
      <c r="Q1234" s="7" t="str">
        <f t="shared" si="58"/>
        <v>(1980,42,'1980.10.18',17,41,52,77,87,0),</v>
      </c>
      <c r="R1234" s="7" t="str">
        <f t="shared" si="60"/>
        <v>(1980,42,'1980.10.18',17,41,52,77,87),</v>
      </c>
    </row>
    <row r="1235" spans="1:18" x14ac:dyDescent="0.25">
      <c r="A1235" s="7" t="s">
        <v>5855</v>
      </c>
      <c r="B1235" s="8" t="s">
        <v>45</v>
      </c>
      <c r="C1235" s="10">
        <f t="shared" si="59"/>
        <v>29519</v>
      </c>
      <c r="D1235" t="s">
        <v>11</v>
      </c>
      <c r="E1235" t="s">
        <v>12</v>
      </c>
      <c r="F1235" t="s">
        <v>11</v>
      </c>
      <c r="G1235" t="s">
        <v>12</v>
      </c>
      <c r="H1235" t="s">
        <v>11</v>
      </c>
      <c r="I1235" t="s">
        <v>12</v>
      </c>
      <c r="J1235" t="s">
        <v>11</v>
      </c>
      <c r="K1235" t="s">
        <v>12</v>
      </c>
      <c r="L1235" s="12" t="s">
        <v>108</v>
      </c>
      <c r="M1235" s="12" t="s">
        <v>54</v>
      </c>
      <c r="N1235" s="12" t="s">
        <v>24</v>
      </c>
      <c r="O1235" s="12" t="s">
        <v>99</v>
      </c>
      <c r="P1235" s="12" t="s">
        <v>246</v>
      </c>
      <c r="Q1235" s="7" t="str">
        <f t="shared" si="58"/>
        <v>(1980,43,'1980.10.25',1,15,39,52,84,0),</v>
      </c>
      <c r="R1235" s="7" t="str">
        <f t="shared" si="60"/>
        <v>(1980,43,'1980.10.25',1,15,39,52,84),</v>
      </c>
    </row>
    <row r="1236" spans="1:18" x14ac:dyDescent="0.25">
      <c r="A1236" s="7" t="s">
        <v>5855</v>
      </c>
      <c r="B1236" s="8" t="s">
        <v>142</v>
      </c>
      <c r="C1236" s="10">
        <f t="shared" si="59"/>
        <v>29526</v>
      </c>
      <c r="D1236" t="s">
        <v>11</v>
      </c>
      <c r="E1236" t="s">
        <v>12</v>
      </c>
      <c r="F1236" t="s">
        <v>11</v>
      </c>
      <c r="G1236" t="s">
        <v>12</v>
      </c>
      <c r="H1236" t="s">
        <v>11</v>
      </c>
      <c r="I1236" t="s">
        <v>12</v>
      </c>
      <c r="J1236" t="s">
        <v>11</v>
      </c>
      <c r="K1236" t="s">
        <v>12</v>
      </c>
      <c r="L1236" s="12" t="s">
        <v>65</v>
      </c>
      <c r="M1236" s="12" t="s">
        <v>43</v>
      </c>
      <c r="N1236" s="12" t="s">
        <v>44</v>
      </c>
      <c r="O1236" s="12" t="s">
        <v>163</v>
      </c>
      <c r="P1236" s="12" t="s">
        <v>107</v>
      </c>
      <c r="Q1236" s="7" t="str">
        <f t="shared" si="58"/>
        <v>(1980,44,'1980.11.01',13,16,21,23,30,0),</v>
      </c>
      <c r="R1236" s="7" t="str">
        <f t="shared" si="60"/>
        <v>(1980,44,'1980.11.01',13,16,21,23,30),</v>
      </c>
    </row>
    <row r="1237" spans="1:18" x14ac:dyDescent="0.25">
      <c r="A1237" s="7" t="s">
        <v>5855</v>
      </c>
      <c r="B1237" s="8" t="s">
        <v>133</v>
      </c>
      <c r="C1237" s="10">
        <f t="shared" si="59"/>
        <v>29533</v>
      </c>
      <c r="D1237" t="s">
        <v>11</v>
      </c>
      <c r="E1237" t="s">
        <v>12</v>
      </c>
      <c r="F1237" t="s">
        <v>11</v>
      </c>
      <c r="G1237" t="s">
        <v>12</v>
      </c>
      <c r="H1237" t="s">
        <v>11</v>
      </c>
      <c r="I1237" t="s">
        <v>12</v>
      </c>
      <c r="J1237" t="s">
        <v>11</v>
      </c>
      <c r="K1237" t="s">
        <v>12</v>
      </c>
      <c r="L1237" s="12" t="s">
        <v>53</v>
      </c>
      <c r="M1237" s="12" t="s">
        <v>62</v>
      </c>
      <c r="N1237" s="12" t="s">
        <v>54</v>
      </c>
      <c r="O1237" s="12" t="s">
        <v>192</v>
      </c>
      <c r="P1237" s="12" t="s">
        <v>106</v>
      </c>
      <c r="Q1237" s="7" t="str">
        <f t="shared" si="58"/>
        <v>(1980,45,'1980.11.08',7,10,15,46,75,0),</v>
      </c>
      <c r="R1237" s="7" t="str">
        <f t="shared" si="60"/>
        <v>(1980,45,'1980.11.08',7,10,15,46,75),</v>
      </c>
    </row>
    <row r="1238" spans="1:18" x14ac:dyDescent="0.25">
      <c r="A1238" s="7" t="s">
        <v>5855</v>
      </c>
      <c r="B1238" s="8" t="s">
        <v>192</v>
      </c>
      <c r="C1238" s="10">
        <f t="shared" si="59"/>
        <v>29540</v>
      </c>
      <c r="D1238" t="s">
        <v>11</v>
      </c>
      <c r="E1238" t="s">
        <v>12</v>
      </c>
      <c r="F1238" t="s">
        <v>11</v>
      </c>
      <c r="G1238" t="s">
        <v>12</v>
      </c>
      <c r="H1238" t="s">
        <v>11</v>
      </c>
      <c r="I1238" t="s">
        <v>12</v>
      </c>
      <c r="J1238" t="s">
        <v>11</v>
      </c>
      <c r="K1238" t="s">
        <v>12</v>
      </c>
      <c r="L1238" s="12" t="s">
        <v>42</v>
      </c>
      <c r="M1238" s="12" t="s">
        <v>232</v>
      </c>
      <c r="N1238" s="12" t="s">
        <v>115</v>
      </c>
      <c r="O1238" s="12" t="s">
        <v>80</v>
      </c>
      <c r="P1238" s="12" t="s">
        <v>151</v>
      </c>
      <c r="Q1238" s="7" t="str">
        <f t="shared" si="58"/>
        <v>(1980,46,'1980.11.15',3,8,20,32,79,0),</v>
      </c>
      <c r="R1238" s="7" t="str">
        <f t="shared" si="60"/>
        <v>(1980,46,'1980.11.15',3,8,20,32,79),</v>
      </c>
    </row>
    <row r="1239" spans="1:18" x14ac:dyDescent="0.25">
      <c r="A1239" s="7" t="s">
        <v>5855</v>
      </c>
      <c r="B1239" s="8" t="s">
        <v>81</v>
      </c>
      <c r="C1239" s="10">
        <f t="shared" si="59"/>
        <v>29547</v>
      </c>
      <c r="D1239" t="s">
        <v>11</v>
      </c>
      <c r="E1239" t="s">
        <v>12</v>
      </c>
      <c r="F1239" t="s">
        <v>11</v>
      </c>
      <c r="G1239" t="s">
        <v>12</v>
      </c>
      <c r="H1239" t="s">
        <v>11</v>
      </c>
      <c r="I1239" t="s">
        <v>12</v>
      </c>
      <c r="J1239" t="s">
        <v>11</v>
      </c>
      <c r="K1239" t="s">
        <v>12</v>
      </c>
      <c r="L1239" s="12" t="s">
        <v>168</v>
      </c>
      <c r="M1239" s="12" t="s">
        <v>270</v>
      </c>
      <c r="N1239" s="12" t="s">
        <v>142</v>
      </c>
      <c r="O1239" s="12" t="s">
        <v>133</v>
      </c>
      <c r="P1239" s="12" t="s">
        <v>199</v>
      </c>
      <c r="Q1239" s="7" t="str">
        <f t="shared" si="58"/>
        <v>(1980,47,'1980.11.22',4,6,44,45,53,0),</v>
      </c>
      <c r="R1239" s="7" t="str">
        <f t="shared" si="60"/>
        <v>(1980,47,'1980.11.22',4,6,44,45,53),</v>
      </c>
    </row>
    <row r="1240" spans="1:18" x14ac:dyDescent="0.25">
      <c r="A1240" s="7" t="s">
        <v>5855</v>
      </c>
      <c r="B1240" s="8" t="s">
        <v>22</v>
      </c>
      <c r="C1240" s="10">
        <f t="shared" si="59"/>
        <v>29554</v>
      </c>
      <c r="D1240" t="s">
        <v>11</v>
      </c>
      <c r="E1240" t="s">
        <v>12</v>
      </c>
      <c r="F1240" t="s">
        <v>11</v>
      </c>
      <c r="G1240" t="s">
        <v>12</v>
      </c>
      <c r="H1240" t="s">
        <v>11</v>
      </c>
      <c r="I1240" t="s">
        <v>12</v>
      </c>
      <c r="J1240" t="s">
        <v>11</v>
      </c>
      <c r="K1240" t="s">
        <v>12</v>
      </c>
      <c r="L1240" s="12" t="s">
        <v>74</v>
      </c>
      <c r="M1240" s="12" t="s">
        <v>34</v>
      </c>
      <c r="N1240" s="12" t="s">
        <v>124</v>
      </c>
      <c r="O1240" s="12" t="s">
        <v>248</v>
      </c>
      <c r="P1240" s="12" t="s">
        <v>245</v>
      </c>
      <c r="Q1240" s="7" t="str">
        <f t="shared" si="58"/>
        <v>(1980,48,'1980.11.29',26,49,62,63,74,0),</v>
      </c>
      <c r="R1240" s="7" t="str">
        <f t="shared" si="60"/>
        <v>(1980,48,'1980.11.29',26,49,62,63,74),</v>
      </c>
    </row>
    <row r="1241" spans="1:18" x14ac:dyDescent="0.25">
      <c r="A1241" s="7" t="s">
        <v>5855</v>
      </c>
      <c r="B1241" s="8" t="s">
        <v>34</v>
      </c>
      <c r="C1241" s="10">
        <f t="shared" si="59"/>
        <v>29561</v>
      </c>
      <c r="D1241" t="s">
        <v>11</v>
      </c>
      <c r="E1241" t="s">
        <v>12</v>
      </c>
      <c r="F1241" t="s">
        <v>11</v>
      </c>
      <c r="G1241" t="s">
        <v>12</v>
      </c>
      <c r="H1241" t="s">
        <v>11</v>
      </c>
      <c r="I1241" t="s">
        <v>12</v>
      </c>
      <c r="J1241" t="s">
        <v>11</v>
      </c>
      <c r="K1241" t="s">
        <v>12</v>
      </c>
      <c r="L1241" s="12" t="s">
        <v>31</v>
      </c>
      <c r="M1241" s="12" t="s">
        <v>55</v>
      </c>
      <c r="N1241" s="12" t="s">
        <v>192</v>
      </c>
      <c r="O1241" s="12" t="s">
        <v>99</v>
      </c>
      <c r="P1241" s="12" t="s">
        <v>199</v>
      </c>
      <c r="Q1241" s="7" t="str">
        <f t="shared" si="58"/>
        <v>(1980,49,'1980.12.06',12,19,46,52,53,0),</v>
      </c>
      <c r="R1241" s="7" t="str">
        <f t="shared" si="60"/>
        <v>(1980,49,'1980.12.06',12,19,46,52,53),</v>
      </c>
    </row>
    <row r="1242" spans="1:18" x14ac:dyDescent="0.25">
      <c r="A1242" s="7" t="s">
        <v>5855</v>
      </c>
      <c r="B1242" s="8" t="s">
        <v>105</v>
      </c>
      <c r="C1242" s="10">
        <f t="shared" si="59"/>
        <v>29568</v>
      </c>
      <c r="D1242" t="s">
        <v>11</v>
      </c>
      <c r="E1242" t="s">
        <v>12</v>
      </c>
      <c r="F1242" t="s">
        <v>11</v>
      </c>
      <c r="G1242" t="s">
        <v>12</v>
      </c>
      <c r="H1242" t="s">
        <v>11</v>
      </c>
      <c r="I1242" t="s">
        <v>12</v>
      </c>
      <c r="J1242" t="s">
        <v>11</v>
      </c>
      <c r="K1242" t="s">
        <v>12</v>
      </c>
      <c r="L1242" s="12" t="s">
        <v>25</v>
      </c>
      <c r="M1242" s="12" t="s">
        <v>214</v>
      </c>
      <c r="N1242" s="12" t="s">
        <v>200</v>
      </c>
      <c r="O1242" s="12" t="s">
        <v>245</v>
      </c>
      <c r="P1242" s="12" t="s">
        <v>269</v>
      </c>
      <c r="Q1242" s="7" t="str">
        <f t="shared" si="58"/>
        <v>(1980,50,'1980.12.13',34,64,70,74,87,0),</v>
      </c>
      <c r="R1242" s="7" t="str">
        <f t="shared" si="60"/>
        <v>(1980,50,'1980.12.13',34,64,70,74,87),</v>
      </c>
    </row>
    <row r="1243" spans="1:18" x14ac:dyDescent="0.25">
      <c r="A1243" s="7" t="s">
        <v>5855</v>
      </c>
      <c r="B1243" s="8" t="s">
        <v>122</v>
      </c>
      <c r="C1243" s="10">
        <f t="shared" si="59"/>
        <v>29575</v>
      </c>
      <c r="D1243" t="s">
        <v>11</v>
      </c>
      <c r="E1243" t="s">
        <v>12</v>
      </c>
      <c r="F1243" t="s">
        <v>11</v>
      </c>
      <c r="G1243" t="s">
        <v>12</v>
      </c>
      <c r="H1243" t="s">
        <v>11</v>
      </c>
      <c r="I1243" t="s">
        <v>12</v>
      </c>
      <c r="J1243" t="s">
        <v>11</v>
      </c>
      <c r="K1243" t="s">
        <v>12</v>
      </c>
      <c r="L1243" s="12" t="s">
        <v>127</v>
      </c>
      <c r="M1243" s="12" t="s">
        <v>33</v>
      </c>
      <c r="N1243" s="12" t="s">
        <v>192</v>
      </c>
      <c r="O1243" s="12" t="s">
        <v>200</v>
      </c>
      <c r="P1243" s="12" t="s">
        <v>246</v>
      </c>
      <c r="Q1243" s="7" t="str">
        <f t="shared" si="58"/>
        <v>(1980,51,'1980.12.20',14,24,46,70,84,0),</v>
      </c>
      <c r="R1243" s="7" t="str">
        <f t="shared" si="60"/>
        <v>(1980,51,'1980.12.20',14,24,46,70,84),</v>
      </c>
    </row>
    <row r="1244" spans="1:18" x14ac:dyDescent="0.25">
      <c r="A1244" s="7" t="s">
        <v>5855</v>
      </c>
      <c r="B1244" s="8" t="s">
        <v>99</v>
      </c>
      <c r="C1244" s="10">
        <f t="shared" si="59"/>
        <v>29582</v>
      </c>
      <c r="D1244" t="s">
        <v>11</v>
      </c>
      <c r="E1244" t="s">
        <v>12</v>
      </c>
      <c r="F1244" t="s">
        <v>11</v>
      </c>
      <c r="G1244" t="s">
        <v>12</v>
      </c>
      <c r="H1244" t="s">
        <v>11</v>
      </c>
      <c r="I1244" t="s">
        <v>12</v>
      </c>
      <c r="J1244" t="s">
        <v>11</v>
      </c>
      <c r="K1244" t="s">
        <v>12</v>
      </c>
      <c r="L1244" s="12" t="s">
        <v>126</v>
      </c>
      <c r="M1244" s="12" t="s">
        <v>133</v>
      </c>
      <c r="N1244" s="12" t="s">
        <v>34</v>
      </c>
      <c r="O1244" s="12" t="s">
        <v>175</v>
      </c>
      <c r="P1244" s="12" t="s">
        <v>200</v>
      </c>
      <c r="Q1244" s="7" t="str">
        <f t="shared" si="58"/>
        <v>(1980,52,'1980.12.27',28,45,49,55,70,0),</v>
      </c>
      <c r="R1244" s="7" t="str">
        <f t="shared" si="60"/>
        <v>(1980,52,'1980.12.27',28,45,49,55,70),</v>
      </c>
    </row>
    <row r="1245" spans="1:18" x14ac:dyDescent="0.25">
      <c r="A1245" s="7" t="s">
        <v>5854</v>
      </c>
      <c r="B1245" s="8" t="s">
        <v>108</v>
      </c>
      <c r="C1245" s="10">
        <f t="shared" si="59"/>
        <v>29589</v>
      </c>
      <c r="D1245" t="s">
        <v>11</v>
      </c>
      <c r="E1245" t="s">
        <v>12</v>
      </c>
      <c r="F1245" t="s">
        <v>11</v>
      </c>
      <c r="G1245" t="s">
        <v>12</v>
      </c>
      <c r="H1245" t="s">
        <v>11</v>
      </c>
      <c r="I1245" t="s">
        <v>12</v>
      </c>
      <c r="J1245" t="s">
        <v>11</v>
      </c>
      <c r="K1245" t="s">
        <v>12</v>
      </c>
      <c r="L1245" s="12" t="s">
        <v>65</v>
      </c>
      <c r="M1245" s="12" t="s">
        <v>33</v>
      </c>
      <c r="N1245" s="12" t="s">
        <v>13</v>
      </c>
      <c r="O1245" s="12" t="s">
        <v>22</v>
      </c>
      <c r="P1245" s="12" t="s">
        <v>200</v>
      </c>
      <c r="Q1245" s="7" t="str">
        <f t="shared" si="58"/>
        <v>(1981,1,'1981.01.03',13,24,41,48,70,0),</v>
      </c>
      <c r="R1245" s="7" t="str">
        <f t="shared" si="60"/>
        <v>(1981,1,'1981.01.03',13,24,41,48,70),</v>
      </c>
    </row>
    <row r="1246" spans="1:18" x14ac:dyDescent="0.25">
      <c r="A1246" s="7" t="s">
        <v>5854</v>
      </c>
      <c r="B1246" s="8" t="s">
        <v>207</v>
      </c>
      <c r="C1246" s="10">
        <f t="shared" si="59"/>
        <v>29596</v>
      </c>
      <c r="D1246" t="s">
        <v>11</v>
      </c>
      <c r="E1246" t="s">
        <v>12</v>
      </c>
      <c r="F1246" t="s">
        <v>11</v>
      </c>
      <c r="G1246" t="s">
        <v>12</v>
      </c>
      <c r="H1246" t="s">
        <v>11</v>
      </c>
      <c r="I1246" t="s">
        <v>12</v>
      </c>
      <c r="J1246" t="s">
        <v>11</v>
      </c>
      <c r="K1246" t="s">
        <v>12</v>
      </c>
      <c r="L1246" s="12" t="s">
        <v>270</v>
      </c>
      <c r="M1246" s="12" t="s">
        <v>13</v>
      </c>
      <c r="N1246" s="12" t="s">
        <v>150</v>
      </c>
      <c r="O1246" s="12" t="s">
        <v>124</v>
      </c>
      <c r="P1246" s="12" t="s">
        <v>63</v>
      </c>
      <c r="Q1246" s="7" t="str">
        <f t="shared" si="58"/>
        <v>(1981,2,'1981.01.10',6,41,57,62,78,0),</v>
      </c>
      <c r="R1246" s="7" t="str">
        <f t="shared" si="60"/>
        <v>(1981,2,'1981.01.10',6,41,57,62,78),</v>
      </c>
    </row>
    <row r="1247" spans="1:18" x14ac:dyDescent="0.25">
      <c r="A1247" s="7" t="s">
        <v>5854</v>
      </c>
      <c r="B1247" s="8" t="s">
        <v>42</v>
      </c>
      <c r="C1247" s="10">
        <f t="shared" si="59"/>
        <v>29603</v>
      </c>
      <c r="D1247" t="s">
        <v>11</v>
      </c>
      <c r="E1247" t="s">
        <v>12</v>
      </c>
      <c r="F1247" t="s">
        <v>11</v>
      </c>
      <c r="G1247" t="s">
        <v>12</v>
      </c>
      <c r="H1247" t="s">
        <v>11</v>
      </c>
      <c r="I1247" t="s">
        <v>12</v>
      </c>
      <c r="J1247" t="s">
        <v>11</v>
      </c>
      <c r="K1247" t="s">
        <v>12</v>
      </c>
      <c r="L1247" s="12" t="s">
        <v>163</v>
      </c>
      <c r="M1247" s="12" t="s">
        <v>116</v>
      </c>
      <c r="N1247" s="12" t="s">
        <v>134</v>
      </c>
      <c r="O1247" s="12" t="s">
        <v>72</v>
      </c>
      <c r="P1247" s="12" t="s">
        <v>47</v>
      </c>
      <c r="Q1247" s="7" t="str">
        <f t="shared" si="58"/>
        <v>(1981,3,'1981.01.17',23,29,56,67,69,0),</v>
      </c>
      <c r="R1247" s="7" t="str">
        <f t="shared" si="60"/>
        <v>(1981,3,'1981.01.17',23,29,56,67,69),</v>
      </c>
    </row>
    <row r="1248" spans="1:18" x14ac:dyDescent="0.25">
      <c r="A1248" s="7" t="s">
        <v>5854</v>
      </c>
      <c r="B1248" s="8" t="s">
        <v>168</v>
      </c>
      <c r="C1248" s="10">
        <f t="shared" si="59"/>
        <v>29610</v>
      </c>
      <c r="D1248" t="s">
        <v>11</v>
      </c>
      <c r="E1248" t="s">
        <v>12</v>
      </c>
      <c r="F1248" t="s">
        <v>11</v>
      </c>
      <c r="G1248" t="s">
        <v>12</v>
      </c>
      <c r="H1248" t="s">
        <v>11</v>
      </c>
      <c r="I1248" t="s">
        <v>12</v>
      </c>
      <c r="J1248" t="s">
        <v>11</v>
      </c>
      <c r="K1248" t="s">
        <v>12</v>
      </c>
      <c r="L1248" s="12" t="s">
        <v>108</v>
      </c>
      <c r="M1248" s="12" t="s">
        <v>62</v>
      </c>
      <c r="N1248" s="12" t="s">
        <v>20</v>
      </c>
      <c r="O1248" s="12" t="s">
        <v>192</v>
      </c>
      <c r="P1248" s="12" t="s">
        <v>308</v>
      </c>
      <c r="Q1248" s="7" t="str">
        <f t="shared" si="58"/>
        <v>(1981,4,'1981.01.24',1,10,33,46,86,0),</v>
      </c>
      <c r="R1248" s="7" t="str">
        <f t="shared" si="60"/>
        <v>(1981,4,'1981.01.24',1,10,33,46,86),</v>
      </c>
    </row>
    <row r="1249" spans="1:18" x14ac:dyDescent="0.25">
      <c r="A1249" s="7" t="s">
        <v>5854</v>
      </c>
      <c r="B1249" s="8" t="s">
        <v>89</v>
      </c>
      <c r="C1249" s="10">
        <f t="shared" si="59"/>
        <v>29617</v>
      </c>
      <c r="D1249" t="s">
        <v>11</v>
      </c>
      <c r="E1249" t="s">
        <v>12</v>
      </c>
      <c r="F1249" t="s">
        <v>11</v>
      </c>
      <c r="G1249" t="s">
        <v>12</v>
      </c>
      <c r="H1249" t="s">
        <v>11</v>
      </c>
      <c r="I1249" t="s">
        <v>12</v>
      </c>
      <c r="J1249" t="s">
        <v>11</v>
      </c>
      <c r="K1249" t="s">
        <v>12</v>
      </c>
      <c r="L1249" s="12" t="s">
        <v>270</v>
      </c>
      <c r="M1249" s="12" t="s">
        <v>31</v>
      </c>
      <c r="N1249" s="12" t="s">
        <v>80</v>
      </c>
      <c r="O1249" s="12" t="s">
        <v>192</v>
      </c>
      <c r="P1249" s="12" t="s">
        <v>269</v>
      </c>
      <c r="Q1249" s="7" t="str">
        <f t="shared" si="58"/>
        <v>(1981,5,'1981.01.31',6,12,32,46,87,0),</v>
      </c>
      <c r="R1249" s="7" t="str">
        <f t="shared" si="60"/>
        <v>(1981,5,'1981.01.31',6,12,32,46,87),</v>
      </c>
    </row>
    <row r="1250" spans="1:18" x14ac:dyDescent="0.25">
      <c r="A1250" s="7" t="s">
        <v>5854</v>
      </c>
      <c r="B1250" s="8" t="s">
        <v>270</v>
      </c>
      <c r="C1250" s="10">
        <f t="shared" si="59"/>
        <v>29624</v>
      </c>
      <c r="D1250" t="s">
        <v>11</v>
      </c>
      <c r="E1250" t="s">
        <v>12</v>
      </c>
      <c r="F1250" t="s">
        <v>11</v>
      </c>
      <c r="G1250" t="s">
        <v>12</v>
      </c>
      <c r="H1250" t="s">
        <v>11</v>
      </c>
      <c r="I1250" t="s">
        <v>12</v>
      </c>
      <c r="J1250" t="s">
        <v>11</v>
      </c>
      <c r="K1250" t="s">
        <v>12</v>
      </c>
      <c r="L1250" s="12" t="s">
        <v>116</v>
      </c>
      <c r="M1250" s="12" t="s">
        <v>142</v>
      </c>
      <c r="N1250" s="12" t="s">
        <v>192</v>
      </c>
      <c r="O1250" s="12" t="s">
        <v>134</v>
      </c>
      <c r="P1250" s="12" t="s">
        <v>239</v>
      </c>
      <c r="Q1250" s="7" t="str">
        <f t="shared" si="58"/>
        <v>(1981,6,'1981.02.07',29,44,46,56,73,0),</v>
      </c>
      <c r="R1250" s="7" t="str">
        <f t="shared" si="60"/>
        <v>(1981,6,'1981.02.07',29,44,46,56,73),</v>
      </c>
    </row>
    <row r="1251" spans="1:18" x14ac:dyDescent="0.25">
      <c r="A1251" s="7" t="s">
        <v>5854</v>
      </c>
      <c r="B1251" s="8" t="s">
        <v>53</v>
      </c>
      <c r="C1251" s="10">
        <f t="shared" si="59"/>
        <v>29631</v>
      </c>
      <c r="D1251" t="s">
        <v>11</v>
      </c>
      <c r="E1251" t="s">
        <v>12</v>
      </c>
      <c r="F1251" t="s">
        <v>11</v>
      </c>
      <c r="G1251" t="s">
        <v>12</v>
      </c>
      <c r="H1251" t="s">
        <v>11</v>
      </c>
      <c r="I1251" t="s">
        <v>12</v>
      </c>
      <c r="J1251" t="s">
        <v>11</v>
      </c>
      <c r="K1251" t="s">
        <v>12</v>
      </c>
      <c r="L1251" s="12" t="s">
        <v>108</v>
      </c>
      <c r="M1251" s="12" t="s">
        <v>25</v>
      </c>
      <c r="N1251" s="12" t="s">
        <v>105</v>
      </c>
      <c r="O1251" s="12" t="s">
        <v>82</v>
      </c>
      <c r="P1251" s="12" t="s">
        <v>151</v>
      </c>
      <c r="Q1251" s="7" t="str">
        <f t="shared" si="58"/>
        <v>(1981,7,'1981.02.14',1,34,50,59,79,0),</v>
      </c>
      <c r="R1251" s="7" t="str">
        <f t="shared" si="60"/>
        <v>(1981,7,'1981.02.14',1,34,50,59,79),</v>
      </c>
    </row>
    <row r="1252" spans="1:18" x14ac:dyDescent="0.25">
      <c r="A1252" s="7" t="s">
        <v>5854</v>
      </c>
      <c r="B1252" s="8" t="s">
        <v>232</v>
      </c>
      <c r="C1252" s="10">
        <f t="shared" si="59"/>
        <v>29638</v>
      </c>
      <c r="D1252" t="s">
        <v>11</v>
      </c>
      <c r="E1252" t="s">
        <v>12</v>
      </c>
      <c r="F1252" t="s">
        <v>11</v>
      </c>
      <c r="G1252" t="s">
        <v>12</v>
      </c>
      <c r="H1252" t="s">
        <v>11</v>
      </c>
      <c r="I1252" t="s">
        <v>12</v>
      </c>
      <c r="J1252" t="s">
        <v>11</v>
      </c>
      <c r="K1252" t="s">
        <v>12</v>
      </c>
      <c r="L1252" s="12" t="s">
        <v>168</v>
      </c>
      <c r="M1252" s="12" t="s">
        <v>62</v>
      </c>
      <c r="N1252" s="12" t="s">
        <v>81</v>
      </c>
      <c r="O1252" s="12" t="s">
        <v>175</v>
      </c>
      <c r="P1252" s="12" t="s">
        <v>143</v>
      </c>
      <c r="Q1252" s="7" t="str">
        <f t="shared" si="58"/>
        <v>(1981,8,'1981.02.21',4,10,47,55,77,0),</v>
      </c>
      <c r="R1252" s="7" t="str">
        <f t="shared" si="60"/>
        <v>(1981,8,'1981.02.21',4,10,47,55,77),</v>
      </c>
    </row>
    <row r="1253" spans="1:18" x14ac:dyDescent="0.25">
      <c r="A1253" s="7" t="s">
        <v>5854</v>
      </c>
      <c r="B1253" s="8" t="s">
        <v>198</v>
      </c>
      <c r="C1253" s="10">
        <f t="shared" si="59"/>
        <v>29645</v>
      </c>
      <c r="D1253" t="s">
        <v>11</v>
      </c>
      <c r="E1253" t="s">
        <v>12</v>
      </c>
      <c r="F1253" t="s">
        <v>11</v>
      </c>
      <c r="G1253" t="s">
        <v>12</v>
      </c>
      <c r="H1253" t="s">
        <v>11</v>
      </c>
      <c r="I1253" t="s">
        <v>12</v>
      </c>
      <c r="J1253" t="s">
        <v>11</v>
      </c>
      <c r="K1253" t="s">
        <v>12</v>
      </c>
      <c r="L1253" s="12" t="s">
        <v>13</v>
      </c>
      <c r="M1253" s="12" t="s">
        <v>99</v>
      </c>
      <c r="N1253" s="12" t="s">
        <v>123</v>
      </c>
      <c r="O1253" s="12" t="s">
        <v>175</v>
      </c>
      <c r="P1253" s="12" t="s">
        <v>269</v>
      </c>
      <c r="Q1253" s="7" t="str">
        <f t="shared" si="58"/>
        <v>(1981,9,'1981.02.28',41,52,54,55,87,0),</v>
      </c>
      <c r="R1253" s="7" t="str">
        <f t="shared" si="60"/>
        <v>(1981,9,'1981.02.28',41,52,54,55,87),</v>
      </c>
    </row>
    <row r="1254" spans="1:18" x14ac:dyDescent="0.25">
      <c r="A1254" s="7" t="s">
        <v>5854</v>
      </c>
      <c r="B1254" s="8" t="s">
        <v>62</v>
      </c>
      <c r="C1254" s="10">
        <f t="shared" si="59"/>
        <v>29652</v>
      </c>
      <c r="D1254" t="s">
        <v>11</v>
      </c>
      <c r="E1254" t="s">
        <v>12</v>
      </c>
      <c r="F1254" t="s">
        <v>11</v>
      </c>
      <c r="G1254" t="s">
        <v>12</v>
      </c>
      <c r="H1254" t="s">
        <v>11</v>
      </c>
      <c r="I1254" t="s">
        <v>12</v>
      </c>
      <c r="J1254" t="s">
        <v>11</v>
      </c>
      <c r="K1254" t="s">
        <v>12</v>
      </c>
      <c r="L1254" s="12" t="s">
        <v>127</v>
      </c>
      <c r="M1254" s="12" t="s">
        <v>115</v>
      </c>
      <c r="N1254" s="12" t="s">
        <v>71</v>
      </c>
      <c r="O1254" s="12" t="s">
        <v>239</v>
      </c>
      <c r="P1254" s="12" t="s">
        <v>308</v>
      </c>
      <c r="Q1254" s="7" t="str">
        <f t="shared" si="58"/>
        <v>(1981,10,'1981.03.07',14,20,31,73,86,0),</v>
      </c>
      <c r="R1254" s="7" t="str">
        <f t="shared" si="60"/>
        <v>(1981,10,'1981.03.07',14,20,31,73,86),</v>
      </c>
    </row>
    <row r="1255" spans="1:18" x14ac:dyDescent="0.25">
      <c r="A1255" s="7" t="s">
        <v>5854</v>
      </c>
      <c r="B1255" s="8" t="s">
        <v>83</v>
      </c>
      <c r="C1255" s="10">
        <f t="shared" si="59"/>
        <v>29659</v>
      </c>
      <c r="D1255" t="s">
        <v>11</v>
      </c>
      <c r="E1255" t="s">
        <v>12</v>
      </c>
      <c r="F1255" t="s">
        <v>11</v>
      </c>
      <c r="G1255" t="s">
        <v>12</v>
      </c>
      <c r="H1255" t="s">
        <v>11</v>
      </c>
      <c r="I1255" t="s">
        <v>12</v>
      </c>
      <c r="J1255" t="s">
        <v>11</v>
      </c>
      <c r="K1255" t="s">
        <v>12</v>
      </c>
      <c r="L1255" s="12" t="s">
        <v>168</v>
      </c>
      <c r="M1255" s="12" t="s">
        <v>232</v>
      </c>
      <c r="N1255" s="12" t="s">
        <v>163</v>
      </c>
      <c r="O1255" s="12" t="s">
        <v>81</v>
      </c>
      <c r="P1255" s="12" t="s">
        <v>468</v>
      </c>
      <c r="Q1255" s="7" t="str">
        <f t="shared" si="58"/>
        <v>(1981,11,'1981.03.14',4,8,23,47,85,0),</v>
      </c>
      <c r="R1255" s="7" t="str">
        <f t="shared" si="60"/>
        <v>(1981,11,'1981.03.14',4,8,23,47,85),</v>
      </c>
    </row>
    <row r="1256" spans="1:18" x14ac:dyDescent="0.25">
      <c r="A1256" s="7" t="s">
        <v>5854</v>
      </c>
      <c r="B1256" s="8" t="s">
        <v>31</v>
      </c>
      <c r="C1256" s="10">
        <f t="shared" si="59"/>
        <v>29666</v>
      </c>
      <c r="D1256" t="s">
        <v>11</v>
      </c>
      <c r="E1256" t="s">
        <v>12</v>
      </c>
      <c r="F1256" t="s">
        <v>11</v>
      </c>
      <c r="G1256" t="s">
        <v>12</v>
      </c>
      <c r="H1256" t="s">
        <v>11</v>
      </c>
      <c r="I1256" t="s">
        <v>12</v>
      </c>
      <c r="J1256" t="s">
        <v>11</v>
      </c>
      <c r="K1256" t="s">
        <v>12</v>
      </c>
      <c r="L1256" s="12" t="s">
        <v>54</v>
      </c>
      <c r="M1256" s="12" t="s">
        <v>214</v>
      </c>
      <c r="N1256" s="12" t="s">
        <v>239</v>
      </c>
      <c r="O1256" s="12" t="s">
        <v>151</v>
      </c>
      <c r="P1256" s="12" t="s">
        <v>622</v>
      </c>
      <c r="Q1256" s="7" t="str">
        <f t="shared" si="58"/>
        <v>(1981,12,'1981.03.21',15,64,73,79,82,0),</v>
      </c>
      <c r="R1256" s="7" t="str">
        <f t="shared" si="60"/>
        <v>(1981,12,'1981.03.21',15,64,73,79,82),</v>
      </c>
    </row>
    <row r="1257" spans="1:18" x14ac:dyDescent="0.25">
      <c r="A1257" s="7" t="s">
        <v>5854</v>
      </c>
      <c r="B1257" s="8" t="s">
        <v>65</v>
      </c>
      <c r="C1257" s="10">
        <f t="shared" si="59"/>
        <v>29673</v>
      </c>
      <c r="D1257" t="s">
        <v>11</v>
      </c>
      <c r="E1257" t="s">
        <v>12</v>
      </c>
      <c r="F1257" t="s">
        <v>11</v>
      </c>
      <c r="G1257" t="s">
        <v>12</v>
      </c>
      <c r="H1257" t="s">
        <v>11</v>
      </c>
      <c r="I1257" t="s">
        <v>12</v>
      </c>
      <c r="J1257" t="s">
        <v>11</v>
      </c>
      <c r="K1257" t="s">
        <v>12</v>
      </c>
      <c r="L1257" s="12" t="s">
        <v>31</v>
      </c>
      <c r="M1257" s="12" t="s">
        <v>55</v>
      </c>
      <c r="N1257" s="12" t="s">
        <v>24</v>
      </c>
      <c r="O1257" s="12" t="s">
        <v>142</v>
      </c>
      <c r="P1257" s="12" t="s">
        <v>186</v>
      </c>
      <c r="Q1257" s="7" t="str">
        <f t="shared" si="58"/>
        <v>(1981,13,'1981.03.28',12,19,39,44,90,0),</v>
      </c>
      <c r="R1257" s="7" t="str">
        <f t="shared" si="60"/>
        <v>(1981,13,'1981.03.28',12,19,39,44,90),</v>
      </c>
    </row>
    <row r="1258" spans="1:18" x14ac:dyDescent="0.25">
      <c r="A1258" s="7" t="s">
        <v>5854</v>
      </c>
      <c r="B1258" s="8" t="s">
        <v>127</v>
      </c>
      <c r="C1258" s="10">
        <f t="shared" si="59"/>
        <v>29680</v>
      </c>
      <c r="D1258" t="s">
        <v>11</v>
      </c>
      <c r="E1258" t="s">
        <v>12</v>
      </c>
      <c r="F1258" t="s">
        <v>11</v>
      </c>
      <c r="G1258" t="s">
        <v>12</v>
      </c>
      <c r="H1258" t="s">
        <v>11</v>
      </c>
      <c r="I1258" t="s">
        <v>12</v>
      </c>
      <c r="J1258" t="s">
        <v>11</v>
      </c>
      <c r="K1258" t="s">
        <v>12</v>
      </c>
      <c r="L1258" s="12" t="s">
        <v>198</v>
      </c>
      <c r="M1258" s="12" t="s">
        <v>127</v>
      </c>
      <c r="N1258" s="12" t="s">
        <v>135</v>
      </c>
      <c r="O1258" s="12" t="s">
        <v>107</v>
      </c>
      <c r="P1258" s="12" t="s">
        <v>47</v>
      </c>
      <c r="Q1258" s="7" t="str">
        <f t="shared" si="58"/>
        <v>(1981,14,'1981.04.04',9,14,27,30,69,0),</v>
      </c>
      <c r="R1258" s="7" t="str">
        <f t="shared" si="60"/>
        <v>(1981,14,'1981.04.04',9,14,27,30,69),</v>
      </c>
    </row>
    <row r="1259" spans="1:18" x14ac:dyDescent="0.25">
      <c r="A1259" s="7" t="s">
        <v>5854</v>
      </c>
      <c r="B1259" s="8" t="s">
        <v>54</v>
      </c>
      <c r="C1259" s="10">
        <f t="shared" si="59"/>
        <v>29687</v>
      </c>
      <c r="D1259" t="s">
        <v>11</v>
      </c>
      <c r="E1259" t="s">
        <v>12</v>
      </c>
      <c r="F1259" t="s">
        <v>11</v>
      </c>
      <c r="G1259" t="s">
        <v>12</v>
      </c>
      <c r="H1259" t="s">
        <v>11</v>
      </c>
      <c r="I1259" t="s">
        <v>12</v>
      </c>
      <c r="J1259" t="s">
        <v>11</v>
      </c>
      <c r="K1259" t="s">
        <v>12</v>
      </c>
      <c r="L1259" s="12" t="s">
        <v>54</v>
      </c>
      <c r="M1259" s="12" t="s">
        <v>135</v>
      </c>
      <c r="N1259" s="12" t="s">
        <v>10</v>
      </c>
      <c r="O1259" s="12" t="s">
        <v>81</v>
      </c>
      <c r="P1259" s="12" t="s">
        <v>73</v>
      </c>
      <c r="Q1259" s="7" t="str">
        <f t="shared" si="58"/>
        <v>(1981,15,'1981.04.11',15,27,40,47,76,0),</v>
      </c>
      <c r="R1259" s="7" t="str">
        <f t="shared" si="60"/>
        <v>(1981,15,'1981.04.11',15,27,40,47,76),</v>
      </c>
    </row>
    <row r="1260" spans="1:18" x14ac:dyDescent="0.25">
      <c r="A1260" s="7" t="s">
        <v>5854</v>
      </c>
      <c r="B1260" s="8" t="s">
        <v>43</v>
      </c>
      <c r="C1260" s="10">
        <f t="shared" si="59"/>
        <v>29694</v>
      </c>
      <c r="D1260" t="s">
        <v>11</v>
      </c>
      <c r="E1260" t="s">
        <v>12</v>
      </c>
      <c r="F1260" t="s">
        <v>11</v>
      </c>
      <c r="G1260" t="s">
        <v>12</v>
      </c>
      <c r="H1260" t="s">
        <v>11</v>
      </c>
      <c r="I1260" t="s">
        <v>12</v>
      </c>
      <c r="J1260" t="s">
        <v>11</v>
      </c>
      <c r="K1260" t="s">
        <v>12</v>
      </c>
      <c r="L1260" s="12" t="s">
        <v>53</v>
      </c>
      <c r="M1260" s="12" t="s">
        <v>80</v>
      </c>
      <c r="N1260" s="12" t="s">
        <v>23</v>
      </c>
      <c r="O1260" s="12" t="s">
        <v>91</v>
      </c>
      <c r="P1260" s="12" t="s">
        <v>379</v>
      </c>
      <c r="Q1260" s="7" t="str">
        <f t="shared" si="58"/>
        <v>(1981,16,'1981.04.18',7,32,60,61,89,0),</v>
      </c>
      <c r="R1260" s="7" t="str">
        <f t="shared" si="60"/>
        <v>(1981,16,'1981.04.18',7,32,60,61,89),</v>
      </c>
    </row>
    <row r="1261" spans="1:18" x14ac:dyDescent="0.25">
      <c r="A1261" s="7" t="s">
        <v>5854</v>
      </c>
      <c r="B1261" s="8" t="s">
        <v>90</v>
      </c>
      <c r="C1261" s="10">
        <f t="shared" si="59"/>
        <v>29701</v>
      </c>
      <c r="D1261" t="s">
        <v>11</v>
      </c>
      <c r="E1261" t="s">
        <v>12</v>
      </c>
      <c r="F1261" t="s">
        <v>11</v>
      </c>
      <c r="G1261" t="s">
        <v>12</v>
      </c>
      <c r="H1261" t="s">
        <v>11</v>
      </c>
      <c r="I1261" t="s">
        <v>12</v>
      </c>
      <c r="J1261" t="s">
        <v>11</v>
      </c>
      <c r="K1261" t="s">
        <v>12</v>
      </c>
      <c r="L1261" s="12" t="s">
        <v>198</v>
      </c>
      <c r="M1261" s="12" t="s">
        <v>62</v>
      </c>
      <c r="N1261" s="12" t="s">
        <v>32</v>
      </c>
      <c r="O1261" s="12" t="s">
        <v>23</v>
      </c>
      <c r="P1261" s="12" t="s">
        <v>269</v>
      </c>
      <c r="Q1261" s="7" t="str">
        <f t="shared" si="58"/>
        <v>(1981,17,'1981.04.25',9,10,22,60,87,0),</v>
      </c>
      <c r="R1261" s="7" t="str">
        <f t="shared" si="60"/>
        <v>(1981,17,'1981.04.25',9,10,22,60,87),</v>
      </c>
    </row>
    <row r="1262" spans="1:18" x14ac:dyDescent="0.25">
      <c r="A1262" s="7" t="s">
        <v>5854</v>
      </c>
      <c r="B1262" s="8" t="s">
        <v>19</v>
      </c>
      <c r="C1262" s="10">
        <f t="shared" si="59"/>
        <v>29708</v>
      </c>
      <c r="D1262" t="s">
        <v>11</v>
      </c>
      <c r="E1262" t="s">
        <v>12</v>
      </c>
      <c r="F1262" t="s">
        <v>11</v>
      </c>
      <c r="G1262" t="s">
        <v>12</v>
      </c>
      <c r="H1262" t="s">
        <v>11</v>
      </c>
      <c r="I1262" t="s">
        <v>12</v>
      </c>
      <c r="J1262" t="s">
        <v>11</v>
      </c>
      <c r="K1262" t="s">
        <v>12</v>
      </c>
      <c r="L1262" s="12" t="s">
        <v>168</v>
      </c>
      <c r="M1262" s="12" t="s">
        <v>127</v>
      </c>
      <c r="N1262" s="12" t="s">
        <v>55</v>
      </c>
      <c r="O1262" s="12" t="s">
        <v>192</v>
      </c>
      <c r="P1262" s="12" t="s">
        <v>201</v>
      </c>
      <c r="Q1262" s="7" t="str">
        <f t="shared" si="58"/>
        <v>(1981,18,'1981.05.02',4,14,19,46,72,0),</v>
      </c>
      <c r="R1262" s="7" t="str">
        <f t="shared" si="60"/>
        <v>(1981,18,'1981.05.02',4,14,19,46,72),</v>
      </c>
    </row>
    <row r="1263" spans="1:18" x14ac:dyDescent="0.25">
      <c r="A1263" s="7" t="s">
        <v>5854</v>
      </c>
      <c r="B1263" s="8" t="s">
        <v>55</v>
      </c>
      <c r="C1263" s="10">
        <f t="shared" si="59"/>
        <v>29715</v>
      </c>
      <c r="D1263" t="s">
        <v>11</v>
      </c>
      <c r="E1263" t="s">
        <v>12</v>
      </c>
      <c r="F1263" t="s">
        <v>11</v>
      </c>
      <c r="G1263" t="s">
        <v>12</v>
      </c>
      <c r="H1263" t="s">
        <v>11</v>
      </c>
      <c r="I1263" t="s">
        <v>12</v>
      </c>
      <c r="J1263" t="s">
        <v>11</v>
      </c>
      <c r="K1263" t="s">
        <v>12</v>
      </c>
      <c r="L1263" s="12" t="s">
        <v>65</v>
      </c>
      <c r="M1263" s="12" t="s">
        <v>163</v>
      </c>
      <c r="N1263" s="12" t="s">
        <v>36</v>
      </c>
      <c r="O1263" s="12" t="s">
        <v>133</v>
      </c>
      <c r="P1263" s="12" t="s">
        <v>22</v>
      </c>
      <c r="Q1263" s="7" t="str">
        <f t="shared" si="58"/>
        <v>(1981,19,'1981.05.09',13,23,38,45,48,0),</v>
      </c>
      <c r="R1263" s="7" t="str">
        <f t="shared" si="60"/>
        <v>(1981,19,'1981.05.09',13,23,38,45,48),</v>
      </c>
    </row>
    <row r="1264" spans="1:18" x14ac:dyDescent="0.25">
      <c r="A1264" s="7" t="s">
        <v>5854</v>
      </c>
      <c r="B1264" s="8" t="s">
        <v>115</v>
      </c>
      <c r="C1264" s="10">
        <f t="shared" si="59"/>
        <v>29722</v>
      </c>
      <c r="D1264" t="s">
        <v>11</v>
      </c>
      <c r="E1264" t="s">
        <v>12</v>
      </c>
      <c r="F1264" t="s">
        <v>11</v>
      </c>
      <c r="G1264" t="s">
        <v>12</v>
      </c>
      <c r="H1264" t="s">
        <v>11</v>
      </c>
      <c r="I1264" t="s">
        <v>12</v>
      </c>
      <c r="J1264" t="s">
        <v>11</v>
      </c>
      <c r="K1264" t="s">
        <v>12</v>
      </c>
      <c r="L1264" s="12" t="s">
        <v>168</v>
      </c>
      <c r="M1264" s="12" t="s">
        <v>43</v>
      </c>
      <c r="N1264" s="12" t="s">
        <v>126</v>
      </c>
      <c r="O1264" s="12" t="s">
        <v>91</v>
      </c>
      <c r="P1264" s="12" t="s">
        <v>124</v>
      </c>
      <c r="Q1264" s="7" t="str">
        <f t="shared" si="58"/>
        <v>(1981,20,'1981.05.16',4,16,28,61,62,0),</v>
      </c>
      <c r="R1264" s="7" t="str">
        <f t="shared" si="60"/>
        <v>(1981,20,'1981.05.16',4,16,28,61,62),</v>
      </c>
    </row>
    <row r="1265" spans="1:18" x14ac:dyDescent="0.25">
      <c r="A1265" s="7" t="s">
        <v>5854</v>
      </c>
      <c r="B1265" s="8" t="s">
        <v>44</v>
      </c>
      <c r="C1265" s="10">
        <f t="shared" si="59"/>
        <v>29729</v>
      </c>
      <c r="D1265" t="s">
        <v>11</v>
      </c>
      <c r="E1265" t="s">
        <v>12</v>
      </c>
      <c r="F1265" t="s">
        <v>11</v>
      </c>
      <c r="G1265" t="s">
        <v>12</v>
      </c>
      <c r="H1265" t="s">
        <v>11</v>
      </c>
      <c r="I1265" t="s">
        <v>12</v>
      </c>
      <c r="J1265" t="s">
        <v>11</v>
      </c>
      <c r="K1265" t="s">
        <v>12</v>
      </c>
      <c r="L1265" s="12" t="s">
        <v>54</v>
      </c>
      <c r="M1265" s="12" t="s">
        <v>33</v>
      </c>
      <c r="N1265" s="12" t="s">
        <v>80</v>
      </c>
      <c r="O1265" s="12" t="s">
        <v>20</v>
      </c>
      <c r="P1265" s="12" t="s">
        <v>72</v>
      </c>
      <c r="Q1265" s="7" t="str">
        <f t="shared" si="58"/>
        <v>(1981,21,'1981.05.23',15,24,32,33,67,0),</v>
      </c>
      <c r="R1265" s="7" t="str">
        <f t="shared" si="60"/>
        <v>(1981,21,'1981.05.23',15,24,32,33,67),</v>
      </c>
    </row>
    <row r="1266" spans="1:18" x14ac:dyDescent="0.25">
      <c r="A1266" s="7" t="s">
        <v>5854</v>
      </c>
      <c r="B1266" s="8" t="s">
        <v>32</v>
      </c>
      <c r="C1266" s="10">
        <f t="shared" si="59"/>
        <v>29736</v>
      </c>
      <c r="D1266" t="s">
        <v>11</v>
      </c>
      <c r="E1266" t="s">
        <v>12</v>
      </c>
      <c r="F1266" t="s">
        <v>11</v>
      </c>
      <c r="G1266" t="s">
        <v>12</v>
      </c>
      <c r="H1266" t="s">
        <v>11</v>
      </c>
      <c r="I1266" t="s">
        <v>12</v>
      </c>
      <c r="J1266" t="s">
        <v>11</v>
      </c>
      <c r="K1266" t="s">
        <v>12</v>
      </c>
      <c r="L1266" s="12" t="s">
        <v>83</v>
      </c>
      <c r="M1266" s="12" t="s">
        <v>33</v>
      </c>
      <c r="N1266" s="12" t="s">
        <v>192</v>
      </c>
      <c r="O1266" s="12" t="s">
        <v>34</v>
      </c>
      <c r="P1266" s="12" t="s">
        <v>23</v>
      </c>
      <c r="Q1266" s="7" t="str">
        <f t="shared" si="58"/>
        <v>(1981,22,'1981.05.30',11,24,46,49,60,0),</v>
      </c>
      <c r="R1266" s="7" t="str">
        <f t="shared" si="60"/>
        <v>(1981,22,'1981.05.30',11,24,46,49,60),</v>
      </c>
    </row>
    <row r="1267" spans="1:18" x14ac:dyDescent="0.25">
      <c r="A1267" s="7" t="s">
        <v>5854</v>
      </c>
      <c r="B1267" s="8" t="s">
        <v>163</v>
      </c>
      <c r="C1267" s="10">
        <f t="shared" si="59"/>
        <v>29743</v>
      </c>
      <c r="D1267" t="s">
        <v>11</v>
      </c>
      <c r="E1267" t="s">
        <v>12</v>
      </c>
      <c r="F1267" t="s">
        <v>11</v>
      </c>
      <c r="G1267" t="s">
        <v>12</v>
      </c>
      <c r="H1267" t="s">
        <v>11</v>
      </c>
      <c r="I1267" t="s">
        <v>12</v>
      </c>
      <c r="J1267" t="s">
        <v>11</v>
      </c>
      <c r="K1267" t="s">
        <v>12</v>
      </c>
      <c r="L1267" s="12" t="s">
        <v>207</v>
      </c>
      <c r="M1267" s="12" t="s">
        <v>54</v>
      </c>
      <c r="N1267" s="12" t="s">
        <v>152</v>
      </c>
      <c r="O1267" s="12" t="s">
        <v>80</v>
      </c>
      <c r="P1267" s="12" t="s">
        <v>46</v>
      </c>
      <c r="Q1267" s="7" t="str">
        <f t="shared" si="58"/>
        <v>(1981,23,'1981.06.06',2,15,25,32,37,0),</v>
      </c>
      <c r="R1267" s="7" t="str">
        <f t="shared" si="60"/>
        <v>(1981,23,'1981.06.06',2,15,25,32,37),</v>
      </c>
    </row>
    <row r="1268" spans="1:18" x14ac:dyDescent="0.25">
      <c r="A1268" s="7" t="s">
        <v>5854</v>
      </c>
      <c r="B1268" s="8" t="s">
        <v>33</v>
      </c>
      <c r="C1268" s="10">
        <f t="shared" si="59"/>
        <v>29750</v>
      </c>
      <c r="D1268" t="s">
        <v>11</v>
      </c>
      <c r="E1268" t="s">
        <v>12</v>
      </c>
      <c r="F1268" t="s">
        <v>11</v>
      </c>
      <c r="G1268" t="s">
        <v>12</v>
      </c>
      <c r="H1268" t="s">
        <v>11</v>
      </c>
      <c r="I1268" t="s">
        <v>12</v>
      </c>
      <c r="J1268" t="s">
        <v>11</v>
      </c>
      <c r="K1268" t="s">
        <v>12</v>
      </c>
      <c r="L1268" s="12" t="s">
        <v>42</v>
      </c>
      <c r="M1268" s="12" t="s">
        <v>169</v>
      </c>
      <c r="N1268" s="12" t="s">
        <v>124</v>
      </c>
      <c r="O1268" s="12" t="s">
        <v>151</v>
      </c>
      <c r="P1268" s="12" t="s">
        <v>301</v>
      </c>
      <c r="Q1268" s="7" t="str">
        <f t="shared" si="58"/>
        <v>(1981,24,'1981.06.13',3,58,62,79,80,0),</v>
      </c>
      <c r="R1268" s="7" t="str">
        <f t="shared" si="60"/>
        <v>(1981,24,'1981.06.13',3,58,62,79,80),</v>
      </c>
    </row>
    <row r="1269" spans="1:18" x14ac:dyDescent="0.25">
      <c r="A1269" s="7" t="s">
        <v>5854</v>
      </c>
      <c r="B1269" s="8" t="s">
        <v>152</v>
      </c>
      <c r="C1269" s="10">
        <f t="shared" si="59"/>
        <v>29757</v>
      </c>
      <c r="D1269" t="s">
        <v>11</v>
      </c>
      <c r="E1269" t="s">
        <v>12</v>
      </c>
      <c r="F1269" t="s">
        <v>11</v>
      </c>
      <c r="G1269" t="s">
        <v>12</v>
      </c>
      <c r="H1269" t="s">
        <v>11</v>
      </c>
      <c r="I1269" t="s">
        <v>12</v>
      </c>
      <c r="J1269" t="s">
        <v>11</v>
      </c>
      <c r="K1269" t="s">
        <v>12</v>
      </c>
      <c r="L1269" s="12" t="s">
        <v>232</v>
      </c>
      <c r="M1269" s="12" t="s">
        <v>133</v>
      </c>
      <c r="N1269" s="12" t="s">
        <v>192</v>
      </c>
      <c r="O1269" s="12" t="s">
        <v>123</v>
      </c>
      <c r="P1269" s="12" t="s">
        <v>82</v>
      </c>
      <c r="Q1269" s="7" t="str">
        <f t="shared" si="58"/>
        <v>(1981,25,'1981.06.20',8,45,46,54,59,0),</v>
      </c>
      <c r="R1269" s="7" t="str">
        <f t="shared" si="60"/>
        <v>(1981,25,'1981.06.20',8,45,46,54,59),</v>
      </c>
    </row>
    <row r="1270" spans="1:18" x14ac:dyDescent="0.25">
      <c r="A1270" s="7" t="s">
        <v>5854</v>
      </c>
      <c r="B1270" s="8" t="s">
        <v>74</v>
      </c>
      <c r="C1270" s="10">
        <f t="shared" si="59"/>
        <v>29764</v>
      </c>
      <c r="D1270" t="s">
        <v>11</v>
      </c>
      <c r="E1270" t="s">
        <v>12</v>
      </c>
      <c r="F1270" t="s">
        <v>11</v>
      </c>
      <c r="G1270" t="s">
        <v>12</v>
      </c>
      <c r="H1270" t="s">
        <v>11</v>
      </c>
      <c r="I1270" t="s">
        <v>12</v>
      </c>
      <c r="J1270" t="s">
        <v>11</v>
      </c>
      <c r="K1270" t="s">
        <v>12</v>
      </c>
      <c r="L1270" s="12" t="s">
        <v>81</v>
      </c>
      <c r="M1270" s="12" t="s">
        <v>99</v>
      </c>
      <c r="N1270" s="12" t="s">
        <v>150</v>
      </c>
      <c r="O1270" s="12" t="s">
        <v>468</v>
      </c>
      <c r="P1270" s="12" t="s">
        <v>186</v>
      </c>
      <c r="Q1270" s="7" t="str">
        <f t="shared" si="58"/>
        <v>(1981,26,'1981.06.27',47,52,57,85,90,0),</v>
      </c>
      <c r="R1270" s="7" t="str">
        <f t="shared" si="60"/>
        <v>(1981,26,'1981.06.27',47,52,57,85,90),</v>
      </c>
    </row>
    <row r="1271" spans="1:18" x14ac:dyDescent="0.25">
      <c r="A1271" s="7" t="s">
        <v>5854</v>
      </c>
      <c r="B1271" s="8" t="s">
        <v>135</v>
      </c>
      <c r="C1271" s="10">
        <f t="shared" si="59"/>
        <v>29771</v>
      </c>
      <c r="D1271" t="s">
        <v>11</v>
      </c>
      <c r="E1271" t="s">
        <v>12</v>
      </c>
      <c r="F1271" t="s">
        <v>11</v>
      </c>
      <c r="G1271" t="s">
        <v>12</v>
      </c>
      <c r="H1271" t="s">
        <v>11</v>
      </c>
      <c r="I1271" t="s">
        <v>12</v>
      </c>
      <c r="J1271" t="s">
        <v>11</v>
      </c>
      <c r="K1271" t="s">
        <v>12</v>
      </c>
      <c r="L1271" s="12" t="s">
        <v>232</v>
      </c>
      <c r="M1271" s="12" t="s">
        <v>64</v>
      </c>
      <c r="N1271" s="12" t="s">
        <v>36</v>
      </c>
      <c r="O1271" s="12" t="s">
        <v>142</v>
      </c>
      <c r="P1271" s="12" t="s">
        <v>105</v>
      </c>
      <c r="Q1271" s="7" t="str">
        <f t="shared" si="58"/>
        <v>(1981,27,'1981.07.04',8,35,38,44,50,0),</v>
      </c>
      <c r="R1271" s="7" t="str">
        <f t="shared" si="60"/>
        <v>(1981,27,'1981.07.04',8,35,38,44,50),</v>
      </c>
    </row>
    <row r="1272" spans="1:18" x14ac:dyDescent="0.25">
      <c r="A1272" s="7" t="s">
        <v>5854</v>
      </c>
      <c r="B1272" s="8" t="s">
        <v>126</v>
      </c>
      <c r="C1272" s="10">
        <f t="shared" si="59"/>
        <v>29778</v>
      </c>
      <c r="D1272" t="s">
        <v>11</v>
      </c>
      <c r="E1272" t="s">
        <v>12</v>
      </c>
      <c r="F1272" t="s">
        <v>11</v>
      </c>
      <c r="G1272" t="s">
        <v>12</v>
      </c>
      <c r="H1272" t="s">
        <v>11</v>
      </c>
      <c r="I1272" t="s">
        <v>12</v>
      </c>
      <c r="J1272" t="s">
        <v>11</v>
      </c>
      <c r="K1272" t="s">
        <v>12</v>
      </c>
      <c r="L1272" s="12" t="s">
        <v>19</v>
      </c>
      <c r="M1272" s="12" t="s">
        <v>55</v>
      </c>
      <c r="N1272" s="12" t="s">
        <v>135</v>
      </c>
      <c r="O1272" s="12" t="s">
        <v>123</v>
      </c>
      <c r="P1272" s="12" t="s">
        <v>134</v>
      </c>
      <c r="Q1272" s="7" t="str">
        <f t="shared" si="58"/>
        <v>(1981,28,'1981.07.11',18,19,27,54,56,0),</v>
      </c>
      <c r="R1272" s="7" t="str">
        <f t="shared" si="60"/>
        <v>(1981,28,'1981.07.11',18,19,27,54,56),</v>
      </c>
    </row>
    <row r="1273" spans="1:18" x14ac:dyDescent="0.25">
      <c r="A1273" s="7" t="s">
        <v>5854</v>
      </c>
      <c r="B1273" s="8" t="s">
        <v>116</v>
      </c>
      <c r="C1273" s="10">
        <f t="shared" si="59"/>
        <v>29785</v>
      </c>
      <c r="D1273" t="s">
        <v>11</v>
      </c>
      <c r="E1273" t="s">
        <v>12</v>
      </c>
      <c r="F1273" t="s">
        <v>11</v>
      </c>
      <c r="G1273" t="s">
        <v>12</v>
      </c>
      <c r="H1273" t="s">
        <v>11</v>
      </c>
      <c r="I1273" t="s">
        <v>12</v>
      </c>
      <c r="J1273" t="s">
        <v>11</v>
      </c>
      <c r="K1273" t="s">
        <v>12</v>
      </c>
      <c r="L1273" s="12" t="s">
        <v>21</v>
      </c>
      <c r="M1273" s="12" t="s">
        <v>10</v>
      </c>
      <c r="N1273" s="12" t="s">
        <v>133</v>
      </c>
      <c r="O1273" s="12" t="s">
        <v>134</v>
      </c>
      <c r="P1273" s="12" t="s">
        <v>215</v>
      </c>
      <c r="Q1273" s="7" t="str">
        <f t="shared" si="58"/>
        <v>(1981,29,'1981.07.18',36,40,45,56,81,0),</v>
      </c>
      <c r="R1273" s="7" t="str">
        <f t="shared" si="60"/>
        <v>(1981,29,'1981.07.18',36,40,45,56,81),</v>
      </c>
    </row>
    <row r="1274" spans="1:18" x14ac:dyDescent="0.25">
      <c r="A1274" s="7" t="s">
        <v>5854</v>
      </c>
      <c r="B1274" s="8" t="s">
        <v>107</v>
      </c>
      <c r="C1274" s="10">
        <f t="shared" si="59"/>
        <v>29792</v>
      </c>
      <c r="D1274" t="s">
        <v>11</v>
      </c>
      <c r="E1274" t="s">
        <v>12</v>
      </c>
      <c r="F1274" t="s">
        <v>11</v>
      </c>
      <c r="G1274" t="s">
        <v>12</v>
      </c>
      <c r="H1274" t="s">
        <v>11</v>
      </c>
      <c r="I1274" t="s">
        <v>12</v>
      </c>
      <c r="J1274" t="s">
        <v>11</v>
      </c>
      <c r="K1274" t="s">
        <v>12</v>
      </c>
      <c r="L1274" s="12" t="s">
        <v>42</v>
      </c>
      <c r="M1274" s="12" t="s">
        <v>192</v>
      </c>
      <c r="N1274" s="12" t="s">
        <v>245</v>
      </c>
      <c r="O1274" s="12" t="s">
        <v>73</v>
      </c>
      <c r="P1274" s="12" t="s">
        <v>269</v>
      </c>
      <c r="Q1274" s="7" t="str">
        <f t="shared" si="58"/>
        <v>(1981,30,'1981.07.25',3,46,74,76,87,0),</v>
      </c>
      <c r="R1274" s="7" t="str">
        <f t="shared" si="60"/>
        <v>(1981,30,'1981.07.25',3,46,74,76,87),</v>
      </c>
    </row>
    <row r="1275" spans="1:18" x14ac:dyDescent="0.25">
      <c r="A1275" s="7" t="s">
        <v>5854</v>
      </c>
      <c r="B1275" s="8" t="s">
        <v>71</v>
      </c>
      <c r="C1275" s="10">
        <f t="shared" si="59"/>
        <v>29799</v>
      </c>
      <c r="D1275" t="s">
        <v>11</v>
      </c>
      <c r="E1275" t="s">
        <v>12</v>
      </c>
      <c r="F1275" t="s">
        <v>11</v>
      </c>
      <c r="G1275" t="s">
        <v>12</v>
      </c>
      <c r="H1275" t="s">
        <v>11</v>
      </c>
      <c r="I1275" t="s">
        <v>12</v>
      </c>
      <c r="J1275" t="s">
        <v>11</v>
      </c>
      <c r="K1275" t="s">
        <v>12</v>
      </c>
      <c r="L1275" s="12" t="s">
        <v>55</v>
      </c>
      <c r="M1275" s="12" t="s">
        <v>44</v>
      </c>
      <c r="N1275" s="12" t="s">
        <v>135</v>
      </c>
      <c r="O1275" s="12" t="s">
        <v>22</v>
      </c>
      <c r="P1275" s="12" t="s">
        <v>215</v>
      </c>
      <c r="Q1275" s="7" t="str">
        <f t="shared" si="58"/>
        <v>(1981,31,'1981.08.01',19,21,27,48,81,0),</v>
      </c>
      <c r="R1275" s="7" t="str">
        <f t="shared" si="60"/>
        <v>(1981,31,'1981.08.01',19,21,27,48,81),</v>
      </c>
    </row>
    <row r="1276" spans="1:18" x14ac:dyDescent="0.25">
      <c r="A1276" s="7" t="s">
        <v>5854</v>
      </c>
      <c r="B1276" s="8" t="s">
        <v>80</v>
      </c>
      <c r="C1276" s="10">
        <f t="shared" si="59"/>
        <v>29806</v>
      </c>
      <c r="D1276" t="s">
        <v>11</v>
      </c>
      <c r="E1276" t="s">
        <v>12</v>
      </c>
      <c r="F1276" t="s">
        <v>11</v>
      </c>
      <c r="G1276" t="s">
        <v>12</v>
      </c>
      <c r="H1276" t="s">
        <v>11</v>
      </c>
      <c r="I1276" t="s">
        <v>12</v>
      </c>
      <c r="J1276" t="s">
        <v>11</v>
      </c>
      <c r="K1276" t="s">
        <v>12</v>
      </c>
      <c r="L1276" s="12" t="s">
        <v>133</v>
      </c>
      <c r="M1276" s="12" t="s">
        <v>81</v>
      </c>
      <c r="N1276" s="12" t="s">
        <v>214</v>
      </c>
      <c r="O1276" s="12" t="s">
        <v>125</v>
      </c>
      <c r="P1276" s="12" t="s">
        <v>379</v>
      </c>
      <c r="Q1276" s="7" t="str">
        <f t="shared" si="58"/>
        <v>(1981,32,'1981.08.08',45,47,64,83,89,0),</v>
      </c>
      <c r="R1276" s="7" t="str">
        <f t="shared" si="60"/>
        <v>(1981,32,'1981.08.08',45,47,64,83,89),</v>
      </c>
    </row>
    <row r="1277" spans="1:18" x14ac:dyDescent="0.25">
      <c r="A1277" s="7" t="s">
        <v>5854</v>
      </c>
      <c r="B1277" s="8" t="s">
        <v>20</v>
      </c>
      <c r="C1277" s="10">
        <f t="shared" si="59"/>
        <v>29813</v>
      </c>
      <c r="D1277" t="s">
        <v>11</v>
      </c>
      <c r="E1277" t="s">
        <v>12</v>
      </c>
      <c r="F1277" t="s">
        <v>11</v>
      </c>
      <c r="G1277" t="s">
        <v>12</v>
      </c>
      <c r="H1277" t="s">
        <v>11</v>
      </c>
      <c r="I1277" t="s">
        <v>12</v>
      </c>
      <c r="J1277" t="s">
        <v>11</v>
      </c>
      <c r="K1277" t="s">
        <v>12</v>
      </c>
      <c r="L1277" s="12" t="s">
        <v>168</v>
      </c>
      <c r="M1277" s="12" t="s">
        <v>152</v>
      </c>
      <c r="N1277" s="12" t="s">
        <v>23</v>
      </c>
      <c r="O1277" s="12" t="s">
        <v>47</v>
      </c>
      <c r="P1277" s="12" t="s">
        <v>468</v>
      </c>
      <c r="Q1277" s="7" t="str">
        <f t="shared" si="58"/>
        <v>(1981,33,'1981.08.15',4,25,60,69,85,0),</v>
      </c>
      <c r="R1277" s="7" t="str">
        <f t="shared" si="60"/>
        <v>(1981,33,'1981.08.15',4,25,60,69,85),</v>
      </c>
    </row>
    <row r="1278" spans="1:18" x14ac:dyDescent="0.25">
      <c r="A1278" s="7" t="s">
        <v>5854</v>
      </c>
      <c r="B1278" s="8" t="s">
        <v>25</v>
      </c>
      <c r="C1278" s="10">
        <f t="shared" si="59"/>
        <v>29820</v>
      </c>
      <c r="D1278" t="s">
        <v>11</v>
      </c>
      <c r="E1278" t="s">
        <v>12</v>
      </c>
      <c r="F1278" t="s">
        <v>11</v>
      </c>
      <c r="G1278" t="s">
        <v>12</v>
      </c>
      <c r="H1278" t="s">
        <v>11</v>
      </c>
      <c r="I1278" t="s">
        <v>12</v>
      </c>
      <c r="J1278" t="s">
        <v>11</v>
      </c>
      <c r="K1278" t="s">
        <v>12</v>
      </c>
      <c r="L1278" s="12" t="s">
        <v>43</v>
      </c>
      <c r="M1278" s="12" t="s">
        <v>19</v>
      </c>
      <c r="N1278" s="12" t="s">
        <v>33</v>
      </c>
      <c r="O1278" s="12" t="s">
        <v>10</v>
      </c>
      <c r="P1278" s="12" t="s">
        <v>105</v>
      </c>
      <c r="Q1278" s="7" t="str">
        <f t="shared" si="58"/>
        <v>(1981,34,'1981.08.22',16,18,24,40,50,0),</v>
      </c>
      <c r="R1278" s="7" t="str">
        <f t="shared" si="60"/>
        <v>(1981,34,'1981.08.22',16,18,24,40,50),</v>
      </c>
    </row>
    <row r="1279" spans="1:18" x14ac:dyDescent="0.25">
      <c r="A1279" s="7" t="s">
        <v>5854</v>
      </c>
      <c r="B1279" s="8" t="s">
        <v>64</v>
      </c>
      <c r="C1279" s="10">
        <f t="shared" si="59"/>
        <v>29827</v>
      </c>
      <c r="D1279" t="s">
        <v>11</v>
      </c>
      <c r="E1279" t="s">
        <v>12</v>
      </c>
      <c r="F1279" t="s">
        <v>11</v>
      </c>
      <c r="G1279" t="s">
        <v>12</v>
      </c>
      <c r="H1279" t="s">
        <v>11</v>
      </c>
      <c r="I1279" t="s">
        <v>12</v>
      </c>
      <c r="J1279" t="s">
        <v>11</v>
      </c>
      <c r="K1279" t="s">
        <v>12</v>
      </c>
      <c r="L1279" s="12" t="s">
        <v>46</v>
      </c>
      <c r="M1279" s="12" t="s">
        <v>192</v>
      </c>
      <c r="N1279" s="12" t="s">
        <v>34</v>
      </c>
      <c r="O1279" s="12" t="s">
        <v>105</v>
      </c>
      <c r="P1279" s="12" t="s">
        <v>233</v>
      </c>
      <c r="Q1279" s="7" t="str">
        <f t="shared" si="58"/>
        <v>(1981,35,'1981.08.29',37,46,49,50,66,0),</v>
      </c>
      <c r="R1279" s="7" t="str">
        <f t="shared" si="60"/>
        <v>(1981,35,'1981.08.29',37,46,49,50,66),</v>
      </c>
    </row>
    <row r="1280" spans="1:18" x14ac:dyDescent="0.25">
      <c r="A1280" s="7" t="s">
        <v>5854</v>
      </c>
      <c r="B1280" s="8" t="s">
        <v>21</v>
      </c>
      <c r="C1280" s="10">
        <f t="shared" si="59"/>
        <v>29834</v>
      </c>
      <c r="D1280" t="s">
        <v>11</v>
      </c>
      <c r="E1280" t="s">
        <v>12</v>
      </c>
      <c r="F1280" t="s">
        <v>11</v>
      </c>
      <c r="G1280" t="s">
        <v>12</v>
      </c>
      <c r="H1280" t="s">
        <v>11</v>
      </c>
      <c r="I1280" t="s">
        <v>12</v>
      </c>
      <c r="J1280" t="s">
        <v>11</v>
      </c>
      <c r="K1280" t="s">
        <v>12</v>
      </c>
      <c r="L1280" s="12" t="s">
        <v>127</v>
      </c>
      <c r="M1280" s="12" t="s">
        <v>10</v>
      </c>
      <c r="N1280" s="12" t="s">
        <v>123</v>
      </c>
      <c r="O1280" s="12" t="s">
        <v>175</v>
      </c>
      <c r="P1280" s="12" t="s">
        <v>91</v>
      </c>
      <c r="Q1280" s="7" t="str">
        <f t="shared" si="58"/>
        <v>(1981,36,'1981.09.05',14,40,54,55,61,0),</v>
      </c>
      <c r="R1280" s="7" t="str">
        <f t="shared" si="60"/>
        <v>(1981,36,'1981.09.05',14,40,54,55,61),</v>
      </c>
    </row>
    <row r="1281" spans="1:18" x14ac:dyDescent="0.25">
      <c r="A1281" s="7" t="s">
        <v>5854</v>
      </c>
      <c r="B1281" s="8" t="s">
        <v>46</v>
      </c>
      <c r="C1281" s="10">
        <f t="shared" si="59"/>
        <v>29841</v>
      </c>
      <c r="D1281" t="s">
        <v>11</v>
      </c>
      <c r="E1281" t="s">
        <v>12</v>
      </c>
      <c r="F1281" t="s">
        <v>11</v>
      </c>
      <c r="G1281" t="s">
        <v>12</v>
      </c>
      <c r="H1281" t="s">
        <v>11</v>
      </c>
      <c r="I1281" t="s">
        <v>12</v>
      </c>
      <c r="J1281" t="s">
        <v>11</v>
      </c>
      <c r="K1281" t="s">
        <v>12</v>
      </c>
      <c r="L1281" s="12" t="s">
        <v>19</v>
      </c>
      <c r="M1281" s="12" t="s">
        <v>124</v>
      </c>
      <c r="N1281" s="12" t="s">
        <v>214</v>
      </c>
      <c r="O1281" s="12" t="s">
        <v>63</v>
      </c>
      <c r="P1281" s="12" t="s">
        <v>379</v>
      </c>
      <c r="Q1281" s="7" t="str">
        <f t="shared" si="58"/>
        <v>(1981,37,'1981.09.12',18,62,64,78,89,0),</v>
      </c>
      <c r="R1281" s="7" t="str">
        <f t="shared" si="60"/>
        <v>(1981,37,'1981.09.12',18,62,64,78,89),</v>
      </c>
    </row>
    <row r="1282" spans="1:18" x14ac:dyDescent="0.25">
      <c r="A1282" s="7" t="s">
        <v>5854</v>
      </c>
      <c r="B1282" s="8" t="s">
        <v>36</v>
      </c>
      <c r="C1282" s="10">
        <f t="shared" si="59"/>
        <v>29848</v>
      </c>
      <c r="D1282" t="s">
        <v>11</v>
      </c>
      <c r="E1282" t="s">
        <v>12</v>
      </c>
      <c r="F1282" t="s">
        <v>11</v>
      </c>
      <c r="G1282" t="s">
        <v>12</v>
      </c>
      <c r="H1282" t="s">
        <v>11</v>
      </c>
      <c r="I1282" t="s">
        <v>12</v>
      </c>
      <c r="J1282" t="s">
        <v>11</v>
      </c>
      <c r="K1282" t="s">
        <v>12</v>
      </c>
      <c r="L1282" s="12" t="s">
        <v>65</v>
      </c>
      <c r="M1282" s="12" t="s">
        <v>44</v>
      </c>
      <c r="N1282" s="12" t="s">
        <v>135</v>
      </c>
      <c r="O1282" s="12" t="s">
        <v>308</v>
      </c>
      <c r="P1282" s="12" t="s">
        <v>379</v>
      </c>
      <c r="Q1282" s="7" t="str">
        <f t="shared" ref="Q1282:Q1345" si="61">"("&amp;A1282&amp;","&amp;B1282&amp;",'"&amp;TEXT(C1282,"éééé.hh.nn")&amp;"',"&amp;L1282&amp;","&amp;M1282&amp;","&amp;N1282&amp;","&amp;O1282&amp;","&amp;P1282&amp;",0)"&amp;IF(P1283&lt;&gt;0,",","")</f>
        <v>(1981,38,'1981.09.19',13,21,27,86,89,0),</v>
      </c>
      <c r="R1282" s="7" t="str">
        <f t="shared" si="60"/>
        <v>(1981,38,'1981.09.19',13,21,27,86,89),</v>
      </c>
    </row>
    <row r="1283" spans="1:18" x14ac:dyDescent="0.25">
      <c r="A1283" s="7" t="s">
        <v>5854</v>
      </c>
      <c r="B1283" s="8" t="s">
        <v>24</v>
      </c>
      <c r="C1283" s="10">
        <f t="shared" ref="C1283:C1346" si="62">+C1282+7</f>
        <v>29855</v>
      </c>
      <c r="D1283" t="s">
        <v>11</v>
      </c>
      <c r="E1283" t="s">
        <v>12</v>
      </c>
      <c r="F1283" t="s">
        <v>11</v>
      </c>
      <c r="G1283" t="s">
        <v>12</v>
      </c>
      <c r="H1283" t="s">
        <v>11</v>
      </c>
      <c r="I1283" t="s">
        <v>12</v>
      </c>
      <c r="J1283" t="s">
        <v>11</v>
      </c>
      <c r="K1283" t="s">
        <v>12</v>
      </c>
      <c r="L1283" s="12" t="s">
        <v>54</v>
      </c>
      <c r="M1283" s="12" t="s">
        <v>150</v>
      </c>
      <c r="N1283" s="12" t="s">
        <v>239</v>
      </c>
      <c r="O1283" s="12" t="s">
        <v>63</v>
      </c>
      <c r="P1283" s="12" t="s">
        <v>215</v>
      </c>
      <c r="Q1283" s="7" t="str">
        <f t="shared" si="61"/>
        <v>(1981,39,'1981.09.26',15,57,73,78,81,0),</v>
      </c>
      <c r="R1283" s="7" t="str">
        <f t="shared" ref="R1283:R1346" si="63">IF(TRIM(P1283)="","","("&amp;A1283&amp;","&amp;B1283&amp;",'"&amp;TEXT(C1283,"éééé.hh.nn")&amp;"',"&amp;L1283&amp;","&amp;M1283&amp;","&amp;N1283&amp;","&amp;O1283&amp;","&amp;P1283&amp;")"&amp;IF(P1284=0,";",","))</f>
        <v>(1981,39,'1981.09.26',15,57,73,78,81),</v>
      </c>
    </row>
    <row r="1284" spans="1:18" x14ac:dyDescent="0.25">
      <c r="A1284" s="7" t="s">
        <v>5854</v>
      </c>
      <c r="B1284" s="8" t="s">
        <v>10</v>
      </c>
      <c r="C1284" s="10">
        <f t="shared" si="62"/>
        <v>29862</v>
      </c>
      <c r="D1284" t="s">
        <v>11</v>
      </c>
      <c r="E1284" t="s">
        <v>12</v>
      </c>
      <c r="F1284" t="s">
        <v>11</v>
      </c>
      <c r="G1284" t="s">
        <v>12</v>
      </c>
      <c r="H1284" t="s">
        <v>11</v>
      </c>
      <c r="I1284" t="s">
        <v>12</v>
      </c>
      <c r="J1284" t="s">
        <v>11</v>
      </c>
      <c r="K1284" t="s">
        <v>12</v>
      </c>
      <c r="L1284" s="12" t="s">
        <v>42</v>
      </c>
      <c r="M1284" s="12" t="s">
        <v>83</v>
      </c>
      <c r="N1284" s="12" t="s">
        <v>31</v>
      </c>
      <c r="O1284" s="12" t="s">
        <v>115</v>
      </c>
      <c r="P1284" s="12" t="s">
        <v>199</v>
      </c>
      <c r="Q1284" s="7" t="str">
        <f t="shared" si="61"/>
        <v>(1981,40,'1981.10.03',3,11,12,20,53,0),</v>
      </c>
      <c r="R1284" s="7" t="str">
        <f t="shared" si="63"/>
        <v>(1981,40,'1981.10.03',3,11,12,20,53),</v>
      </c>
    </row>
    <row r="1285" spans="1:18" x14ac:dyDescent="0.25">
      <c r="A1285" s="7" t="s">
        <v>5854</v>
      </c>
      <c r="B1285" s="8" t="s">
        <v>13</v>
      </c>
      <c r="C1285" s="10">
        <f t="shared" si="62"/>
        <v>29869</v>
      </c>
      <c r="D1285" t="s">
        <v>11</v>
      </c>
      <c r="E1285" t="s">
        <v>12</v>
      </c>
      <c r="F1285" t="s">
        <v>11</v>
      </c>
      <c r="G1285" t="s">
        <v>12</v>
      </c>
      <c r="H1285" t="s">
        <v>11</v>
      </c>
      <c r="I1285" t="s">
        <v>12</v>
      </c>
      <c r="J1285" t="s">
        <v>11</v>
      </c>
      <c r="K1285" t="s">
        <v>12</v>
      </c>
      <c r="L1285" s="12" t="s">
        <v>98</v>
      </c>
      <c r="M1285" s="12" t="s">
        <v>122</v>
      </c>
      <c r="N1285" s="12" t="s">
        <v>23</v>
      </c>
      <c r="O1285" s="12" t="s">
        <v>301</v>
      </c>
      <c r="P1285" s="12" t="s">
        <v>186</v>
      </c>
      <c r="Q1285" s="7" t="str">
        <f t="shared" si="61"/>
        <v>(1981,41,'1981.10.10',42,51,60,80,90,0),</v>
      </c>
      <c r="R1285" s="7" t="str">
        <f t="shared" si="63"/>
        <v>(1981,41,'1981.10.10',42,51,60,80,90),</v>
      </c>
    </row>
    <row r="1286" spans="1:18" x14ac:dyDescent="0.25">
      <c r="A1286" s="7" t="s">
        <v>5854</v>
      </c>
      <c r="B1286" s="8" t="s">
        <v>98</v>
      </c>
      <c r="C1286" s="10">
        <f t="shared" si="62"/>
        <v>29876</v>
      </c>
      <c r="D1286" t="s">
        <v>11</v>
      </c>
      <c r="E1286" t="s">
        <v>12</v>
      </c>
      <c r="F1286" t="s">
        <v>11</v>
      </c>
      <c r="G1286" t="s">
        <v>12</v>
      </c>
      <c r="H1286" t="s">
        <v>11</v>
      </c>
      <c r="I1286" t="s">
        <v>12</v>
      </c>
      <c r="J1286" t="s">
        <v>11</v>
      </c>
      <c r="K1286" t="s">
        <v>12</v>
      </c>
      <c r="L1286" s="12" t="s">
        <v>127</v>
      </c>
      <c r="M1286" s="12" t="s">
        <v>25</v>
      </c>
      <c r="N1286" s="12" t="s">
        <v>72</v>
      </c>
      <c r="O1286" s="12" t="s">
        <v>47</v>
      </c>
      <c r="P1286" s="12" t="s">
        <v>208</v>
      </c>
      <c r="Q1286" s="7" t="str">
        <f t="shared" si="61"/>
        <v>(1981,42,'1981.10.17',14,34,67,69,88,0),</v>
      </c>
      <c r="R1286" s="7" t="str">
        <f t="shared" si="63"/>
        <v>(1981,42,'1981.10.17',14,34,67,69,88),</v>
      </c>
    </row>
    <row r="1287" spans="1:18" x14ac:dyDescent="0.25">
      <c r="A1287" s="7" t="s">
        <v>5854</v>
      </c>
      <c r="B1287" s="8" t="s">
        <v>45</v>
      </c>
      <c r="C1287" s="10">
        <f t="shared" si="62"/>
        <v>29883</v>
      </c>
      <c r="D1287" t="s">
        <v>11</v>
      </c>
      <c r="E1287" t="s">
        <v>12</v>
      </c>
      <c r="F1287" t="s">
        <v>11</v>
      </c>
      <c r="G1287" t="s">
        <v>12</v>
      </c>
      <c r="H1287" t="s">
        <v>11</v>
      </c>
      <c r="I1287" t="s">
        <v>12</v>
      </c>
      <c r="J1287" t="s">
        <v>11</v>
      </c>
      <c r="K1287" t="s">
        <v>12</v>
      </c>
      <c r="L1287" s="12" t="s">
        <v>42</v>
      </c>
      <c r="M1287" s="12" t="s">
        <v>168</v>
      </c>
      <c r="N1287" s="12" t="s">
        <v>83</v>
      </c>
      <c r="O1287" s="12" t="s">
        <v>199</v>
      </c>
      <c r="P1287" s="12" t="s">
        <v>92</v>
      </c>
      <c r="Q1287" s="7" t="str">
        <f t="shared" si="61"/>
        <v>(1981,43,'1981.10.24',3,4,11,53,68,0),</v>
      </c>
      <c r="R1287" s="7" t="str">
        <f t="shared" si="63"/>
        <v>(1981,43,'1981.10.24',3,4,11,53,68),</v>
      </c>
    </row>
    <row r="1288" spans="1:18" x14ac:dyDescent="0.25">
      <c r="A1288" s="7" t="s">
        <v>5854</v>
      </c>
      <c r="B1288" s="8" t="s">
        <v>142</v>
      </c>
      <c r="C1288" s="10">
        <f t="shared" si="62"/>
        <v>29890</v>
      </c>
      <c r="D1288" t="s">
        <v>11</v>
      </c>
      <c r="E1288" t="s">
        <v>12</v>
      </c>
      <c r="F1288" t="s">
        <v>11</v>
      </c>
      <c r="G1288" t="s">
        <v>12</v>
      </c>
      <c r="H1288" t="s">
        <v>11</v>
      </c>
      <c r="I1288" t="s">
        <v>12</v>
      </c>
      <c r="J1288" t="s">
        <v>11</v>
      </c>
      <c r="K1288" t="s">
        <v>12</v>
      </c>
      <c r="L1288" s="12" t="s">
        <v>43</v>
      </c>
      <c r="M1288" s="12" t="s">
        <v>152</v>
      </c>
      <c r="N1288" s="12" t="s">
        <v>13</v>
      </c>
      <c r="O1288" s="12" t="s">
        <v>214</v>
      </c>
      <c r="P1288" s="12" t="s">
        <v>468</v>
      </c>
      <c r="Q1288" s="7" t="str">
        <f t="shared" si="61"/>
        <v>(1981,44,'1981.10.31',16,25,41,64,85,0),</v>
      </c>
      <c r="R1288" s="7" t="str">
        <f t="shared" si="63"/>
        <v>(1981,44,'1981.10.31',16,25,41,64,85),</v>
      </c>
    </row>
    <row r="1289" spans="1:18" x14ac:dyDescent="0.25">
      <c r="A1289" s="7" t="s">
        <v>5854</v>
      </c>
      <c r="B1289" s="8" t="s">
        <v>133</v>
      </c>
      <c r="C1289" s="10">
        <f t="shared" si="62"/>
        <v>29897</v>
      </c>
      <c r="D1289" t="s">
        <v>11</v>
      </c>
      <c r="E1289" t="s">
        <v>12</v>
      </c>
      <c r="F1289" t="s">
        <v>11</v>
      </c>
      <c r="G1289" t="s">
        <v>12</v>
      </c>
      <c r="H1289" t="s">
        <v>11</v>
      </c>
      <c r="I1289" t="s">
        <v>12</v>
      </c>
      <c r="J1289" t="s">
        <v>11</v>
      </c>
      <c r="K1289" t="s">
        <v>12</v>
      </c>
      <c r="L1289" s="12" t="s">
        <v>31</v>
      </c>
      <c r="M1289" s="12" t="s">
        <v>90</v>
      </c>
      <c r="N1289" s="12" t="s">
        <v>116</v>
      </c>
      <c r="O1289" s="12" t="s">
        <v>23</v>
      </c>
      <c r="P1289" s="12" t="s">
        <v>208</v>
      </c>
      <c r="Q1289" s="7" t="str">
        <f t="shared" si="61"/>
        <v>(1981,45,'1981.11.07',12,17,29,60,88,0),</v>
      </c>
      <c r="R1289" s="7" t="str">
        <f t="shared" si="63"/>
        <v>(1981,45,'1981.11.07',12,17,29,60,88),</v>
      </c>
    </row>
    <row r="1290" spans="1:18" x14ac:dyDescent="0.25">
      <c r="A1290" s="7" t="s">
        <v>5854</v>
      </c>
      <c r="B1290" s="8" t="s">
        <v>192</v>
      </c>
      <c r="C1290" s="10">
        <f t="shared" si="62"/>
        <v>29904</v>
      </c>
      <c r="D1290" t="s">
        <v>11</v>
      </c>
      <c r="E1290" t="s">
        <v>12</v>
      </c>
      <c r="F1290" t="s">
        <v>11</v>
      </c>
      <c r="G1290" t="s">
        <v>12</v>
      </c>
      <c r="H1290" t="s">
        <v>11</v>
      </c>
      <c r="I1290" t="s">
        <v>12</v>
      </c>
      <c r="J1290" t="s">
        <v>11</v>
      </c>
      <c r="K1290" t="s">
        <v>12</v>
      </c>
      <c r="L1290" s="12" t="s">
        <v>127</v>
      </c>
      <c r="M1290" s="12" t="s">
        <v>80</v>
      </c>
      <c r="N1290" s="12" t="s">
        <v>98</v>
      </c>
      <c r="O1290" s="12" t="s">
        <v>45</v>
      </c>
      <c r="P1290" s="12" t="s">
        <v>124</v>
      </c>
      <c r="Q1290" s="7" t="str">
        <f t="shared" si="61"/>
        <v>(1981,46,'1981.11.14',14,32,42,43,62,0),</v>
      </c>
      <c r="R1290" s="7" t="str">
        <f t="shared" si="63"/>
        <v>(1981,46,'1981.11.14',14,32,42,43,62),</v>
      </c>
    </row>
    <row r="1291" spans="1:18" x14ac:dyDescent="0.25">
      <c r="A1291" s="7" t="s">
        <v>5854</v>
      </c>
      <c r="B1291" s="8" t="s">
        <v>81</v>
      </c>
      <c r="C1291" s="10">
        <f t="shared" si="62"/>
        <v>29911</v>
      </c>
      <c r="D1291" t="s">
        <v>11</v>
      </c>
      <c r="E1291" t="s">
        <v>12</v>
      </c>
      <c r="F1291" t="s">
        <v>11</v>
      </c>
      <c r="G1291" t="s">
        <v>12</v>
      </c>
      <c r="H1291" t="s">
        <v>11</v>
      </c>
      <c r="I1291" t="s">
        <v>12</v>
      </c>
      <c r="J1291" t="s">
        <v>11</v>
      </c>
      <c r="K1291" t="s">
        <v>12</v>
      </c>
      <c r="L1291" s="12" t="s">
        <v>55</v>
      </c>
      <c r="M1291" s="12" t="s">
        <v>163</v>
      </c>
      <c r="N1291" s="12" t="s">
        <v>152</v>
      </c>
      <c r="O1291" s="12" t="s">
        <v>80</v>
      </c>
      <c r="P1291" s="12" t="s">
        <v>122</v>
      </c>
      <c r="Q1291" s="7" t="str">
        <f t="shared" si="61"/>
        <v>(1981,47,'1981.11.21',19,23,25,32,51,0),</v>
      </c>
      <c r="R1291" s="7" t="str">
        <f t="shared" si="63"/>
        <v>(1981,47,'1981.11.21',19,23,25,32,51),</v>
      </c>
    </row>
    <row r="1292" spans="1:18" x14ac:dyDescent="0.25">
      <c r="A1292" s="7" t="s">
        <v>5854</v>
      </c>
      <c r="B1292" s="8" t="s">
        <v>22</v>
      </c>
      <c r="C1292" s="10">
        <f t="shared" si="62"/>
        <v>29918</v>
      </c>
      <c r="D1292" t="s">
        <v>11</v>
      </c>
      <c r="E1292" t="s">
        <v>12</v>
      </c>
      <c r="F1292" t="s">
        <v>11</v>
      </c>
      <c r="G1292" t="s">
        <v>12</v>
      </c>
      <c r="H1292" t="s">
        <v>11</v>
      </c>
      <c r="I1292" t="s">
        <v>12</v>
      </c>
      <c r="J1292" t="s">
        <v>11</v>
      </c>
      <c r="K1292" t="s">
        <v>12</v>
      </c>
      <c r="L1292" s="12" t="s">
        <v>55</v>
      </c>
      <c r="M1292" s="12" t="s">
        <v>10</v>
      </c>
      <c r="N1292" s="12" t="s">
        <v>122</v>
      </c>
      <c r="O1292" s="12" t="s">
        <v>106</v>
      </c>
      <c r="P1292" s="12" t="s">
        <v>73</v>
      </c>
      <c r="Q1292" s="7" t="str">
        <f t="shared" si="61"/>
        <v>(1981,48,'1981.11.28',19,40,51,75,76,0),</v>
      </c>
      <c r="R1292" s="7" t="str">
        <f t="shared" si="63"/>
        <v>(1981,48,'1981.11.28',19,40,51,75,76),</v>
      </c>
    </row>
    <row r="1293" spans="1:18" x14ac:dyDescent="0.25">
      <c r="A1293" s="7" t="s">
        <v>5854</v>
      </c>
      <c r="B1293" s="8" t="s">
        <v>34</v>
      </c>
      <c r="C1293" s="10">
        <f t="shared" si="62"/>
        <v>29925</v>
      </c>
      <c r="D1293" t="s">
        <v>11</v>
      </c>
      <c r="E1293" t="s">
        <v>12</v>
      </c>
      <c r="F1293" t="s">
        <v>11</v>
      </c>
      <c r="G1293" t="s">
        <v>12</v>
      </c>
      <c r="H1293" t="s">
        <v>11</v>
      </c>
      <c r="I1293" t="s">
        <v>12</v>
      </c>
      <c r="J1293" t="s">
        <v>11</v>
      </c>
      <c r="K1293" t="s">
        <v>12</v>
      </c>
      <c r="L1293" s="12" t="s">
        <v>25</v>
      </c>
      <c r="M1293" s="12" t="s">
        <v>47</v>
      </c>
      <c r="N1293" s="12" t="s">
        <v>63</v>
      </c>
      <c r="O1293" s="12" t="s">
        <v>468</v>
      </c>
      <c r="P1293" s="12" t="s">
        <v>308</v>
      </c>
      <c r="Q1293" s="7" t="str">
        <f t="shared" si="61"/>
        <v>(1981,49,'1981.12.05',34,69,78,85,86,0),</v>
      </c>
      <c r="R1293" s="7" t="str">
        <f t="shared" si="63"/>
        <v>(1981,49,'1981.12.05',34,69,78,85,86),</v>
      </c>
    </row>
    <row r="1294" spans="1:18" x14ac:dyDescent="0.25">
      <c r="A1294" s="7" t="s">
        <v>5854</v>
      </c>
      <c r="B1294" s="8" t="s">
        <v>105</v>
      </c>
      <c r="C1294" s="10">
        <f t="shared" si="62"/>
        <v>29932</v>
      </c>
      <c r="D1294" t="s">
        <v>11</v>
      </c>
      <c r="E1294" t="s">
        <v>12</v>
      </c>
      <c r="F1294" t="s">
        <v>11</v>
      </c>
      <c r="G1294" t="s">
        <v>12</v>
      </c>
      <c r="H1294" t="s">
        <v>11</v>
      </c>
      <c r="I1294" t="s">
        <v>12</v>
      </c>
      <c r="J1294" t="s">
        <v>11</v>
      </c>
      <c r="K1294" t="s">
        <v>12</v>
      </c>
      <c r="L1294" s="12" t="s">
        <v>232</v>
      </c>
      <c r="M1294" s="12" t="s">
        <v>62</v>
      </c>
      <c r="N1294" s="12" t="s">
        <v>152</v>
      </c>
      <c r="O1294" s="12" t="s">
        <v>10</v>
      </c>
      <c r="P1294" s="12" t="s">
        <v>308</v>
      </c>
      <c r="Q1294" s="7" t="str">
        <f t="shared" si="61"/>
        <v>(1981,50,'1981.12.12',8,10,25,40,86,0),</v>
      </c>
      <c r="R1294" s="7" t="str">
        <f t="shared" si="63"/>
        <v>(1981,50,'1981.12.12',8,10,25,40,86),</v>
      </c>
    </row>
    <row r="1295" spans="1:18" x14ac:dyDescent="0.25">
      <c r="A1295" s="7" t="s">
        <v>5854</v>
      </c>
      <c r="B1295" s="8" t="s">
        <v>122</v>
      </c>
      <c r="C1295" s="10">
        <f t="shared" si="62"/>
        <v>29939</v>
      </c>
      <c r="D1295" t="s">
        <v>11</v>
      </c>
      <c r="E1295" t="s">
        <v>12</v>
      </c>
      <c r="F1295" t="s">
        <v>11</v>
      </c>
      <c r="G1295" t="s">
        <v>12</v>
      </c>
      <c r="H1295" t="s">
        <v>11</v>
      </c>
      <c r="I1295" t="s">
        <v>12</v>
      </c>
      <c r="J1295" t="s">
        <v>11</v>
      </c>
      <c r="K1295" t="s">
        <v>12</v>
      </c>
      <c r="L1295" s="12" t="s">
        <v>20</v>
      </c>
      <c r="M1295" s="12" t="s">
        <v>21</v>
      </c>
      <c r="N1295" s="12" t="s">
        <v>82</v>
      </c>
      <c r="O1295" s="12" t="s">
        <v>73</v>
      </c>
      <c r="P1295" s="12" t="s">
        <v>301</v>
      </c>
      <c r="Q1295" s="7" t="str">
        <f t="shared" si="61"/>
        <v>(1981,51,'1981.12.19',33,36,59,76,80,0),</v>
      </c>
      <c r="R1295" s="7" t="str">
        <f t="shared" si="63"/>
        <v>(1981,51,'1981.12.19',33,36,59,76,80),</v>
      </c>
    </row>
    <row r="1296" spans="1:18" x14ac:dyDescent="0.25">
      <c r="A1296" s="7" t="s">
        <v>5854</v>
      </c>
      <c r="B1296" s="8" t="s">
        <v>99</v>
      </c>
      <c r="C1296" s="10">
        <f t="shared" si="62"/>
        <v>29946</v>
      </c>
      <c r="D1296" t="s">
        <v>11</v>
      </c>
      <c r="E1296" t="s">
        <v>12</v>
      </c>
      <c r="F1296" t="s">
        <v>11</v>
      </c>
      <c r="G1296" t="s">
        <v>12</v>
      </c>
      <c r="H1296" t="s">
        <v>11</v>
      </c>
      <c r="I1296" t="s">
        <v>12</v>
      </c>
      <c r="J1296" t="s">
        <v>11</v>
      </c>
      <c r="K1296" t="s">
        <v>12</v>
      </c>
      <c r="L1296" s="12" t="s">
        <v>31</v>
      </c>
      <c r="M1296" s="12" t="s">
        <v>163</v>
      </c>
      <c r="N1296" s="12" t="s">
        <v>98</v>
      </c>
      <c r="O1296" s="12" t="s">
        <v>134</v>
      </c>
      <c r="P1296" s="12" t="s">
        <v>201</v>
      </c>
      <c r="Q1296" s="7" t="str">
        <f t="shared" si="61"/>
        <v>(1981,52,'1981.12.26',12,23,42,56,72,0),</v>
      </c>
      <c r="R1296" s="7" t="str">
        <f t="shared" si="63"/>
        <v>(1981,52,'1981.12.26',12,23,42,56,72),</v>
      </c>
    </row>
    <row r="1297" spans="1:18" x14ac:dyDescent="0.25">
      <c r="A1297" s="7" t="s">
        <v>94</v>
      </c>
      <c r="B1297" s="8" t="s">
        <v>108</v>
      </c>
      <c r="C1297" s="10">
        <f t="shared" si="62"/>
        <v>29953</v>
      </c>
      <c r="D1297" t="s">
        <v>11</v>
      </c>
      <c r="E1297" t="s">
        <v>12</v>
      </c>
      <c r="F1297" t="s">
        <v>11</v>
      </c>
      <c r="G1297" t="s">
        <v>12</v>
      </c>
      <c r="H1297" t="s">
        <v>11</v>
      </c>
      <c r="I1297" t="s">
        <v>12</v>
      </c>
      <c r="J1297" t="s">
        <v>11</v>
      </c>
      <c r="K1297" t="s">
        <v>12</v>
      </c>
      <c r="L1297" s="12" t="s">
        <v>45</v>
      </c>
      <c r="M1297" s="12" t="s">
        <v>142</v>
      </c>
      <c r="N1297" s="12" t="s">
        <v>248</v>
      </c>
      <c r="O1297" s="12" t="s">
        <v>245</v>
      </c>
      <c r="P1297" s="12" t="s">
        <v>246</v>
      </c>
      <c r="Q1297" s="7" t="str">
        <f t="shared" si="61"/>
        <v>(1982,1,'1982.01.02',43,44,63,74,84,0),</v>
      </c>
      <c r="R1297" s="7" t="str">
        <f t="shared" si="63"/>
        <v>(1982,1,'1982.01.02',43,44,63,74,84),</v>
      </c>
    </row>
    <row r="1298" spans="1:18" x14ac:dyDescent="0.25">
      <c r="A1298" s="7" t="s">
        <v>94</v>
      </c>
      <c r="B1298" s="8" t="s">
        <v>207</v>
      </c>
      <c r="C1298" s="10">
        <f t="shared" si="62"/>
        <v>29960</v>
      </c>
      <c r="D1298" t="s">
        <v>11</v>
      </c>
      <c r="E1298" t="s">
        <v>12</v>
      </c>
      <c r="F1298" t="s">
        <v>11</v>
      </c>
      <c r="G1298" t="s">
        <v>12</v>
      </c>
      <c r="H1298" t="s">
        <v>11</v>
      </c>
      <c r="I1298" t="s">
        <v>12</v>
      </c>
      <c r="J1298" t="s">
        <v>11</v>
      </c>
      <c r="K1298" t="s">
        <v>12</v>
      </c>
      <c r="L1298" s="12" t="s">
        <v>55</v>
      </c>
      <c r="M1298" s="12" t="s">
        <v>116</v>
      </c>
      <c r="N1298" s="12" t="s">
        <v>71</v>
      </c>
      <c r="O1298" s="12" t="s">
        <v>248</v>
      </c>
      <c r="P1298" s="12" t="s">
        <v>269</v>
      </c>
      <c r="Q1298" s="7" t="str">
        <f t="shared" si="61"/>
        <v>(1982,2,'1982.01.09',19,29,31,63,87,0),</v>
      </c>
      <c r="R1298" s="7" t="str">
        <f t="shared" si="63"/>
        <v>(1982,2,'1982.01.09',19,29,31,63,87),</v>
      </c>
    </row>
    <row r="1299" spans="1:18" x14ac:dyDescent="0.25">
      <c r="A1299" s="7" t="s">
        <v>94</v>
      </c>
      <c r="B1299" s="8" t="s">
        <v>42</v>
      </c>
      <c r="C1299" s="10">
        <f t="shared" si="62"/>
        <v>29967</v>
      </c>
      <c r="D1299" t="s">
        <v>11</v>
      </c>
      <c r="E1299" t="s">
        <v>12</v>
      </c>
      <c r="F1299" t="s">
        <v>11</v>
      </c>
      <c r="G1299" t="s">
        <v>12</v>
      </c>
      <c r="H1299" t="s">
        <v>11</v>
      </c>
      <c r="I1299" t="s">
        <v>12</v>
      </c>
      <c r="J1299" t="s">
        <v>11</v>
      </c>
      <c r="K1299" t="s">
        <v>12</v>
      </c>
      <c r="L1299" s="12" t="s">
        <v>207</v>
      </c>
      <c r="M1299" s="12" t="s">
        <v>33</v>
      </c>
      <c r="N1299" s="12" t="s">
        <v>64</v>
      </c>
      <c r="O1299" s="12" t="s">
        <v>35</v>
      </c>
      <c r="P1299" s="12" t="s">
        <v>106</v>
      </c>
      <c r="Q1299" s="7" t="str">
        <f t="shared" si="61"/>
        <v>(1982,3,'1982.01.16',2,24,35,65,75,0),</v>
      </c>
      <c r="R1299" s="7" t="str">
        <f t="shared" si="63"/>
        <v>(1982,3,'1982.01.16',2,24,35,65,75),</v>
      </c>
    </row>
    <row r="1300" spans="1:18" x14ac:dyDescent="0.25">
      <c r="A1300" s="7" t="s">
        <v>94</v>
      </c>
      <c r="B1300" s="8" t="s">
        <v>168</v>
      </c>
      <c r="C1300" s="10">
        <f t="shared" si="62"/>
        <v>29974</v>
      </c>
      <c r="D1300" t="s">
        <v>11</v>
      </c>
      <c r="E1300" t="s">
        <v>12</v>
      </c>
      <c r="F1300" t="s">
        <v>11</v>
      </c>
      <c r="G1300" t="s">
        <v>12</v>
      </c>
      <c r="H1300" t="s">
        <v>11</v>
      </c>
      <c r="I1300" t="s">
        <v>12</v>
      </c>
      <c r="J1300" t="s">
        <v>11</v>
      </c>
      <c r="K1300" t="s">
        <v>12</v>
      </c>
      <c r="L1300" s="12" t="s">
        <v>163</v>
      </c>
      <c r="M1300" s="12" t="s">
        <v>71</v>
      </c>
      <c r="N1300" s="12" t="s">
        <v>134</v>
      </c>
      <c r="O1300" s="12" t="s">
        <v>233</v>
      </c>
      <c r="P1300" s="12" t="s">
        <v>468</v>
      </c>
      <c r="Q1300" s="7" t="str">
        <f t="shared" si="61"/>
        <v>(1982,4,'1982.01.23',23,31,56,66,85,0),</v>
      </c>
      <c r="R1300" s="7" t="str">
        <f t="shared" si="63"/>
        <v>(1982,4,'1982.01.23',23,31,56,66,85),</v>
      </c>
    </row>
    <row r="1301" spans="1:18" x14ac:dyDescent="0.25">
      <c r="A1301" s="7" t="s">
        <v>94</v>
      </c>
      <c r="B1301" s="8" t="s">
        <v>89</v>
      </c>
      <c r="C1301" s="10">
        <f t="shared" si="62"/>
        <v>29981</v>
      </c>
      <c r="D1301" t="s">
        <v>11</v>
      </c>
      <c r="E1301" t="s">
        <v>12</v>
      </c>
      <c r="F1301" t="s">
        <v>11</v>
      </c>
      <c r="G1301" t="s">
        <v>12</v>
      </c>
      <c r="H1301" t="s">
        <v>11</v>
      </c>
      <c r="I1301" t="s">
        <v>12</v>
      </c>
      <c r="J1301" t="s">
        <v>11</v>
      </c>
      <c r="K1301" t="s">
        <v>12</v>
      </c>
      <c r="L1301" s="12" t="s">
        <v>115</v>
      </c>
      <c r="M1301" s="12" t="s">
        <v>107</v>
      </c>
      <c r="N1301" s="12" t="s">
        <v>20</v>
      </c>
      <c r="O1301" s="12" t="s">
        <v>34</v>
      </c>
      <c r="P1301" s="12" t="s">
        <v>143</v>
      </c>
      <c r="Q1301" s="7" t="str">
        <f t="shared" si="61"/>
        <v>(1982,5,'1982.01.30',20,30,33,49,77,0),</v>
      </c>
      <c r="R1301" s="7" t="str">
        <f t="shared" si="63"/>
        <v>(1982,5,'1982.01.30',20,30,33,49,77),</v>
      </c>
    </row>
    <row r="1302" spans="1:18" x14ac:dyDescent="0.25">
      <c r="A1302" s="7" t="s">
        <v>94</v>
      </c>
      <c r="B1302" s="8" t="s">
        <v>270</v>
      </c>
      <c r="C1302" s="10">
        <f t="shared" si="62"/>
        <v>29988</v>
      </c>
      <c r="D1302" t="s">
        <v>11</v>
      </c>
      <c r="E1302" t="s">
        <v>12</v>
      </c>
      <c r="F1302" t="s">
        <v>11</v>
      </c>
      <c r="G1302" t="s">
        <v>12</v>
      </c>
      <c r="H1302" t="s">
        <v>11</v>
      </c>
      <c r="I1302" t="s">
        <v>12</v>
      </c>
      <c r="J1302" t="s">
        <v>11</v>
      </c>
      <c r="K1302" t="s">
        <v>12</v>
      </c>
      <c r="L1302" s="12" t="s">
        <v>42</v>
      </c>
      <c r="M1302" s="12" t="s">
        <v>198</v>
      </c>
      <c r="N1302" s="12" t="s">
        <v>83</v>
      </c>
      <c r="O1302" s="12" t="s">
        <v>116</v>
      </c>
      <c r="P1302" s="12" t="s">
        <v>56</v>
      </c>
      <c r="Q1302" s="7" t="str">
        <f t="shared" si="61"/>
        <v>(1982,6,'1982.02.06',3,9,11,29,71,0),</v>
      </c>
      <c r="R1302" s="7" t="str">
        <f t="shared" si="63"/>
        <v>(1982,6,'1982.02.06',3,9,11,29,71),</v>
      </c>
    </row>
    <row r="1303" spans="1:18" x14ac:dyDescent="0.25">
      <c r="A1303" s="7" t="s">
        <v>94</v>
      </c>
      <c r="B1303" s="8" t="s">
        <v>53</v>
      </c>
      <c r="C1303" s="10">
        <f t="shared" si="62"/>
        <v>29995</v>
      </c>
      <c r="D1303" t="s">
        <v>11</v>
      </c>
      <c r="E1303" t="s">
        <v>12</v>
      </c>
      <c r="F1303" t="s">
        <v>11</v>
      </c>
      <c r="G1303" t="s">
        <v>12</v>
      </c>
      <c r="H1303" t="s">
        <v>11</v>
      </c>
      <c r="I1303" t="s">
        <v>12</v>
      </c>
      <c r="J1303" t="s">
        <v>11</v>
      </c>
      <c r="K1303" t="s">
        <v>12</v>
      </c>
      <c r="L1303" s="12" t="s">
        <v>80</v>
      </c>
      <c r="M1303" s="12" t="s">
        <v>105</v>
      </c>
      <c r="N1303" s="12" t="s">
        <v>92</v>
      </c>
      <c r="O1303" s="12" t="s">
        <v>47</v>
      </c>
      <c r="P1303" s="12" t="s">
        <v>468</v>
      </c>
      <c r="Q1303" s="7" t="str">
        <f t="shared" si="61"/>
        <v>(1982,7,'1982.02.13',32,50,68,69,85,0),</v>
      </c>
      <c r="R1303" s="7" t="str">
        <f t="shared" si="63"/>
        <v>(1982,7,'1982.02.13',32,50,68,69,85),</v>
      </c>
    </row>
    <row r="1304" spans="1:18" x14ac:dyDescent="0.25">
      <c r="A1304" s="7" t="s">
        <v>94</v>
      </c>
      <c r="B1304" s="8" t="s">
        <v>232</v>
      </c>
      <c r="C1304" s="10">
        <f t="shared" si="62"/>
        <v>30002</v>
      </c>
      <c r="D1304" t="s">
        <v>11</v>
      </c>
      <c r="E1304" t="s">
        <v>12</v>
      </c>
      <c r="F1304" t="s">
        <v>11</v>
      </c>
      <c r="G1304" t="s">
        <v>12</v>
      </c>
      <c r="H1304" t="s">
        <v>11</v>
      </c>
      <c r="I1304" t="s">
        <v>12</v>
      </c>
      <c r="J1304" t="s">
        <v>11</v>
      </c>
      <c r="K1304" t="s">
        <v>12</v>
      </c>
      <c r="L1304" s="12" t="s">
        <v>44</v>
      </c>
      <c r="M1304" s="12" t="s">
        <v>98</v>
      </c>
      <c r="N1304" s="12" t="s">
        <v>123</v>
      </c>
      <c r="O1304" s="12" t="s">
        <v>239</v>
      </c>
      <c r="P1304" s="12" t="s">
        <v>269</v>
      </c>
      <c r="Q1304" s="7" t="str">
        <f t="shared" si="61"/>
        <v>(1982,8,'1982.02.20',21,42,54,73,87,0),</v>
      </c>
      <c r="R1304" s="7" t="str">
        <f t="shared" si="63"/>
        <v>(1982,8,'1982.02.20',21,42,54,73,87),</v>
      </c>
    </row>
    <row r="1305" spans="1:18" x14ac:dyDescent="0.25">
      <c r="A1305" s="7" t="s">
        <v>94</v>
      </c>
      <c r="B1305" s="8" t="s">
        <v>198</v>
      </c>
      <c r="C1305" s="10">
        <f t="shared" si="62"/>
        <v>30009</v>
      </c>
      <c r="D1305" t="s">
        <v>11</v>
      </c>
      <c r="E1305" t="s">
        <v>12</v>
      </c>
      <c r="F1305" t="s">
        <v>11</v>
      </c>
      <c r="G1305" t="s">
        <v>12</v>
      </c>
      <c r="H1305" t="s">
        <v>11</v>
      </c>
      <c r="I1305" t="s">
        <v>12</v>
      </c>
      <c r="J1305" t="s">
        <v>11</v>
      </c>
      <c r="K1305" t="s">
        <v>12</v>
      </c>
      <c r="L1305" s="12" t="s">
        <v>10</v>
      </c>
      <c r="M1305" s="12" t="s">
        <v>13</v>
      </c>
      <c r="N1305" s="12" t="s">
        <v>81</v>
      </c>
      <c r="O1305" s="12" t="s">
        <v>92</v>
      </c>
      <c r="P1305" s="12" t="s">
        <v>125</v>
      </c>
      <c r="Q1305" s="7" t="str">
        <f t="shared" si="61"/>
        <v>(1982,9,'1982.02.27',40,41,47,68,83,0),</v>
      </c>
      <c r="R1305" s="7" t="str">
        <f t="shared" si="63"/>
        <v>(1982,9,'1982.02.27',40,41,47,68,83),</v>
      </c>
    </row>
    <row r="1306" spans="1:18" x14ac:dyDescent="0.25">
      <c r="A1306" s="7" t="s">
        <v>94</v>
      </c>
      <c r="B1306" s="8" t="s">
        <v>62</v>
      </c>
      <c r="C1306" s="10">
        <f t="shared" si="62"/>
        <v>30016</v>
      </c>
      <c r="D1306" t="s">
        <v>11</v>
      </c>
      <c r="E1306" t="s">
        <v>12</v>
      </c>
      <c r="F1306" t="s">
        <v>11</v>
      </c>
      <c r="G1306" t="s">
        <v>12</v>
      </c>
      <c r="H1306" t="s">
        <v>11</v>
      </c>
      <c r="I1306" t="s">
        <v>12</v>
      </c>
      <c r="J1306" t="s">
        <v>11</v>
      </c>
      <c r="K1306" t="s">
        <v>12</v>
      </c>
      <c r="L1306" s="12" t="s">
        <v>32</v>
      </c>
      <c r="M1306" s="12" t="s">
        <v>116</v>
      </c>
      <c r="N1306" s="12" t="s">
        <v>21</v>
      </c>
      <c r="O1306" s="12" t="s">
        <v>134</v>
      </c>
      <c r="P1306" s="12" t="s">
        <v>106</v>
      </c>
      <c r="Q1306" s="7" t="str">
        <f t="shared" si="61"/>
        <v>(1982,10,'1982.03.06',22,29,36,56,75,0),</v>
      </c>
      <c r="R1306" s="7" t="str">
        <f t="shared" si="63"/>
        <v>(1982,10,'1982.03.06',22,29,36,56,75),</v>
      </c>
    </row>
    <row r="1307" spans="1:18" x14ac:dyDescent="0.25">
      <c r="A1307" s="7" t="s">
        <v>94</v>
      </c>
      <c r="B1307" s="8" t="s">
        <v>83</v>
      </c>
      <c r="C1307" s="10">
        <f t="shared" si="62"/>
        <v>30023</v>
      </c>
      <c r="D1307" t="s">
        <v>11</v>
      </c>
      <c r="E1307" t="s">
        <v>12</v>
      </c>
      <c r="F1307" t="s">
        <v>11</v>
      </c>
      <c r="G1307" t="s">
        <v>12</v>
      </c>
      <c r="H1307" t="s">
        <v>11</v>
      </c>
      <c r="I1307" t="s">
        <v>12</v>
      </c>
      <c r="J1307" t="s">
        <v>11</v>
      </c>
      <c r="K1307" t="s">
        <v>12</v>
      </c>
      <c r="L1307" s="12" t="s">
        <v>232</v>
      </c>
      <c r="M1307" s="12" t="s">
        <v>198</v>
      </c>
      <c r="N1307" s="12" t="s">
        <v>45</v>
      </c>
      <c r="O1307" s="12" t="s">
        <v>73</v>
      </c>
      <c r="P1307" s="12" t="s">
        <v>215</v>
      </c>
      <c r="Q1307" s="7" t="str">
        <f t="shared" si="61"/>
        <v>(1982,11,'1982.03.13',8,9,43,76,81,0),</v>
      </c>
      <c r="R1307" s="7" t="str">
        <f t="shared" si="63"/>
        <v>(1982,11,'1982.03.13',8,9,43,76,81),</v>
      </c>
    </row>
    <row r="1308" spans="1:18" x14ac:dyDescent="0.25">
      <c r="A1308" s="7" t="s">
        <v>94</v>
      </c>
      <c r="B1308" s="8" t="s">
        <v>31</v>
      </c>
      <c r="C1308" s="10">
        <f t="shared" si="62"/>
        <v>30030</v>
      </c>
      <c r="D1308" t="s">
        <v>11</v>
      </c>
      <c r="E1308" t="s">
        <v>12</v>
      </c>
      <c r="F1308" t="s">
        <v>11</v>
      </c>
      <c r="G1308" t="s">
        <v>12</v>
      </c>
      <c r="H1308" t="s">
        <v>11</v>
      </c>
      <c r="I1308" t="s">
        <v>12</v>
      </c>
      <c r="J1308" t="s">
        <v>11</v>
      </c>
      <c r="K1308" t="s">
        <v>12</v>
      </c>
      <c r="L1308" s="12" t="s">
        <v>45</v>
      </c>
      <c r="M1308" s="12" t="s">
        <v>82</v>
      </c>
      <c r="N1308" s="12" t="s">
        <v>47</v>
      </c>
      <c r="O1308" s="12" t="s">
        <v>622</v>
      </c>
      <c r="P1308" s="12" t="s">
        <v>468</v>
      </c>
      <c r="Q1308" s="7" t="str">
        <f t="shared" si="61"/>
        <v>(1982,12,'1982.03.20',43,59,69,82,85,0),</v>
      </c>
      <c r="R1308" s="7" t="str">
        <f t="shared" si="63"/>
        <v>(1982,12,'1982.03.20',43,59,69,82,85),</v>
      </c>
    </row>
    <row r="1309" spans="1:18" x14ac:dyDescent="0.25">
      <c r="A1309" s="7" t="s">
        <v>94</v>
      </c>
      <c r="B1309" s="8" t="s">
        <v>65</v>
      </c>
      <c r="C1309" s="10">
        <f t="shared" si="62"/>
        <v>30037</v>
      </c>
      <c r="D1309" t="s">
        <v>11</v>
      </c>
      <c r="E1309" t="s">
        <v>12</v>
      </c>
      <c r="F1309" t="s">
        <v>11</v>
      </c>
      <c r="G1309" t="s">
        <v>12</v>
      </c>
      <c r="H1309" t="s">
        <v>11</v>
      </c>
      <c r="I1309" t="s">
        <v>12</v>
      </c>
      <c r="J1309" t="s">
        <v>11</v>
      </c>
      <c r="K1309" t="s">
        <v>12</v>
      </c>
      <c r="L1309" s="12" t="s">
        <v>163</v>
      </c>
      <c r="M1309" s="12" t="s">
        <v>134</v>
      </c>
      <c r="N1309" s="12" t="s">
        <v>91</v>
      </c>
      <c r="O1309" s="12" t="s">
        <v>248</v>
      </c>
      <c r="P1309" s="12" t="s">
        <v>379</v>
      </c>
      <c r="Q1309" s="7" t="str">
        <f t="shared" si="61"/>
        <v>(1982,13,'1982.03.27',23,56,61,63,89,0),</v>
      </c>
      <c r="R1309" s="7" t="str">
        <f t="shared" si="63"/>
        <v>(1982,13,'1982.03.27',23,56,61,63,89),</v>
      </c>
    </row>
    <row r="1310" spans="1:18" x14ac:dyDescent="0.25">
      <c r="A1310" s="7" t="s">
        <v>94</v>
      </c>
      <c r="B1310" s="8" t="s">
        <v>127</v>
      </c>
      <c r="C1310" s="10">
        <f t="shared" si="62"/>
        <v>30044</v>
      </c>
      <c r="D1310" t="s">
        <v>11</v>
      </c>
      <c r="E1310" t="s">
        <v>12</v>
      </c>
      <c r="F1310" t="s">
        <v>11</v>
      </c>
      <c r="G1310" t="s">
        <v>12</v>
      </c>
      <c r="H1310" t="s">
        <v>11</v>
      </c>
      <c r="I1310" t="s">
        <v>12</v>
      </c>
      <c r="J1310" t="s">
        <v>11</v>
      </c>
      <c r="K1310" t="s">
        <v>12</v>
      </c>
      <c r="L1310" s="12" t="s">
        <v>168</v>
      </c>
      <c r="M1310" s="12" t="s">
        <v>31</v>
      </c>
      <c r="N1310" s="12" t="s">
        <v>152</v>
      </c>
      <c r="O1310" s="12" t="s">
        <v>36</v>
      </c>
      <c r="P1310" s="12" t="s">
        <v>233</v>
      </c>
      <c r="Q1310" s="7" t="str">
        <f t="shared" si="61"/>
        <v>(1982,14,'1982.04.03',4,12,25,38,66,0),</v>
      </c>
      <c r="R1310" s="7" t="str">
        <f t="shared" si="63"/>
        <v>(1982,14,'1982.04.03',4,12,25,38,66),</v>
      </c>
    </row>
    <row r="1311" spans="1:18" x14ac:dyDescent="0.25">
      <c r="A1311" s="7" t="s">
        <v>94</v>
      </c>
      <c r="B1311" s="8" t="s">
        <v>54</v>
      </c>
      <c r="C1311" s="10">
        <f t="shared" si="62"/>
        <v>30051</v>
      </c>
      <c r="D1311" t="s">
        <v>11</v>
      </c>
      <c r="E1311" t="s">
        <v>12</v>
      </c>
      <c r="F1311" t="s">
        <v>11</v>
      </c>
      <c r="G1311" t="s">
        <v>12</v>
      </c>
      <c r="H1311" t="s">
        <v>11</v>
      </c>
      <c r="I1311" t="s">
        <v>12</v>
      </c>
      <c r="J1311" t="s">
        <v>11</v>
      </c>
      <c r="K1311" t="s">
        <v>12</v>
      </c>
      <c r="L1311" s="12" t="s">
        <v>127</v>
      </c>
      <c r="M1311" s="12" t="s">
        <v>90</v>
      </c>
      <c r="N1311" s="12" t="s">
        <v>34</v>
      </c>
      <c r="O1311" s="12" t="s">
        <v>73</v>
      </c>
      <c r="P1311" s="12" t="s">
        <v>622</v>
      </c>
      <c r="Q1311" s="7" t="str">
        <f t="shared" si="61"/>
        <v>(1982,15,'1982.04.10',14,17,49,76,82,0),</v>
      </c>
      <c r="R1311" s="7" t="str">
        <f t="shared" si="63"/>
        <v>(1982,15,'1982.04.10',14,17,49,76,82),</v>
      </c>
    </row>
    <row r="1312" spans="1:18" x14ac:dyDescent="0.25">
      <c r="A1312" s="7" t="s">
        <v>94</v>
      </c>
      <c r="B1312" s="8" t="s">
        <v>43</v>
      </c>
      <c r="C1312" s="10">
        <f t="shared" si="62"/>
        <v>30058</v>
      </c>
      <c r="D1312" t="s">
        <v>11</v>
      </c>
      <c r="E1312" t="s">
        <v>12</v>
      </c>
      <c r="F1312" t="s">
        <v>11</v>
      </c>
      <c r="G1312" t="s">
        <v>12</v>
      </c>
      <c r="H1312" t="s">
        <v>11</v>
      </c>
      <c r="I1312" t="s">
        <v>12</v>
      </c>
      <c r="J1312" t="s">
        <v>11</v>
      </c>
      <c r="K1312" t="s">
        <v>12</v>
      </c>
      <c r="L1312" s="12" t="s">
        <v>108</v>
      </c>
      <c r="M1312" s="12" t="s">
        <v>168</v>
      </c>
      <c r="N1312" s="12" t="s">
        <v>19</v>
      </c>
      <c r="O1312" s="12" t="s">
        <v>192</v>
      </c>
      <c r="P1312" s="12" t="s">
        <v>81</v>
      </c>
      <c r="Q1312" s="7" t="str">
        <f t="shared" si="61"/>
        <v>(1982,16,'1982.04.17',1,4,18,46,47,0),</v>
      </c>
      <c r="R1312" s="7" t="str">
        <f t="shared" si="63"/>
        <v>(1982,16,'1982.04.17',1,4,18,46,47),</v>
      </c>
    </row>
    <row r="1313" spans="1:18" x14ac:dyDescent="0.25">
      <c r="A1313" s="7" t="s">
        <v>94</v>
      </c>
      <c r="B1313" s="8" t="s">
        <v>90</v>
      </c>
      <c r="C1313" s="10">
        <f t="shared" si="62"/>
        <v>30065</v>
      </c>
      <c r="D1313" t="s">
        <v>11</v>
      </c>
      <c r="E1313" t="s">
        <v>12</v>
      </c>
      <c r="F1313" t="s">
        <v>11</v>
      </c>
      <c r="G1313" t="s">
        <v>12</v>
      </c>
      <c r="H1313" t="s">
        <v>11</v>
      </c>
      <c r="I1313" t="s">
        <v>12</v>
      </c>
      <c r="J1313" t="s">
        <v>11</v>
      </c>
      <c r="K1313" t="s">
        <v>12</v>
      </c>
      <c r="L1313" s="12" t="s">
        <v>198</v>
      </c>
      <c r="M1313" s="12" t="s">
        <v>83</v>
      </c>
      <c r="N1313" s="12" t="s">
        <v>127</v>
      </c>
      <c r="O1313" s="12" t="s">
        <v>55</v>
      </c>
      <c r="P1313" s="12" t="s">
        <v>379</v>
      </c>
      <c r="Q1313" s="7" t="str">
        <f t="shared" si="61"/>
        <v>(1982,17,'1982.04.24',9,11,14,19,89,0),</v>
      </c>
      <c r="R1313" s="7" t="str">
        <f t="shared" si="63"/>
        <v>(1982,17,'1982.04.24',9,11,14,19,89),</v>
      </c>
    </row>
    <row r="1314" spans="1:18" x14ac:dyDescent="0.25">
      <c r="A1314" s="7" t="s">
        <v>94</v>
      </c>
      <c r="B1314" s="8" t="s">
        <v>19</v>
      </c>
      <c r="C1314" s="10">
        <f t="shared" si="62"/>
        <v>30072</v>
      </c>
      <c r="D1314" t="s">
        <v>11</v>
      </c>
      <c r="E1314" t="s">
        <v>12</v>
      </c>
      <c r="F1314" t="s">
        <v>11</v>
      </c>
      <c r="G1314" t="s">
        <v>12</v>
      </c>
      <c r="H1314" t="s">
        <v>11</v>
      </c>
      <c r="I1314" t="s">
        <v>12</v>
      </c>
      <c r="J1314" t="s">
        <v>11</v>
      </c>
      <c r="K1314" t="s">
        <v>12</v>
      </c>
      <c r="L1314" s="12" t="s">
        <v>46</v>
      </c>
      <c r="M1314" s="12" t="s">
        <v>81</v>
      </c>
      <c r="N1314" s="12" t="s">
        <v>199</v>
      </c>
      <c r="O1314" s="12" t="s">
        <v>124</v>
      </c>
      <c r="P1314" s="12" t="s">
        <v>106</v>
      </c>
      <c r="Q1314" s="7" t="str">
        <f t="shared" si="61"/>
        <v>(1982,18,'1982.05.01',37,47,53,62,75,0),</v>
      </c>
      <c r="R1314" s="7" t="str">
        <f t="shared" si="63"/>
        <v>(1982,18,'1982.05.01',37,47,53,62,75),</v>
      </c>
    </row>
    <row r="1315" spans="1:18" x14ac:dyDescent="0.25">
      <c r="A1315" s="7" t="s">
        <v>94</v>
      </c>
      <c r="B1315" s="8" t="s">
        <v>55</v>
      </c>
      <c r="C1315" s="10">
        <f t="shared" si="62"/>
        <v>30079</v>
      </c>
      <c r="D1315" t="s">
        <v>11</v>
      </c>
      <c r="E1315" t="s">
        <v>12</v>
      </c>
      <c r="F1315" t="s">
        <v>11</v>
      </c>
      <c r="G1315" t="s">
        <v>12</v>
      </c>
      <c r="H1315" t="s">
        <v>11</v>
      </c>
      <c r="I1315" t="s">
        <v>12</v>
      </c>
      <c r="J1315" t="s">
        <v>11</v>
      </c>
      <c r="K1315" t="s">
        <v>12</v>
      </c>
      <c r="L1315" s="12" t="s">
        <v>62</v>
      </c>
      <c r="M1315" s="12" t="s">
        <v>43</v>
      </c>
      <c r="N1315" s="12" t="s">
        <v>33</v>
      </c>
      <c r="O1315" s="12" t="s">
        <v>72</v>
      </c>
      <c r="P1315" s="12" t="s">
        <v>246</v>
      </c>
      <c r="Q1315" s="7" t="str">
        <f t="shared" si="61"/>
        <v>(1982,19,'1982.05.08',10,16,24,67,84,0),</v>
      </c>
      <c r="R1315" s="7" t="str">
        <f t="shared" si="63"/>
        <v>(1982,19,'1982.05.08',10,16,24,67,84),</v>
      </c>
    </row>
    <row r="1316" spans="1:18" x14ac:dyDescent="0.25">
      <c r="A1316" s="7" t="s">
        <v>94</v>
      </c>
      <c r="B1316" s="8" t="s">
        <v>115</v>
      </c>
      <c r="C1316" s="10">
        <f t="shared" si="62"/>
        <v>30086</v>
      </c>
      <c r="D1316" t="s">
        <v>11</v>
      </c>
      <c r="E1316" t="s">
        <v>12</v>
      </c>
      <c r="F1316" t="s">
        <v>11</v>
      </c>
      <c r="G1316" t="s">
        <v>12</v>
      </c>
      <c r="H1316" t="s">
        <v>11</v>
      </c>
      <c r="I1316" t="s">
        <v>12</v>
      </c>
      <c r="J1316" t="s">
        <v>11</v>
      </c>
      <c r="K1316" t="s">
        <v>12</v>
      </c>
      <c r="L1316" s="12" t="s">
        <v>43</v>
      </c>
      <c r="M1316" s="12" t="s">
        <v>32</v>
      </c>
      <c r="N1316" s="12" t="s">
        <v>74</v>
      </c>
      <c r="O1316" s="12" t="s">
        <v>116</v>
      </c>
      <c r="P1316" s="12" t="s">
        <v>214</v>
      </c>
      <c r="Q1316" s="7" t="str">
        <f t="shared" si="61"/>
        <v>(1982,20,'1982.05.15',16,22,26,29,64,0),</v>
      </c>
      <c r="R1316" s="7" t="str">
        <f t="shared" si="63"/>
        <v>(1982,20,'1982.05.15',16,22,26,29,64),</v>
      </c>
    </row>
    <row r="1317" spans="1:18" x14ac:dyDescent="0.25">
      <c r="A1317" s="7" t="s">
        <v>94</v>
      </c>
      <c r="B1317" s="8" t="s">
        <v>44</v>
      </c>
      <c r="C1317" s="10">
        <f t="shared" si="62"/>
        <v>30093</v>
      </c>
      <c r="D1317" t="s">
        <v>11</v>
      </c>
      <c r="E1317" t="s">
        <v>12</v>
      </c>
      <c r="F1317" t="s">
        <v>11</v>
      </c>
      <c r="G1317" t="s">
        <v>12</v>
      </c>
      <c r="H1317" t="s">
        <v>11</v>
      </c>
      <c r="I1317" t="s">
        <v>12</v>
      </c>
      <c r="J1317" t="s">
        <v>11</v>
      </c>
      <c r="K1317" t="s">
        <v>12</v>
      </c>
      <c r="L1317" s="12" t="s">
        <v>53</v>
      </c>
      <c r="M1317" s="12" t="s">
        <v>64</v>
      </c>
      <c r="N1317" s="12" t="s">
        <v>36</v>
      </c>
      <c r="O1317" s="12" t="s">
        <v>91</v>
      </c>
      <c r="P1317" s="12" t="s">
        <v>308</v>
      </c>
      <c r="Q1317" s="7" t="str">
        <f t="shared" si="61"/>
        <v>(1982,21,'1982.05.22',7,35,38,61,86,0),</v>
      </c>
      <c r="R1317" s="7" t="str">
        <f t="shared" si="63"/>
        <v>(1982,21,'1982.05.22',7,35,38,61,86),</v>
      </c>
    </row>
    <row r="1318" spans="1:18" x14ac:dyDescent="0.25">
      <c r="A1318" s="7" t="s">
        <v>94</v>
      </c>
      <c r="B1318" s="8" t="s">
        <v>32</v>
      </c>
      <c r="C1318" s="10">
        <f t="shared" si="62"/>
        <v>30100</v>
      </c>
      <c r="D1318" t="s">
        <v>11</v>
      </c>
      <c r="E1318" t="s">
        <v>12</v>
      </c>
      <c r="F1318" t="s">
        <v>11</v>
      </c>
      <c r="G1318" t="s">
        <v>12</v>
      </c>
      <c r="H1318" t="s">
        <v>11</v>
      </c>
      <c r="I1318" t="s">
        <v>12</v>
      </c>
      <c r="J1318" t="s">
        <v>11</v>
      </c>
      <c r="K1318" t="s">
        <v>12</v>
      </c>
      <c r="L1318" s="12" t="s">
        <v>65</v>
      </c>
      <c r="M1318" s="12" t="s">
        <v>80</v>
      </c>
      <c r="N1318" s="12" t="s">
        <v>45</v>
      </c>
      <c r="O1318" s="12" t="s">
        <v>124</v>
      </c>
      <c r="P1318" s="12" t="s">
        <v>186</v>
      </c>
      <c r="Q1318" s="7" t="str">
        <f t="shared" si="61"/>
        <v>(1982,22,'1982.05.29',13,32,43,62,90,0),</v>
      </c>
      <c r="R1318" s="7" t="str">
        <f t="shared" si="63"/>
        <v>(1982,22,'1982.05.29',13,32,43,62,90),</v>
      </c>
    </row>
    <row r="1319" spans="1:18" x14ac:dyDescent="0.25">
      <c r="A1319" s="7" t="s">
        <v>94</v>
      </c>
      <c r="B1319" s="8" t="s">
        <v>163</v>
      </c>
      <c r="C1319" s="10">
        <f t="shared" si="62"/>
        <v>30107</v>
      </c>
      <c r="D1319" t="s">
        <v>11</v>
      </c>
      <c r="E1319" t="s">
        <v>12</v>
      </c>
      <c r="F1319" t="s">
        <v>11</v>
      </c>
      <c r="G1319" t="s">
        <v>12</v>
      </c>
      <c r="H1319" t="s">
        <v>11</v>
      </c>
      <c r="I1319" t="s">
        <v>12</v>
      </c>
      <c r="J1319" t="s">
        <v>11</v>
      </c>
      <c r="K1319" t="s">
        <v>12</v>
      </c>
      <c r="L1319" s="12" t="s">
        <v>83</v>
      </c>
      <c r="M1319" s="12" t="s">
        <v>90</v>
      </c>
      <c r="N1319" s="12" t="s">
        <v>22</v>
      </c>
      <c r="O1319" s="12" t="s">
        <v>208</v>
      </c>
      <c r="P1319" s="12" t="s">
        <v>186</v>
      </c>
      <c r="Q1319" s="7" t="str">
        <f t="shared" si="61"/>
        <v>(1982,23,'1982.06.05',11,17,48,88,90,0),</v>
      </c>
      <c r="R1319" s="7" t="str">
        <f t="shared" si="63"/>
        <v>(1982,23,'1982.06.05',11,17,48,88,90),</v>
      </c>
    </row>
    <row r="1320" spans="1:18" x14ac:dyDescent="0.25">
      <c r="A1320" s="7" t="s">
        <v>94</v>
      </c>
      <c r="B1320" s="8" t="s">
        <v>33</v>
      </c>
      <c r="C1320" s="10">
        <f t="shared" si="62"/>
        <v>30114</v>
      </c>
      <c r="D1320" t="s">
        <v>11</v>
      </c>
      <c r="E1320" t="s">
        <v>12</v>
      </c>
      <c r="F1320" t="s">
        <v>11</v>
      </c>
      <c r="G1320" t="s">
        <v>12</v>
      </c>
      <c r="H1320" t="s">
        <v>11</v>
      </c>
      <c r="I1320" t="s">
        <v>12</v>
      </c>
      <c r="J1320" t="s">
        <v>11</v>
      </c>
      <c r="K1320" t="s">
        <v>12</v>
      </c>
      <c r="L1320" s="12" t="s">
        <v>108</v>
      </c>
      <c r="M1320" s="12" t="s">
        <v>232</v>
      </c>
      <c r="N1320" s="12" t="s">
        <v>20</v>
      </c>
      <c r="O1320" s="12" t="s">
        <v>25</v>
      </c>
      <c r="P1320" s="12" t="s">
        <v>64</v>
      </c>
      <c r="Q1320" s="7" t="str">
        <f t="shared" si="61"/>
        <v>(1982,24,'1982.06.12',1,8,33,34,35,0),</v>
      </c>
      <c r="R1320" s="7" t="str">
        <f t="shared" si="63"/>
        <v>(1982,24,'1982.06.12',1,8,33,34,35),</v>
      </c>
    </row>
    <row r="1321" spans="1:18" x14ac:dyDescent="0.25">
      <c r="A1321" s="7" t="s">
        <v>94</v>
      </c>
      <c r="B1321" s="8" t="s">
        <v>152</v>
      </c>
      <c r="C1321" s="10">
        <f t="shared" si="62"/>
        <v>30121</v>
      </c>
      <c r="D1321" t="s">
        <v>11</v>
      </c>
      <c r="E1321" t="s">
        <v>12</v>
      </c>
      <c r="F1321" t="s">
        <v>11</v>
      </c>
      <c r="G1321" t="s">
        <v>12</v>
      </c>
      <c r="H1321" t="s">
        <v>11</v>
      </c>
      <c r="I1321" t="s">
        <v>12</v>
      </c>
      <c r="J1321" t="s">
        <v>11</v>
      </c>
      <c r="K1321" t="s">
        <v>12</v>
      </c>
      <c r="L1321" s="12" t="s">
        <v>232</v>
      </c>
      <c r="M1321" s="12" t="s">
        <v>115</v>
      </c>
      <c r="N1321" s="12" t="s">
        <v>116</v>
      </c>
      <c r="O1321" s="12" t="s">
        <v>71</v>
      </c>
      <c r="P1321" s="12" t="s">
        <v>98</v>
      </c>
      <c r="Q1321" s="7" t="str">
        <f t="shared" si="61"/>
        <v>(1982,25,'1982.06.19',8,20,29,31,42,0),</v>
      </c>
      <c r="R1321" s="7" t="str">
        <f t="shared" si="63"/>
        <v>(1982,25,'1982.06.19',8,20,29,31,42),</v>
      </c>
    </row>
    <row r="1322" spans="1:18" x14ac:dyDescent="0.25">
      <c r="A1322" s="7" t="s">
        <v>94</v>
      </c>
      <c r="B1322" s="8" t="s">
        <v>74</v>
      </c>
      <c r="C1322" s="10">
        <f t="shared" si="62"/>
        <v>30128</v>
      </c>
      <c r="D1322" t="s">
        <v>11</v>
      </c>
      <c r="E1322" t="s">
        <v>12</v>
      </c>
      <c r="F1322" t="s">
        <v>11</v>
      </c>
      <c r="G1322" t="s">
        <v>12</v>
      </c>
      <c r="H1322" t="s">
        <v>11</v>
      </c>
      <c r="I1322" t="s">
        <v>12</v>
      </c>
      <c r="J1322" t="s">
        <v>11</v>
      </c>
      <c r="K1322" t="s">
        <v>12</v>
      </c>
      <c r="L1322" s="12" t="s">
        <v>42</v>
      </c>
      <c r="M1322" s="12" t="s">
        <v>80</v>
      </c>
      <c r="N1322" s="12" t="s">
        <v>105</v>
      </c>
      <c r="O1322" s="12" t="s">
        <v>99</v>
      </c>
      <c r="P1322" s="12" t="s">
        <v>47</v>
      </c>
      <c r="Q1322" s="7" t="str">
        <f t="shared" si="61"/>
        <v>(1982,26,'1982.06.26',3,32,50,52,69,0),</v>
      </c>
      <c r="R1322" s="7" t="str">
        <f t="shared" si="63"/>
        <v>(1982,26,'1982.06.26',3,32,50,52,69),</v>
      </c>
    </row>
    <row r="1323" spans="1:18" x14ac:dyDescent="0.25">
      <c r="A1323" s="7" t="s">
        <v>94</v>
      </c>
      <c r="B1323" s="8" t="s">
        <v>135</v>
      </c>
      <c r="C1323" s="10">
        <f t="shared" si="62"/>
        <v>30135</v>
      </c>
      <c r="D1323" t="s">
        <v>11</v>
      </c>
      <c r="E1323" t="s">
        <v>12</v>
      </c>
      <c r="F1323" t="s">
        <v>11</v>
      </c>
      <c r="G1323" t="s">
        <v>12</v>
      </c>
      <c r="H1323" t="s">
        <v>11</v>
      </c>
      <c r="I1323" t="s">
        <v>12</v>
      </c>
      <c r="J1323" t="s">
        <v>11</v>
      </c>
      <c r="K1323" t="s">
        <v>12</v>
      </c>
      <c r="L1323" s="12" t="s">
        <v>232</v>
      </c>
      <c r="M1323" s="12" t="s">
        <v>43</v>
      </c>
      <c r="N1323" s="12" t="s">
        <v>90</v>
      </c>
      <c r="O1323" s="12" t="s">
        <v>22</v>
      </c>
      <c r="P1323" s="12" t="s">
        <v>308</v>
      </c>
      <c r="Q1323" s="7" t="str">
        <f t="shared" si="61"/>
        <v>(1982,27,'1982.07.03',8,16,17,48,86,0),</v>
      </c>
      <c r="R1323" s="7" t="str">
        <f t="shared" si="63"/>
        <v>(1982,27,'1982.07.03',8,16,17,48,86),</v>
      </c>
    </row>
    <row r="1324" spans="1:18" x14ac:dyDescent="0.25">
      <c r="A1324" s="7" t="s">
        <v>94</v>
      </c>
      <c r="B1324" s="8" t="s">
        <v>126</v>
      </c>
      <c r="C1324" s="10">
        <f t="shared" si="62"/>
        <v>30142</v>
      </c>
      <c r="D1324" t="s">
        <v>11</v>
      </c>
      <c r="E1324" t="s">
        <v>12</v>
      </c>
      <c r="F1324" t="s">
        <v>11</v>
      </c>
      <c r="G1324" t="s">
        <v>12</v>
      </c>
      <c r="H1324" t="s">
        <v>11</v>
      </c>
      <c r="I1324" t="s">
        <v>12</v>
      </c>
      <c r="J1324" t="s">
        <v>11</v>
      </c>
      <c r="K1324" t="s">
        <v>12</v>
      </c>
      <c r="L1324" s="12" t="s">
        <v>163</v>
      </c>
      <c r="M1324" s="12" t="s">
        <v>116</v>
      </c>
      <c r="N1324" s="12" t="s">
        <v>13</v>
      </c>
      <c r="O1324" s="12" t="s">
        <v>133</v>
      </c>
      <c r="P1324" s="12" t="s">
        <v>248</v>
      </c>
      <c r="Q1324" s="7" t="str">
        <f t="shared" si="61"/>
        <v>(1982,28,'1982.07.10',23,29,41,45,63,0),</v>
      </c>
      <c r="R1324" s="7" t="str">
        <f t="shared" si="63"/>
        <v>(1982,28,'1982.07.10',23,29,41,45,63),</v>
      </c>
    </row>
    <row r="1325" spans="1:18" x14ac:dyDescent="0.25">
      <c r="A1325" s="7" t="s">
        <v>94</v>
      </c>
      <c r="B1325" s="8" t="s">
        <v>116</v>
      </c>
      <c r="C1325" s="10">
        <f t="shared" si="62"/>
        <v>30149</v>
      </c>
      <c r="D1325" t="s">
        <v>11</v>
      </c>
      <c r="E1325" t="s">
        <v>12</v>
      </c>
      <c r="F1325" t="s">
        <v>11</v>
      </c>
      <c r="G1325" t="s">
        <v>12</v>
      </c>
      <c r="H1325" t="s">
        <v>11</v>
      </c>
      <c r="I1325" t="s">
        <v>12</v>
      </c>
      <c r="J1325" t="s">
        <v>11</v>
      </c>
      <c r="K1325" t="s">
        <v>12</v>
      </c>
      <c r="L1325" s="12" t="s">
        <v>25</v>
      </c>
      <c r="M1325" s="12" t="s">
        <v>24</v>
      </c>
      <c r="N1325" s="12" t="s">
        <v>175</v>
      </c>
      <c r="O1325" s="12" t="s">
        <v>124</v>
      </c>
      <c r="P1325" s="12" t="s">
        <v>215</v>
      </c>
      <c r="Q1325" s="7" t="str">
        <f t="shared" si="61"/>
        <v>(1982,29,'1982.07.17',34,39,55,62,81,0),</v>
      </c>
      <c r="R1325" s="7" t="str">
        <f t="shared" si="63"/>
        <v>(1982,29,'1982.07.17',34,39,55,62,81),</v>
      </c>
    </row>
    <row r="1326" spans="1:18" x14ac:dyDescent="0.25">
      <c r="A1326" s="7" t="s">
        <v>94</v>
      </c>
      <c r="B1326" s="8" t="s">
        <v>107</v>
      </c>
      <c r="C1326" s="10">
        <f t="shared" si="62"/>
        <v>30156</v>
      </c>
      <c r="D1326" t="s">
        <v>11</v>
      </c>
      <c r="E1326" t="s">
        <v>12</v>
      </c>
      <c r="F1326" t="s">
        <v>11</v>
      </c>
      <c r="G1326" t="s">
        <v>12</v>
      </c>
      <c r="H1326" t="s">
        <v>11</v>
      </c>
      <c r="I1326" t="s">
        <v>12</v>
      </c>
      <c r="J1326" t="s">
        <v>11</v>
      </c>
      <c r="K1326" t="s">
        <v>12</v>
      </c>
      <c r="L1326" s="12" t="s">
        <v>107</v>
      </c>
      <c r="M1326" s="12" t="s">
        <v>22</v>
      </c>
      <c r="N1326" s="12" t="s">
        <v>201</v>
      </c>
      <c r="O1326" s="12" t="s">
        <v>73</v>
      </c>
      <c r="P1326" s="12" t="s">
        <v>269</v>
      </c>
      <c r="Q1326" s="7" t="str">
        <f t="shared" si="61"/>
        <v>(1982,30,'1982.07.24',30,48,72,76,87,0),</v>
      </c>
      <c r="R1326" s="7" t="str">
        <f t="shared" si="63"/>
        <v>(1982,30,'1982.07.24',30,48,72,76,87),</v>
      </c>
    </row>
    <row r="1327" spans="1:18" x14ac:dyDescent="0.25">
      <c r="A1327" s="7" t="s">
        <v>94</v>
      </c>
      <c r="B1327" s="8" t="s">
        <v>71</v>
      </c>
      <c r="C1327" s="10">
        <f t="shared" si="62"/>
        <v>30163</v>
      </c>
      <c r="D1327" t="s">
        <v>11</v>
      </c>
      <c r="E1327" t="s">
        <v>12</v>
      </c>
      <c r="F1327" t="s">
        <v>11</v>
      </c>
      <c r="G1327" t="s">
        <v>12</v>
      </c>
      <c r="H1327" t="s">
        <v>11</v>
      </c>
      <c r="I1327" t="s">
        <v>12</v>
      </c>
      <c r="J1327" t="s">
        <v>11</v>
      </c>
      <c r="K1327" t="s">
        <v>12</v>
      </c>
      <c r="L1327" s="12" t="s">
        <v>43</v>
      </c>
      <c r="M1327" s="12" t="s">
        <v>13</v>
      </c>
      <c r="N1327" s="12" t="s">
        <v>142</v>
      </c>
      <c r="O1327" s="12" t="s">
        <v>34</v>
      </c>
      <c r="P1327" s="12" t="s">
        <v>301</v>
      </c>
      <c r="Q1327" s="7" t="str">
        <f t="shared" si="61"/>
        <v>(1982,31,'1982.07.31',16,41,44,49,80,0),</v>
      </c>
      <c r="R1327" s="7" t="str">
        <f t="shared" si="63"/>
        <v>(1982,31,'1982.07.31',16,41,44,49,80),</v>
      </c>
    </row>
    <row r="1328" spans="1:18" x14ac:dyDescent="0.25">
      <c r="A1328" s="7" t="s">
        <v>94</v>
      </c>
      <c r="B1328" s="8" t="s">
        <v>80</v>
      </c>
      <c r="C1328" s="10">
        <f t="shared" si="62"/>
        <v>30170</v>
      </c>
      <c r="D1328" t="s">
        <v>11</v>
      </c>
      <c r="E1328" t="s">
        <v>12</v>
      </c>
      <c r="F1328" t="s">
        <v>11</v>
      </c>
      <c r="G1328" t="s">
        <v>12</v>
      </c>
      <c r="H1328" t="s">
        <v>11</v>
      </c>
      <c r="I1328" t="s">
        <v>12</v>
      </c>
      <c r="J1328" t="s">
        <v>11</v>
      </c>
      <c r="K1328" t="s">
        <v>12</v>
      </c>
      <c r="L1328" s="12" t="s">
        <v>43</v>
      </c>
      <c r="M1328" s="12" t="s">
        <v>21</v>
      </c>
      <c r="N1328" s="12" t="s">
        <v>23</v>
      </c>
      <c r="O1328" s="12" t="s">
        <v>233</v>
      </c>
      <c r="P1328" s="12" t="s">
        <v>201</v>
      </c>
      <c r="Q1328" s="7" t="str">
        <f t="shared" si="61"/>
        <v>(1982,32,'1982.08.07',16,36,60,66,72,0),</v>
      </c>
      <c r="R1328" s="7" t="str">
        <f t="shared" si="63"/>
        <v>(1982,32,'1982.08.07',16,36,60,66,72),</v>
      </c>
    </row>
    <row r="1329" spans="1:18" x14ac:dyDescent="0.25">
      <c r="A1329" s="7" t="s">
        <v>94</v>
      </c>
      <c r="B1329" s="8" t="s">
        <v>20</v>
      </c>
      <c r="C1329" s="10">
        <f t="shared" si="62"/>
        <v>30177</v>
      </c>
      <c r="D1329" t="s">
        <v>11</v>
      </c>
      <c r="E1329" t="s">
        <v>12</v>
      </c>
      <c r="F1329" t="s">
        <v>11</v>
      </c>
      <c r="G1329" t="s">
        <v>12</v>
      </c>
      <c r="H1329" t="s">
        <v>11</v>
      </c>
      <c r="I1329" t="s">
        <v>12</v>
      </c>
      <c r="J1329" t="s">
        <v>11</v>
      </c>
      <c r="K1329" t="s">
        <v>12</v>
      </c>
      <c r="L1329" s="12" t="s">
        <v>64</v>
      </c>
      <c r="M1329" s="12" t="s">
        <v>214</v>
      </c>
      <c r="N1329" s="12" t="s">
        <v>35</v>
      </c>
      <c r="O1329" s="12" t="s">
        <v>308</v>
      </c>
      <c r="P1329" s="12" t="s">
        <v>208</v>
      </c>
      <c r="Q1329" s="7" t="str">
        <f t="shared" si="61"/>
        <v>(1982,33,'1982.08.14',35,64,65,86,88,0),</v>
      </c>
      <c r="R1329" s="7" t="str">
        <f t="shared" si="63"/>
        <v>(1982,33,'1982.08.14',35,64,65,86,88),</v>
      </c>
    </row>
    <row r="1330" spans="1:18" x14ac:dyDescent="0.25">
      <c r="A1330" s="7" t="s">
        <v>94</v>
      </c>
      <c r="B1330" s="8" t="s">
        <v>25</v>
      </c>
      <c r="C1330" s="10">
        <f t="shared" si="62"/>
        <v>30184</v>
      </c>
      <c r="D1330" t="s">
        <v>11</v>
      </c>
      <c r="E1330" t="s">
        <v>12</v>
      </c>
      <c r="F1330" t="s">
        <v>11</v>
      </c>
      <c r="G1330" t="s">
        <v>12</v>
      </c>
      <c r="H1330" t="s">
        <v>11</v>
      </c>
      <c r="I1330" t="s">
        <v>12</v>
      </c>
      <c r="J1330" t="s">
        <v>11</v>
      </c>
      <c r="K1330" t="s">
        <v>12</v>
      </c>
      <c r="L1330" s="12" t="s">
        <v>43</v>
      </c>
      <c r="M1330" s="12" t="s">
        <v>192</v>
      </c>
      <c r="N1330" s="12" t="s">
        <v>122</v>
      </c>
      <c r="O1330" s="12" t="s">
        <v>239</v>
      </c>
      <c r="P1330" s="12" t="s">
        <v>125</v>
      </c>
      <c r="Q1330" s="7" t="str">
        <f t="shared" si="61"/>
        <v>(1982,34,'1982.08.21',16,46,51,73,83,0),</v>
      </c>
      <c r="R1330" s="7" t="str">
        <f t="shared" si="63"/>
        <v>(1982,34,'1982.08.21',16,46,51,73,83),</v>
      </c>
    </row>
    <row r="1331" spans="1:18" x14ac:dyDescent="0.25">
      <c r="A1331" s="7" t="s">
        <v>94</v>
      </c>
      <c r="B1331" s="8" t="s">
        <v>64</v>
      </c>
      <c r="C1331" s="10">
        <f t="shared" si="62"/>
        <v>30191</v>
      </c>
      <c r="D1331" t="s">
        <v>11</v>
      </c>
      <c r="E1331" t="s">
        <v>12</v>
      </c>
      <c r="F1331" t="s">
        <v>11</v>
      </c>
      <c r="G1331" t="s">
        <v>12</v>
      </c>
      <c r="H1331" t="s">
        <v>11</v>
      </c>
      <c r="I1331" t="s">
        <v>12</v>
      </c>
      <c r="J1331" t="s">
        <v>11</v>
      </c>
      <c r="K1331" t="s">
        <v>12</v>
      </c>
      <c r="L1331" s="12" t="s">
        <v>108</v>
      </c>
      <c r="M1331" s="12" t="s">
        <v>22</v>
      </c>
      <c r="N1331" s="12" t="s">
        <v>56</v>
      </c>
      <c r="O1331" s="12" t="s">
        <v>245</v>
      </c>
      <c r="P1331" s="12" t="s">
        <v>379</v>
      </c>
      <c r="Q1331" s="7" t="str">
        <f t="shared" si="61"/>
        <v>(1982,35,'1982.08.28',1,48,71,74,89,0),</v>
      </c>
      <c r="R1331" s="7" t="str">
        <f t="shared" si="63"/>
        <v>(1982,35,'1982.08.28',1,48,71,74,89),</v>
      </c>
    </row>
    <row r="1332" spans="1:18" x14ac:dyDescent="0.25">
      <c r="A1332" s="7" t="s">
        <v>94</v>
      </c>
      <c r="B1332" s="8" t="s">
        <v>21</v>
      </c>
      <c r="C1332" s="10">
        <f t="shared" si="62"/>
        <v>30198</v>
      </c>
      <c r="D1332" t="s">
        <v>11</v>
      </c>
      <c r="E1332" t="s">
        <v>12</v>
      </c>
      <c r="F1332" t="s">
        <v>11</v>
      </c>
      <c r="G1332" t="s">
        <v>12</v>
      </c>
      <c r="H1332" t="s">
        <v>11</v>
      </c>
      <c r="I1332" t="s">
        <v>12</v>
      </c>
      <c r="J1332" t="s">
        <v>11</v>
      </c>
      <c r="K1332" t="s">
        <v>12</v>
      </c>
      <c r="L1332" s="12" t="s">
        <v>19</v>
      </c>
      <c r="M1332" s="12" t="s">
        <v>116</v>
      </c>
      <c r="N1332" s="12" t="s">
        <v>72</v>
      </c>
      <c r="O1332" s="12" t="s">
        <v>468</v>
      </c>
      <c r="P1332" s="12" t="s">
        <v>269</v>
      </c>
      <c r="Q1332" s="7" t="str">
        <f t="shared" si="61"/>
        <v>(1982,36,'1982.09.04',18,29,67,85,87,0),</v>
      </c>
      <c r="R1332" s="7" t="str">
        <f t="shared" si="63"/>
        <v>(1982,36,'1982.09.04',18,29,67,85,87),</v>
      </c>
    </row>
    <row r="1333" spans="1:18" x14ac:dyDescent="0.25">
      <c r="A1333" s="7" t="s">
        <v>94</v>
      </c>
      <c r="B1333" s="8" t="s">
        <v>46</v>
      </c>
      <c r="C1333" s="10">
        <f t="shared" si="62"/>
        <v>30205</v>
      </c>
      <c r="D1333" t="s">
        <v>11</v>
      </c>
      <c r="E1333" t="s">
        <v>12</v>
      </c>
      <c r="F1333" t="s">
        <v>11</v>
      </c>
      <c r="G1333" t="s">
        <v>12</v>
      </c>
      <c r="H1333" t="s">
        <v>11</v>
      </c>
      <c r="I1333" t="s">
        <v>12</v>
      </c>
      <c r="J1333" t="s">
        <v>11</v>
      </c>
      <c r="K1333" t="s">
        <v>12</v>
      </c>
      <c r="L1333" s="12" t="s">
        <v>232</v>
      </c>
      <c r="M1333" s="12" t="s">
        <v>198</v>
      </c>
      <c r="N1333" s="12" t="s">
        <v>45</v>
      </c>
      <c r="O1333" s="12" t="s">
        <v>201</v>
      </c>
      <c r="P1333" s="12" t="s">
        <v>246</v>
      </c>
      <c r="Q1333" s="7" t="str">
        <f t="shared" si="61"/>
        <v>(1982,37,'1982.09.11',8,9,43,72,84,0),</v>
      </c>
      <c r="R1333" s="7" t="str">
        <f t="shared" si="63"/>
        <v>(1982,37,'1982.09.11',8,9,43,72,84),</v>
      </c>
    </row>
    <row r="1334" spans="1:18" x14ac:dyDescent="0.25">
      <c r="A1334" s="7" t="s">
        <v>94</v>
      </c>
      <c r="B1334" s="8" t="s">
        <v>36</v>
      </c>
      <c r="C1334" s="10">
        <f t="shared" si="62"/>
        <v>30212</v>
      </c>
      <c r="D1334" t="s">
        <v>11</v>
      </c>
      <c r="E1334" t="s">
        <v>12</v>
      </c>
      <c r="F1334" t="s">
        <v>11</v>
      </c>
      <c r="G1334" t="s">
        <v>12</v>
      </c>
      <c r="H1334" t="s">
        <v>11</v>
      </c>
      <c r="I1334" t="s">
        <v>12</v>
      </c>
      <c r="J1334" t="s">
        <v>11</v>
      </c>
      <c r="K1334" t="s">
        <v>12</v>
      </c>
      <c r="L1334" s="12" t="s">
        <v>232</v>
      </c>
      <c r="M1334" s="12" t="s">
        <v>198</v>
      </c>
      <c r="N1334" s="12" t="s">
        <v>55</v>
      </c>
      <c r="O1334" s="12" t="s">
        <v>74</v>
      </c>
      <c r="P1334" s="12" t="s">
        <v>91</v>
      </c>
      <c r="Q1334" s="7" t="str">
        <f t="shared" si="61"/>
        <v>(1982,38,'1982.09.18',8,9,19,26,61,0),</v>
      </c>
      <c r="R1334" s="7" t="str">
        <f t="shared" si="63"/>
        <v>(1982,38,'1982.09.18',8,9,19,26,61),</v>
      </c>
    </row>
    <row r="1335" spans="1:18" x14ac:dyDescent="0.25">
      <c r="A1335" s="7" t="s">
        <v>94</v>
      </c>
      <c r="B1335" s="8" t="s">
        <v>24</v>
      </c>
      <c r="C1335" s="10">
        <f t="shared" si="62"/>
        <v>30219</v>
      </c>
      <c r="D1335" t="s">
        <v>11</v>
      </c>
      <c r="E1335" t="s">
        <v>12</v>
      </c>
      <c r="F1335" t="s">
        <v>11</v>
      </c>
      <c r="G1335" t="s">
        <v>12</v>
      </c>
      <c r="H1335" t="s">
        <v>11</v>
      </c>
      <c r="I1335" t="s">
        <v>12</v>
      </c>
      <c r="J1335" t="s">
        <v>11</v>
      </c>
      <c r="K1335" t="s">
        <v>12</v>
      </c>
      <c r="L1335" s="12" t="s">
        <v>71</v>
      </c>
      <c r="M1335" s="12" t="s">
        <v>123</v>
      </c>
      <c r="N1335" s="12" t="s">
        <v>169</v>
      </c>
      <c r="O1335" s="12" t="s">
        <v>82</v>
      </c>
      <c r="P1335" s="12" t="s">
        <v>47</v>
      </c>
      <c r="Q1335" s="7" t="str">
        <f t="shared" si="61"/>
        <v>(1982,39,'1982.09.25',31,54,58,59,69,0),</v>
      </c>
      <c r="R1335" s="7" t="str">
        <f t="shared" si="63"/>
        <v>(1982,39,'1982.09.25',31,54,58,59,69),</v>
      </c>
    </row>
    <row r="1336" spans="1:18" x14ac:dyDescent="0.25">
      <c r="A1336" s="7" t="s">
        <v>94</v>
      </c>
      <c r="B1336" s="8" t="s">
        <v>10</v>
      </c>
      <c r="C1336" s="10">
        <f t="shared" si="62"/>
        <v>30226</v>
      </c>
      <c r="D1336" t="s">
        <v>11</v>
      </c>
      <c r="E1336" t="s">
        <v>12</v>
      </c>
      <c r="F1336" t="s">
        <v>11</v>
      </c>
      <c r="G1336" t="s">
        <v>12</v>
      </c>
      <c r="H1336" t="s">
        <v>11</v>
      </c>
      <c r="I1336" t="s">
        <v>12</v>
      </c>
      <c r="J1336" t="s">
        <v>11</v>
      </c>
      <c r="K1336" t="s">
        <v>12</v>
      </c>
      <c r="L1336" s="12" t="s">
        <v>270</v>
      </c>
      <c r="M1336" s="12" t="s">
        <v>13</v>
      </c>
      <c r="N1336" s="12" t="s">
        <v>92</v>
      </c>
      <c r="O1336" s="12" t="s">
        <v>56</v>
      </c>
      <c r="P1336" s="12" t="s">
        <v>215</v>
      </c>
      <c r="Q1336" s="7" t="str">
        <f t="shared" si="61"/>
        <v>(1982,40,'1982.10.02',6,41,68,71,81,0),</v>
      </c>
      <c r="R1336" s="7" t="str">
        <f t="shared" si="63"/>
        <v>(1982,40,'1982.10.02',6,41,68,71,81),</v>
      </c>
    </row>
    <row r="1337" spans="1:18" x14ac:dyDescent="0.25">
      <c r="A1337" s="7" t="s">
        <v>94</v>
      </c>
      <c r="B1337" s="8" t="s">
        <v>13</v>
      </c>
      <c r="C1337" s="10">
        <f t="shared" si="62"/>
        <v>30233</v>
      </c>
      <c r="D1337" t="s">
        <v>11</v>
      </c>
      <c r="E1337" t="s">
        <v>12</v>
      </c>
      <c r="F1337" t="s">
        <v>11</v>
      </c>
      <c r="G1337" t="s">
        <v>12</v>
      </c>
      <c r="H1337" t="s">
        <v>11</v>
      </c>
      <c r="I1337" t="s">
        <v>12</v>
      </c>
      <c r="J1337" t="s">
        <v>11</v>
      </c>
      <c r="K1337" t="s">
        <v>12</v>
      </c>
      <c r="L1337" s="12" t="s">
        <v>62</v>
      </c>
      <c r="M1337" s="12" t="s">
        <v>152</v>
      </c>
      <c r="N1337" s="12" t="s">
        <v>23</v>
      </c>
      <c r="O1337" s="12" t="s">
        <v>63</v>
      </c>
      <c r="P1337" s="12" t="s">
        <v>151</v>
      </c>
      <c r="Q1337" s="7" t="str">
        <f t="shared" si="61"/>
        <v>(1982,41,'1982.10.09',10,25,60,78,79,0),</v>
      </c>
      <c r="R1337" s="7" t="str">
        <f t="shared" si="63"/>
        <v>(1982,41,'1982.10.09',10,25,60,78,79),</v>
      </c>
    </row>
    <row r="1338" spans="1:18" x14ac:dyDescent="0.25">
      <c r="A1338" s="7" t="s">
        <v>94</v>
      </c>
      <c r="B1338" s="8" t="s">
        <v>98</v>
      </c>
      <c r="C1338" s="10">
        <f t="shared" si="62"/>
        <v>30240</v>
      </c>
      <c r="D1338" t="s">
        <v>11</v>
      </c>
      <c r="E1338" t="s">
        <v>12</v>
      </c>
      <c r="F1338" t="s">
        <v>11</v>
      </c>
      <c r="G1338" t="s">
        <v>12</v>
      </c>
      <c r="H1338" t="s">
        <v>11</v>
      </c>
      <c r="I1338" t="s">
        <v>12</v>
      </c>
      <c r="J1338" t="s">
        <v>11</v>
      </c>
      <c r="K1338" t="s">
        <v>12</v>
      </c>
      <c r="L1338" s="12" t="s">
        <v>108</v>
      </c>
      <c r="M1338" s="12" t="s">
        <v>62</v>
      </c>
      <c r="N1338" s="12" t="s">
        <v>36</v>
      </c>
      <c r="O1338" s="12" t="s">
        <v>72</v>
      </c>
      <c r="P1338" s="12" t="s">
        <v>143</v>
      </c>
      <c r="Q1338" s="7" t="str">
        <f t="shared" si="61"/>
        <v>(1982,42,'1982.10.16',1,10,38,67,77,0),</v>
      </c>
      <c r="R1338" s="7" t="str">
        <f t="shared" si="63"/>
        <v>(1982,42,'1982.10.16',1,10,38,67,77),</v>
      </c>
    </row>
    <row r="1339" spans="1:18" x14ac:dyDescent="0.25">
      <c r="A1339" s="7" t="s">
        <v>94</v>
      </c>
      <c r="B1339" s="8" t="s">
        <v>45</v>
      </c>
      <c r="C1339" s="10">
        <f t="shared" si="62"/>
        <v>30247</v>
      </c>
      <c r="D1339" t="s">
        <v>11</v>
      </c>
      <c r="E1339" t="s">
        <v>12</v>
      </c>
      <c r="F1339" t="s">
        <v>11</v>
      </c>
      <c r="G1339" t="s">
        <v>12</v>
      </c>
      <c r="H1339" t="s">
        <v>11</v>
      </c>
      <c r="I1339" t="s">
        <v>12</v>
      </c>
      <c r="J1339" t="s">
        <v>11</v>
      </c>
      <c r="K1339" t="s">
        <v>12</v>
      </c>
      <c r="L1339" s="12" t="s">
        <v>62</v>
      </c>
      <c r="M1339" s="12" t="s">
        <v>80</v>
      </c>
      <c r="N1339" s="12" t="s">
        <v>192</v>
      </c>
      <c r="O1339" s="12" t="s">
        <v>72</v>
      </c>
      <c r="P1339" s="12" t="s">
        <v>246</v>
      </c>
      <c r="Q1339" s="7" t="str">
        <f t="shared" si="61"/>
        <v>(1982,43,'1982.10.23',10,32,46,67,84,0),</v>
      </c>
      <c r="R1339" s="7" t="str">
        <f t="shared" si="63"/>
        <v>(1982,43,'1982.10.23',10,32,46,67,84),</v>
      </c>
    </row>
    <row r="1340" spans="1:18" x14ac:dyDescent="0.25">
      <c r="A1340" s="7" t="s">
        <v>94</v>
      </c>
      <c r="B1340" s="8" t="s">
        <v>142</v>
      </c>
      <c r="C1340" s="10">
        <f t="shared" si="62"/>
        <v>30254</v>
      </c>
      <c r="D1340" t="s">
        <v>11</v>
      </c>
      <c r="E1340" t="s">
        <v>12</v>
      </c>
      <c r="F1340" t="s">
        <v>11</v>
      </c>
      <c r="G1340" t="s">
        <v>12</v>
      </c>
      <c r="H1340" t="s">
        <v>11</v>
      </c>
      <c r="I1340" t="s">
        <v>12</v>
      </c>
      <c r="J1340" t="s">
        <v>11</v>
      </c>
      <c r="K1340" t="s">
        <v>12</v>
      </c>
      <c r="L1340" s="12" t="s">
        <v>19</v>
      </c>
      <c r="M1340" s="12" t="s">
        <v>133</v>
      </c>
      <c r="N1340" s="12" t="s">
        <v>34</v>
      </c>
      <c r="O1340" s="12" t="s">
        <v>105</v>
      </c>
      <c r="P1340" s="12" t="s">
        <v>106</v>
      </c>
      <c r="Q1340" s="7" t="str">
        <f t="shared" si="61"/>
        <v>(1982,44,'1982.10.30',18,45,49,50,75,0),</v>
      </c>
      <c r="R1340" s="7" t="str">
        <f t="shared" si="63"/>
        <v>(1982,44,'1982.10.30',18,45,49,50,75),</v>
      </c>
    </row>
    <row r="1341" spans="1:18" x14ac:dyDescent="0.25">
      <c r="A1341" s="7" t="s">
        <v>94</v>
      </c>
      <c r="B1341" s="8" t="s">
        <v>133</v>
      </c>
      <c r="C1341" s="10">
        <f t="shared" si="62"/>
        <v>30261</v>
      </c>
      <c r="D1341" t="s">
        <v>11</v>
      </c>
      <c r="E1341" t="s">
        <v>12</v>
      </c>
      <c r="F1341" t="s">
        <v>11</v>
      </c>
      <c r="G1341" t="s">
        <v>12</v>
      </c>
      <c r="H1341" t="s">
        <v>11</v>
      </c>
      <c r="I1341" t="s">
        <v>12</v>
      </c>
      <c r="J1341" t="s">
        <v>11</v>
      </c>
      <c r="K1341" t="s">
        <v>12</v>
      </c>
      <c r="L1341" s="12" t="s">
        <v>43</v>
      </c>
      <c r="M1341" s="12" t="s">
        <v>19</v>
      </c>
      <c r="N1341" s="12" t="s">
        <v>116</v>
      </c>
      <c r="O1341" s="12" t="s">
        <v>34</v>
      </c>
      <c r="P1341" s="12" t="s">
        <v>124</v>
      </c>
      <c r="Q1341" s="7" t="str">
        <f t="shared" si="61"/>
        <v>(1982,45,'1982.11.06',16,18,29,49,62,0),</v>
      </c>
      <c r="R1341" s="7" t="str">
        <f t="shared" si="63"/>
        <v>(1982,45,'1982.11.06',16,18,29,49,62),</v>
      </c>
    </row>
    <row r="1342" spans="1:18" x14ac:dyDescent="0.25">
      <c r="A1342" s="7" t="s">
        <v>94</v>
      </c>
      <c r="B1342" s="8" t="s">
        <v>192</v>
      </c>
      <c r="C1342" s="10">
        <f t="shared" si="62"/>
        <v>30268</v>
      </c>
      <c r="D1342" t="s">
        <v>11</v>
      </c>
      <c r="E1342" t="s">
        <v>12</v>
      </c>
      <c r="F1342" t="s">
        <v>11</v>
      </c>
      <c r="G1342" t="s">
        <v>12</v>
      </c>
      <c r="H1342" t="s">
        <v>11</v>
      </c>
      <c r="I1342" t="s">
        <v>12</v>
      </c>
      <c r="J1342" t="s">
        <v>11</v>
      </c>
      <c r="K1342" t="s">
        <v>12</v>
      </c>
      <c r="L1342" s="12" t="s">
        <v>90</v>
      </c>
      <c r="M1342" s="12" t="s">
        <v>44</v>
      </c>
      <c r="N1342" s="12" t="s">
        <v>71</v>
      </c>
      <c r="O1342" s="12" t="s">
        <v>56</v>
      </c>
      <c r="P1342" s="12" t="s">
        <v>301</v>
      </c>
      <c r="Q1342" s="7" t="str">
        <f t="shared" si="61"/>
        <v>(1982,46,'1982.11.13',17,21,31,71,80,0),</v>
      </c>
      <c r="R1342" s="7" t="str">
        <f t="shared" si="63"/>
        <v>(1982,46,'1982.11.13',17,21,31,71,80),</v>
      </c>
    </row>
    <row r="1343" spans="1:18" x14ac:dyDescent="0.25">
      <c r="A1343" s="7" t="s">
        <v>94</v>
      </c>
      <c r="B1343" s="8" t="s">
        <v>81</v>
      </c>
      <c r="C1343" s="10">
        <f t="shared" si="62"/>
        <v>30275</v>
      </c>
      <c r="D1343" t="s">
        <v>11</v>
      </c>
      <c r="E1343" t="s">
        <v>12</v>
      </c>
      <c r="F1343" t="s">
        <v>11</v>
      </c>
      <c r="G1343" t="s">
        <v>12</v>
      </c>
      <c r="H1343" t="s">
        <v>11</v>
      </c>
      <c r="I1343" t="s">
        <v>12</v>
      </c>
      <c r="J1343" t="s">
        <v>11</v>
      </c>
      <c r="K1343" t="s">
        <v>12</v>
      </c>
      <c r="L1343" s="12" t="s">
        <v>108</v>
      </c>
      <c r="M1343" s="12" t="s">
        <v>134</v>
      </c>
      <c r="N1343" s="12" t="s">
        <v>82</v>
      </c>
      <c r="O1343" s="12" t="s">
        <v>214</v>
      </c>
      <c r="P1343" s="12" t="s">
        <v>246</v>
      </c>
      <c r="Q1343" s="7" t="str">
        <f t="shared" si="61"/>
        <v>(1982,47,'1982.11.20',1,56,59,64,84,0),</v>
      </c>
      <c r="R1343" s="7" t="str">
        <f t="shared" si="63"/>
        <v>(1982,47,'1982.11.20',1,56,59,64,84),</v>
      </c>
    </row>
    <row r="1344" spans="1:18" x14ac:dyDescent="0.25">
      <c r="A1344" s="7" t="s">
        <v>94</v>
      </c>
      <c r="B1344" s="8" t="s">
        <v>22</v>
      </c>
      <c r="C1344" s="10">
        <f t="shared" si="62"/>
        <v>30282</v>
      </c>
      <c r="D1344" t="s">
        <v>11</v>
      </c>
      <c r="E1344" t="s">
        <v>12</v>
      </c>
      <c r="F1344" t="s">
        <v>11</v>
      </c>
      <c r="G1344" t="s">
        <v>12</v>
      </c>
      <c r="H1344" t="s">
        <v>11</v>
      </c>
      <c r="I1344" t="s">
        <v>12</v>
      </c>
      <c r="J1344" t="s">
        <v>11</v>
      </c>
      <c r="K1344" t="s">
        <v>12</v>
      </c>
      <c r="L1344" s="12" t="s">
        <v>116</v>
      </c>
      <c r="M1344" s="12" t="s">
        <v>36</v>
      </c>
      <c r="N1344" s="12" t="s">
        <v>82</v>
      </c>
      <c r="O1344" s="12" t="s">
        <v>233</v>
      </c>
      <c r="P1344" s="12" t="s">
        <v>106</v>
      </c>
      <c r="Q1344" s="7" t="str">
        <f t="shared" si="61"/>
        <v>(1982,48,'1982.11.27',29,38,59,66,75,0),</v>
      </c>
      <c r="R1344" s="7" t="str">
        <f t="shared" si="63"/>
        <v>(1982,48,'1982.11.27',29,38,59,66,75),</v>
      </c>
    </row>
    <row r="1345" spans="1:18" x14ac:dyDescent="0.25">
      <c r="A1345" s="7" t="s">
        <v>94</v>
      </c>
      <c r="B1345" s="8" t="s">
        <v>34</v>
      </c>
      <c r="C1345" s="10">
        <f t="shared" si="62"/>
        <v>30289</v>
      </c>
      <c r="D1345" t="s">
        <v>11</v>
      </c>
      <c r="E1345" t="s">
        <v>12</v>
      </c>
      <c r="F1345" t="s">
        <v>11</v>
      </c>
      <c r="G1345" t="s">
        <v>12</v>
      </c>
      <c r="H1345" t="s">
        <v>11</v>
      </c>
      <c r="I1345" t="s">
        <v>12</v>
      </c>
      <c r="J1345" t="s">
        <v>11</v>
      </c>
      <c r="K1345" t="s">
        <v>12</v>
      </c>
      <c r="L1345" s="12" t="s">
        <v>65</v>
      </c>
      <c r="M1345" s="12" t="s">
        <v>33</v>
      </c>
      <c r="N1345" s="12" t="s">
        <v>135</v>
      </c>
      <c r="O1345" s="12" t="s">
        <v>71</v>
      </c>
      <c r="P1345" s="12" t="s">
        <v>106</v>
      </c>
      <c r="Q1345" s="7" t="str">
        <f t="shared" si="61"/>
        <v>(1982,49,'1982.12.04',13,24,27,31,75,0),</v>
      </c>
      <c r="R1345" s="7" t="str">
        <f t="shared" si="63"/>
        <v>(1982,49,'1982.12.04',13,24,27,31,75),</v>
      </c>
    </row>
    <row r="1346" spans="1:18" x14ac:dyDescent="0.25">
      <c r="A1346" s="7" t="s">
        <v>94</v>
      </c>
      <c r="B1346" s="8" t="s">
        <v>105</v>
      </c>
      <c r="C1346" s="10">
        <f t="shared" si="62"/>
        <v>30296</v>
      </c>
      <c r="D1346" t="s">
        <v>11</v>
      </c>
      <c r="E1346" t="s">
        <v>12</v>
      </c>
      <c r="F1346" t="s">
        <v>11</v>
      </c>
      <c r="G1346" t="s">
        <v>12</v>
      </c>
      <c r="H1346" t="s">
        <v>11</v>
      </c>
      <c r="I1346" t="s">
        <v>12</v>
      </c>
      <c r="J1346" t="s">
        <v>11</v>
      </c>
      <c r="K1346" t="s">
        <v>12</v>
      </c>
      <c r="L1346" s="12" t="s">
        <v>168</v>
      </c>
      <c r="M1346" s="12" t="s">
        <v>19</v>
      </c>
      <c r="N1346" s="12" t="s">
        <v>32</v>
      </c>
      <c r="O1346" s="12" t="s">
        <v>24</v>
      </c>
      <c r="P1346" s="12" t="s">
        <v>169</v>
      </c>
      <c r="Q1346" s="7" t="str">
        <f t="shared" ref="Q1346:Q1409" si="64">"("&amp;A1346&amp;","&amp;B1346&amp;",'"&amp;TEXT(C1346,"éééé.hh.nn")&amp;"',"&amp;L1346&amp;","&amp;M1346&amp;","&amp;N1346&amp;","&amp;O1346&amp;","&amp;P1346&amp;",0)"&amp;IF(P1347&lt;&gt;0,",","")</f>
        <v>(1982,50,'1982.12.11',4,18,22,39,58,0),</v>
      </c>
      <c r="R1346" s="7" t="str">
        <f t="shared" si="63"/>
        <v>(1982,50,'1982.12.11',4,18,22,39,58),</v>
      </c>
    </row>
    <row r="1347" spans="1:18" x14ac:dyDescent="0.25">
      <c r="A1347" s="7" t="s">
        <v>94</v>
      </c>
      <c r="B1347" s="8" t="s">
        <v>122</v>
      </c>
      <c r="C1347" s="10">
        <f t="shared" ref="C1347:C1410" si="65">+C1346+7</f>
        <v>30303</v>
      </c>
      <c r="D1347" t="s">
        <v>11</v>
      </c>
      <c r="E1347" t="s">
        <v>12</v>
      </c>
      <c r="F1347" t="s">
        <v>11</v>
      </c>
      <c r="G1347" t="s">
        <v>12</v>
      </c>
      <c r="H1347" t="s">
        <v>11</v>
      </c>
      <c r="I1347" t="s">
        <v>12</v>
      </c>
      <c r="J1347" t="s">
        <v>11</v>
      </c>
      <c r="K1347" t="s">
        <v>12</v>
      </c>
      <c r="L1347" s="12" t="s">
        <v>42</v>
      </c>
      <c r="M1347" s="12" t="s">
        <v>64</v>
      </c>
      <c r="N1347" s="12" t="s">
        <v>13</v>
      </c>
      <c r="O1347" s="12" t="s">
        <v>201</v>
      </c>
      <c r="P1347" s="12" t="s">
        <v>301</v>
      </c>
      <c r="Q1347" s="7" t="str">
        <f t="shared" si="64"/>
        <v>(1982,51,'1982.12.18',3,35,41,72,80,0),</v>
      </c>
      <c r="R1347" s="7" t="str">
        <f t="shared" ref="R1347:R1410" si="66">IF(TRIM(P1347)="","","("&amp;A1347&amp;","&amp;B1347&amp;",'"&amp;TEXT(C1347,"éééé.hh.nn")&amp;"',"&amp;L1347&amp;","&amp;M1347&amp;","&amp;N1347&amp;","&amp;O1347&amp;","&amp;P1347&amp;")"&amp;IF(P1348=0,";",","))</f>
        <v>(1982,51,'1982.12.18',3,35,41,72,80),</v>
      </c>
    </row>
    <row r="1348" spans="1:18" x14ac:dyDescent="0.25">
      <c r="A1348" s="7" t="s">
        <v>94</v>
      </c>
      <c r="B1348" s="8" t="s">
        <v>99</v>
      </c>
      <c r="C1348" s="10">
        <f t="shared" si="65"/>
        <v>30310</v>
      </c>
      <c r="D1348" t="s">
        <v>11</v>
      </c>
      <c r="E1348" t="s">
        <v>12</v>
      </c>
      <c r="F1348" t="s">
        <v>11</v>
      </c>
      <c r="G1348" t="s">
        <v>12</v>
      </c>
      <c r="H1348" t="s">
        <v>11</v>
      </c>
      <c r="I1348" t="s">
        <v>12</v>
      </c>
      <c r="J1348" t="s">
        <v>11</v>
      </c>
      <c r="K1348" t="s">
        <v>12</v>
      </c>
      <c r="L1348" s="12" t="s">
        <v>42</v>
      </c>
      <c r="M1348" s="12" t="s">
        <v>107</v>
      </c>
      <c r="N1348" s="12" t="s">
        <v>13</v>
      </c>
      <c r="O1348" s="12" t="s">
        <v>248</v>
      </c>
      <c r="P1348" s="12" t="s">
        <v>215</v>
      </c>
      <c r="Q1348" s="7" t="str">
        <f t="shared" si="64"/>
        <v>(1982,52,'1982.12.25',3,30,41,63,81,0),</v>
      </c>
      <c r="R1348" s="7" t="str">
        <f t="shared" si="66"/>
        <v>(1982,52,'1982.12.25',3,30,41,63,81),</v>
      </c>
    </row>
    <row r="1349" spans="1:18" x14ac:dyDescent="0.25">
      <c r="A1349" s="7" t="s">
        <v>94</v>
      </c>
      <c r="B1349" s="8" t="s">
        <v>199</v>
      </c>
      <c r="C1349" s="10">
        <f t="shared" si="65"/>
        <v>30317</v>
      </c>
      <c r="D1349" t="s">
        <v>11</v>
      </c>
      <c r="E1349" t="s">
        <v>12</v>
      </c>
      <c r="F1349" t="s">
        <v>11</v>
      </c>
      <c r="G1349" t="s">
        <v>12</v>
      </c>
      <c r="H1349" t="s">
        <v>11</v>
      </c>
      <c r="I1349" t="s">
        <v>12</v>
      </c>
      <c r="J1349" t="s">
        <v>11</v>
      </c>
      <c r="K1349" t="s">
        <v>12</v>
      </c>
      <c r="L1349" s="12" t="s">
        <v>31</v>
      </c>
      <c r="M1349" s="12" t="s">
        <v>21</v>
      </c>
      <c r="N1349" s="12" t="s">
        <v>10</v>
      </c>
      <c r="O1349" s="12" t="s">
        <v>175</v>
      </c>
      <c r="P1349" s="12" t="s">
        <v>92</v>
      </c>
      <c r="Q1349" s="7" t="str">
        <f t="shared" si="64"/>
        <v>(1982,53,'1983.01.01',12,36,40,55,68,0),</v>
      </c>
      <c r="R1349" s="7" t="str">
        <f t="shared" si="66"/>
        <v>(1982,53,'1983.01.01',12,36,40,55,68),</v>
      </c>
    </row>
    <row r="1350" spans="1:18" x14ac:dyDescent="0.25">
      <c r="A1350" s="7" t="s">
        <v>5853</v>
      </c>
      <c r="B1350" s="8" t="s">
        <v>108</v>
      </c>
      <c r="C1350" s="10">
        <f t="shared" si="65"/>
        <v>30324</v>
      </c>
      <c r="D1350" t="s">
        <v>11</v>
      </c>
      <c r="E1350" t="s">
        <v>12</v>
      </c>
      <c r="F1350" t="s">
        <v>11</v>
      </c>
      <c r="G1350" t="s">
        <v>12</v>
      </c>
      <c r="H1350" t="s">
        <v>11</v>
      </c>
      <c r="I1350" t="s">
        <v>12</v>
      </c>
      <c r="J1350" t="s">
        <v>11</v>
      </c>
      <c r="K1350" t="s">
        <v>12</v>
      </c>
      <c r="L1350" s="12" t="s">
        <v>65</v>
      </c>
      <c r="M1350" s="12" t="s">
        <v>163</v>
      </c>
      <c r="N1350" s="12" t="s">
        <v>33</v>
      </c>
      <c r="O1350" s="12" t="s">
        <v>468</v>
      </c>
      <c r="P1350" s="12" t="s">
        <v>379</v>
      </c>
      <c r="Q1350" s="7" t="str">
        <f t="shared" si="64"/>
        <v>(1983,1,'1983.01.08',13,23,24,85,89,0),</v>
      </c>
      <c r="R1350" s="7" t="str">
        <f t="shared" si="66"/>
        <v>(1983,1,'1983.01.08',13,23,24,85,89),</v>
      </c>
    </row>
    <row r="1351" spans="1:18" x14ac:dyDescent="0.25">
      <c r="A1351" s="7" t="s">
        <v>5853</v>
      </c>
      <c r="B1351" s="8" t="s">
        <v>207</v>
      </c>
      <c r="C1351" s="10">
        <f t="shared" si="65"/>
        <v>30331</v>
      </c>
      <c r="D1351" t="s">
        <v>11</v>
      </c>
      <c r="E1351" t="s">
        <v>12</v>
      </c>
      <c r="F1351" t="s">
        <v>11</v>
      </c>
      <c r="G1351" t="s">
        <v>12</v>
      </c>
      <c r="H1351" t="s">
        <v>11</v>
      </c>
      <c r="I1351" t="s">
        <v>12</v>
      </c>
      <c r="J1351" t="s">
        <v>11</v>
      </c>
      <c r="K1351" t="s">
        <v>12</v>
      </c>
      <c r="L1351" s="12" t="s">
        <v>270</v>
      </c>
      <c r="M1351" s="12" t="s">
        <v>31</v>
      </c>
      <c r="N1351" s="12" t="s">
        <v>115</v>
      </c>
      <c r="O1351" s="12" t="s">
        <v>201</v>
      </c>
      <c r="P1351" s="12" t="s">
        <v>308</v>
      </c>
      <c r="Q1351" s="7" t="str">
        <f t="shared" si="64"/>
        <v>(1983,2,'1983.01.15',6,12,20,72,86,0),</v>
      </c>
      <c r="R1351" s="7" t="str">
        <f t="shared" si="66"/>
        <v>(1983,2,'1983.01.15',6,12,20,72,86),</v>
      </c>
    </row>
    <row r="1352" spans="1:18" x14ac:dyDescent="0.25">
      <c r="A1352" s="7" t="s">
        <v>5853</v>
      </c>
      <c r="B1352" s="8" t="s">
        <v>42</v>
      </c>
      <c r="C1352" s="10">
        <f t="shared" si="65"/>
        <v>30338</v>
      </c>
      <c r="D1352" t="s">
        <v>11</v>
      </c>
      <c r="E1352" t="s">
        <v>12</v>
      </c>
      <c r="F1352" t="s">
        <v>11</v>
      </c>
      <c r="G1352" t="s">
        <v>12</v>
      </c>
      <c r="H1352" t="s">
        <v>11</v>
      </c>
      <c r="I1352" t="s">
        <v>12</v>
      </c>
      <c r="J1352" t="s">
        <v>11</v>
      </c>
      <c r="K1352" t="s">
        <v>12</v>
      </c>
      <c r="L1352" s="12" t="s">
        <v>24</v>
      </c>
      <c r="M1352" s="12" t="s">
        <v>81</v>
      </c>
      <c r="N1352" s="12" t="s">
        <v>175</v>
      </c>
      <c r="O1352" s="12" t="s">
        <v>73</v>
      </c>
      <c r="P1352" s="12" t="s">
        <v>186</v>
      </c>
      <c r="Q1352" s="7" t="str">
        <f t="shared" si="64"/>
        <v>(1983,3,'1983.01.22',39,47,55,76,90,0),</v>
      </c>
      <c r="R1352" s="7" t="str">
        <f t="shared" si="66"/>
        <v>(1983,3,'1983.01.22',39,47,55,76,90),</v>
      </c>
    </row>
    <row r="1353" spans="1:18" x14ac:dyDescent="0.25">
      <c r="A1353" s="7" t="s">
        <v>5853</v>
      </c>
      <c r="B1353" s="8" t="s">
        <v>168</v>
      </c>
      <c r="C1353" s="10">
        <f t="shared" si="65"/>
        <v>30345</v>
      </c>
      <c r="D1353" t="s">
        <v>11</v>
      </c>
      <c r="E1353" t="s">
        <v>12</v>
      </c>
      <c r="F1353" t="s">
        <v>11</v>
      </c>
      <c r="G1353" t="s">
        <v>12</v>
      </c>
      <c r="H1353" t="s">
        <v>11</v>
      </c>
      <c r="I1353" t="s">
        <v>12</v>
      </c>
      <c r="J1353" t="s">
        <v>11</v>
      </c>
      <c r="K1353" t="s">
        <v>12</v>
      </c>
      <c r="L1353" s="12" t="s">
        <v>107</v>
      </c>
      <c r="M1353" s="12" t="s">
        <v>123</v>
      </c>
      <c r="N1353" s="12" t="s">
        <v>124</v>
      </c>
      <c r="O1353" s="12" t="s">
        <v>73</v>
      </c>
      <c r="P1353" s="12" t="s">
        <v>125</v>
      </c>
      <c r="Q1353" s="7" t="str">
        <f t="shared" si="64"/>
        <v>(1983,4,'1983.01.29',30,54,62,76,83,0),</v>
      </c>
      <c r="R1353" s="7" t="str">
        <f t="shared" si="66"/>
        <v>(1983,4,'1983.01.29',30,54,62,76,83),</v>
      </c>
    </row>
    <row r="1354" spans="1:18" x14ac:dyDescent="0.25">
      <c r="A1354" s="7" t="s">
        <v>5853</v>
      </c>
      <c r="B1354" s="8" t="s">
        <v>89</v>
      </c>
      <c r="C1354" s="10">
        <f t="shared" si="65"/>
        <v>30352</v>
      </c>
      <c r="D1354" t="s">
        <v>11</v>
      </c>
      <c r="E1354" t="s">
        <v>12</v>
      </c>
      <c r="F1354" t="s">
        <v>11</v>
      </c>
      <c r="G1354" t="s">
        <v>12</v>
      </c>
      <c r="H1354" t="s">
        <v>11</v>
      </c>
      <c r="I1354" t="s">
        <v>12</v>
      </c>
      <c r="J1354" t="s">
        <v>11</v>
      </c>
      <c r="K1354" t="s">
        <v>12</v>
      </c>
      <c r="L1354" s="12" t="s">
        <v>163</v>
      </c>
      <c r="M1354" s="12" t="s">
        <v>80</v>
      </c>
      <c r="N1354" s="12" t="s">
        <v>200</v>
      </c>
      <c r="O1354" s="12" t="s">
        <v>301</v>
      </c>
      <c r="P1354" s="12" t="s">
        <v>215</v>
      </c>
      <c r="Q1354" s="7" t="str">
        <f t="shared" si="64"/>
        <v>(1983,5,'1983.02.05',23,32,70,80,81,0),</v>
      </c>
      <c r="R1354" s="7" t="str">
        <f t="shared" si="66"/>
        <v>(1983,5,'1983.02.05',23,32,70,80,81),</v>
      </c>
    </row>
    <row r="1355" spans="1:18" x14ac:dyDescent="0.25">
      <c r="A1355" s="7" t="s">
        <v>5853</v>
      </c>
      <c r="B1355" s="8" t="s">
        <v>270</v>
      </c>
      <c r="C1355" s="10">
        <f t="shared" si="65"/>
        <v>30359</v>
      </c>
      <c r="D1355" t="s">
        <v>11</v>
      </c>
      <c r="E1355" t="s">
        <v>12</v>
      </c>
      <c r="F1355" t="s">
        <v>11</v>
      </c>
      <c r="G1355" t="s">
        <v>12</v>
      </c>
      <c r="H1355" t="s">
        <v>11</v>
      </c>
      <c r="I1355" t="s">
        <v>12</v>
      </c>
      <c r="J1355" t="s">
        <v>11</v>
      </c>
      <c r="K1355" t="s">
        <v>12</v>
      </c>
      <c r="L1355" s="12" t="s">
        <v>116</v>
      </c>
      <c r="M1355" s="12" t="s">
        <v>10</v>
      </c>
      <c r="N1355" s="12" t="s">
        <v>23</v>
      </c>
      <c r="O1355" s="12" t="s">
        <v>47</v>
      </c>
      <c r="P1355" s="12" t="s">
        <v>201</v>
      </c>
      <c r="Q1355" s="7" t="str">
        <f t="shared" si="64"/>
        <v>(1983,6,'1983.02.12',29,40,60,69,72,0),</v>
      </c>
      <c r="R1355" s="7" t="str">
        <f t="shared" si="66"/>
        <v>(1983,6,'1983.02.12',29,40,60,69,72),</v>
      </c>
    </row>
    <row r="1356" spans="1:18" x14ac:dyDescent="0.25">
      <c r="A1356" s="7" t="s">
        <v>5853</v>
      </c>
      <c r="B1356" s="8" t="s">
        <v>53</v>
      </c>
      <c r="C1356" s="10">
        <f t="shared" si="65"/>
        <v>30366</v>
      </c>
      <c r="D1356" t="s">
        <v>11</v>
      </c>
      <c r="E1356" t="s">
        <v>12</v>
      </c>
      <c r="F1356" t="s">
        <v>11</v>
      </c>
      <c r="G1356" t="s">
        <v>12</v>
      </c>
      <c r="H1356" t="s">
        <v>11</v>
      </c>
      <c r="I1356" t="s">
        <v>12</v>
      </c>
      <c r="J1356" t="s">
        <v>11</v>
      </c>
      <c r="K1356" t="s">
        <v>12</v>
      </c>
      <c r="L1356" s="12" t="s">
        <v>42</v>
      </c>
      <c r="M1356" s="12" t="s">
        <v>62</v>
      </c>
      <c r="N1356" s="12" t="s">
        <v>105</v>
      </c>
      <c r="O1356" s="12" t="s">
        <v>23</v>
      </c>
      <c r="P1356" s="12" t="s">
        <v>248</v>
      </c>
      <c r="Q1356" s="7" t="str">
        <f t="shared" si="64"/>
        <v>(1983,7,'1983.02.19',3,10,50,60,63,0),</v>
      </c>
      <c r="R1356" s="7" t="str">
        <f t="shared" si="66"/>
        <v>(1983,7,'1983.02.19',3,10,50,60,63),</v>
      </c>
    </row>
    <row r="1357" spans="1:18" x14ac:dyDescent="0.25">
      <c r="A1357" s="7" t="s">
        <v>5853</v>
      </c>
      <c r="B1357" s="8" t="s">
        <v>232</v>
      </c>
      <c r="C1357" s="10">
        <f t="shared" si="65"/>
        <v>30373</v>
      </c>
      <c r="D1357" t="s">
        <v>11</v>
      </c>
      <c r="E1357" t="s">
        <v>12</v>
      </c>
      <c r="F1357" t="s">
        <v>11</v>
      </c>
      <c r="G1357" t="s">
        <v>12</v>
      </c>
      <c r="H1357" t="s">
        <v>11</v>
      </c>
      <c r="I1357" t="s">
        <v>12</v>
      </c>
      <c r="J1357" t="s">
        <v>11</v>
      </c>
      <c r="K1357" t="s">
        <v>12</v>
      </c>
      <c r="L1357" s="12" t="s">
        <v>53</v>
      </c>
      <c r="M1357" s="12" t="s">
        <v>19</v>
      </c>
      <c r="N1357" s="12" t="s">
        <v>55</v>
      </c>
      <c r="O1357" s="12" t="s">
        <v>123</v>
      </c>
      <c r="P1357" s="12" t="s">
        <v>91</v>
      </c>
      <c r="Q1357" s="7" t="str">
        <f t="shared" si="64"/>
        <v>(1983,8,'1983.02.26',7,18,19,54,61,0),</v>
      </c>
      <c r="R1357" s="7" t="str">
        <f t="shared" si="66"/>
        <v>(1983,8,'1983.02.26',7,18,19,54,61),</v>
      </c>
    </row>
    <row r="1358" spans="1:18" x14ac:dyDescent="0.25">
      <c r="A1358" s="7" t="s">
        <v>5853</v>
      </c>
      <c r="B1358" s="8" t="s">
        <v>198</v>
      </c>
      <c r="C1358" s="10">
        <f t="shared" si="65"/>
        <v>30380</v>
      </c>
      <c r="D1358" t="s">
        <v>11</v>
      </c>
      <c r="E1358" t="s">
        <v>12</v>
      </c>
      <c r="F1358" t="s">
        <v>11</v>
      </c>
      <c r="G1358" t="s">
        <v>12</v>
      </c>
      <c r="H1358" t="s">
        <v>11</v>
      </c>
      <c r="I1358" t="s">
        <v>12</v>
      </c>
      <c r="J1358" t="s">
        <v>11</v>
      </c>
      <c r="K1358" t="s">
        <v>12</v>
      </c>
      <c r="L1358" s="12" t="s">
        <v>65</v>
      </c>
      <c r="M1358" s="12" t="s">
        <v>19</v>
      </c>
      <c r="N1358" s="12" t="s">
        <v>107</v>
      </c>
      <c r="O1358" s="12" t="s">
        <v>123</v>
      </c>
      <c r="P1358" s="12" t="s">
        <v>56</v>
      </c>
      <c r="Q1358" s="7" t="str">
        <f t="shared" si="64"/>
        <v>(1983,9,'1983.03.05',13,18,30,54,71,0),</v>
      </c>
      <c r="R1358" s="7" t="str">
        <f t="shared" si="66"/>
        <v>(1983,9,'1983.03.05',13,18,30,54,71),</v>
      </c>
    </row>
    <row r="1359" spans="1:18" x14ac:dyDescent="0.25">
      <c r="A1359" s="7" t="s">
        <v>5853</v>
      </c>
      <c r="B1359" s="8" t="s">
        <v>62</v>
      </c>
      <c r="C1359" s="10">
        <f t="shared" si="65"/>
        <v>30387</v>
      </c>
      <c r="D1359" t="s">
        <v>11</v>
      </c>
      <c r="E1359" t="s">
        <v>12</v>
      </c>
      <c r="F1359" t="s">
        <v>11</v>
      </c>
      <c r="G1359" t="s">
        <v>12</v>
      </c>
      <c r="H1359" t="s">
        <v>11</v>
      </c>
      <c r="I1359" t="s">
        <v>12</v>
      </c>
      <c r="J1359" t="s">
        <v>11</v>
      </c>
      <c r="K1359" t="s">
        <v>12</v>
      </c>
      <c r="L1359" s="12" t="s">
        <v>207</v>
      </c>
      <c r="M1359" s="12" t="s">
        <v>74</v>
      </c>
      <c r="N1359" s="12" t="s">
        <v>99</v>
      </c>
      <c r="O1359" s="12" t="s">
        <v>233</v>
      </c>
      <c r="P1359" s="12" t="s">
        <v>73</v>
      </c>
      <c r="Q1359" s="7" t="str">
        <f t="shared" si="64"/>
        <v>(1983,10,'1983.03.12',2,26,52,66,76,0),</v>
      </c>
      <c r="R1359" s="7" t="str">
        <f t="shared" si="66"/>
        <v>(1983,10,'1983.03.12',2,26,52,66,76),</v>
      </c>
    </row>
    <row r="1360" spans="1:18" x14ac:dyDescent="0.25">
      <c r="A1360" s="7" t="s">
        <v>5853</v>
      </c>
      <c r="B1360" s="8" t="s">
        <v>83</v>
      </c>
      <c r="C1360" s="10">
        <f t="shared" si="65"/>
        <v>30394</v>
      </c>
      <c r="D1360" t="s">
        <v>11</v>
      </c>
      <c r="E1360" t="s">
        <v>12</v>
      </c>
      <c r="F1360" t="s">
        <v>11</v>
      </c>
      <c r="G1360" t="s">
        <v>12</v>
      </c>
      <c r="H1360" t="s">
        <v>11</v>
      </c>
      <c r="I1360" t="s">
        <v>12</v>
      </c>
      <c r="J1360" t="s">
        <v>11</v>
      </c>
      <c r="K1360" t="s">
        <v>12</v>
      </c>
      <c r="L1360" s="12" t="s">
        <v>89</v>
      </c>
      <c r="M1360" s="12" t="s">
        <v>53</v>
      </c>
      <c r="N1360" s="12" t="s">
        <v>35</v>
      </c>
      <c r="O1360" s="12" t="s">
        <v>92</v>
      </c>
      <c r="P1360" s="12" t="s">
        <v>125</v>
      </c>
      <c r="Q1360" s="7" t="str">
        <f t="shared" si="64"/>
        <v>(1983,11,'1983.03.19',5,7,65,68,83,0),</v>
      </c>
      <c r="R1360" s="7" t="str">
        <f t="shared" si="66"/>
        <v>(1983,11,'1983.03.19',5,7,65,68,83),</v>
      </c>
    </row>
    <row r="1361" spans="1:18" x14ac:dyDescent="0.25">
      <c r="A1361" s="7" t="s">
        <v>5853</v>
      </c>
      <c r="B1361" s="8" t="s">
        <v>31</v>
      </c>
      <c r="C1361" s="10">
        <f t="shared" si="65"/>
        <v>30401</v>
      </c>
      <c r="D1361" t="s">
        <v>11</v>
      </c>
      <c r="E1361" t="s">
        <v>12</v>
      </c>
      <c r="F1361" t="s">
        <v>11</v>
      </c>
      <c r="G1361" t="s">
        <v>12</v>
      </c>
      <c r="H1361" t="s">
        <v>11</v>
      </c>
      <c r="I1361" t="s">
        <v>12</v>
      </c>
      <c r="J1361" t="s">
        <v>11</v>
      </c>
      <c r="K1361" t="s">
        <v>12</v>
      </c>
      <c r="L1361" s="12" t="s">
        <v>55</v>
      </c>
      <c r="M1361" s="12" t="s">
        <v>21</v>
      </c>
      <c r="N1361" s="12" t="s">
        <v>122</v>
      </c>
      <c r="O1361" s="12" t="s">
        <v>123</v>
      </c>
      <c r="P1361" s="12" t="s">
        <v>91</v>
      </c>
      <c r="Q1361" s="7" t="str">
        <f t="shared" si="64"/>
        <v>(1983,12,'1983.03.26',19,36,51,54,61,0),</v>
      </c>
      <c r="R1361" s="7" t="str">
        <f t="shared" si="66"/>
        <v>(1983,12,'1983.03.26',19,36,51,54,61),</v>
      </c>
    </row>
    <row r="1362" spans="1:18" x14ac:dyDescent="0.25">
      <c r="A1362" s="7" t="s">
        <v>5853</v>
      </c>
      <c r="B1362" s="8" t="s">
        <v>65</v>
      </c>
      <c r="C1362" s="10">
        <f t="shared" si="65"/>
        <v>30408</v>
      </c>
      <c r="D1362" t="s">
        <v>11</v>
      </c>
      <c r="E1362" t="s">
        <v>12</v>
      </c>
      <c r="F1362" t="s">
        <v>11</v>
      </c>
      <c r="G1362" t="s">
        <v>12</v>
      </c>
      <c r="H1362" t="s">
        <v>11</v>
      </c>
      <c r="I1362" t="s">
        <v>12</v>
      </c>
      <c r="J1362" t="s">
        <v>11</v>
      </c>
      <c r="K1362" t="s">
        <v>12</v>
      </c>
      <c r="L1362" s="12" t="s">
        <v>152</v>
      </c>
      <c r="M1362" s="12" t="s">
        <v>25</v>
      </c>
      <c r="N1362" s="12" t="s">
        <v>134</v>
      </c>
      <c r="O1362" s="12" t="s">
        <v>82</v>
      </c>
      <c r="P1362" s="12" t="s">
        <v>468</v>
      </c>
      <c r="Q1362" s="7" t="str">
        <f t="shared" si="64"/>
        <v>(1983,13,'1983.04.02',25,34,56,59,85,0),</v>
      </c>
      <c r="R1362" s="7" t="str">
        <f t="shared" si="66"/>
        <v>(1983,13,'1983.04.02',25,34,56,59,85),</v>
      </c>
    </row>
    <row r="1363" spans="1:18" x14ac:dyDescent="0.25">
      <c r="A1363" s="7" t="s">
        <v>5853</v>
      </c>
      <c r="B1363" s="8" t="s">
        <v>127</v>
      </c>
      <c r="C1363" s="10">
        <f t="shared" si="65"/>
        <v>30415</v>
      </c>
      <c r="D1363" t="s">
        <v>11</v>
      </c>
      <c r="E1363" t="s">
        <v>12</v>
      </c>
      <c r="F1363" t="s">
        <v>11</v>
      </c>
      <c r="G1363" t="s">
        <v>12</v>
      </c>
      <c r="H1363" t="s">
        <v>11</v>
      </c>
      <c r="I1363" t="s">
        <v>12</v>
      </c>
      <c r="J1363" t="s">
        <v>11</v>
      </c>
      <c r="K1363" t="s">
        <v>12</v>
      </c>
      <c r="L1363" s="12" t="s">
        <v>31</v>
      </c>
      <c r="M1363" s="12" t="s">
        <v>98</v>
      </c>
      <c r="N1363" s="12" t="s">
        <v>91</v>
      </c>
      <c r="O1363" s="12" t="s">
        <v>233</v>
      </c>
      <c r="P1363" s="12" t="s">
        <v>92</v>
      </c>
      <c r="Q1363" s="7" t="str">
        <f t="shared" si="64"/>
        <v>(1983,14,'1983.04.09',12,42,61,66,68,0),</v>
      </c>
      <c r="R1363" s="7" t="str">
        <f t="shared" si="66"/>
        <v>(1983,14,'1983.04.09',12,42,61,66,68),</v>
      </c>
    </row>
    <row r="1364" spans="1:18" x14ac:dyDescent="0.25">
      <c r="A1364" s="7" t="s">
        <v>5853</v>
      </c>
      <c r="B1364" s="8" t="s">
        <v>54</v>
      </c>
      <c r="C1364" s="10">
        <f t="shared" si="65"/>
        <v>30422</v>
      </c>
      <c r="D1364" t="s">
        <v>11</v>
      </c>
      <c r="E1364" t="s">
        <v>12</v>
      </c>
      <c r="F1364" t="s">
        <v>11</v>
      </c>
      <c r="G1364" t="s">
        <v>12</v>
      </c>
      <c r="H1364" t="s">
        <v>11</v>
      </c>
      <c r="I1364" t="s">
        <v>12</v>
      </c>
      <c r="J1364" t="s">
        <v>11</v>
      </c>
      <c r="K1364" t="s">
        <v>12</v>
      </c>
      <c r="L1364" s="12" t="s">
        <v>163</v>
      </c>
      <c r="M1364" s="12" t="s">
        <v>13</v>
      </c>
      <c r="N1364" s="12" t="s">
        <v>175</v>
      </c>
      <c r="O1364" s="12" t="s">
        <v>73</v>
      </c>
      <c r="P1364" s="12" t="s">
        <v>246</v>
      </c>
      <c r="Q1364" s="7" t="str">
        <f t="shared" si="64"/>
        <v>(1983,15,'1983.04.16',23,41,55,76,84,0),</v>
      </c>
      <c r="R1364" s="7" t="str">
        <f t="shared" si="66"/>
        <v>(1983,15,'1983.04.16',23,41,55,76,84),</v>
      </c>
    </row>
    <row r="1365" spans="1:18" x14ac:dyDescent="0.25">
      <c r="A1365" s="7" t="s">
        <v>5853</v>
      </c>
      <c r="B1365" s="8" t="s">
        <v>43</v>
      </c>
      <c r="C1365" s="10">
        <f t="shared" si="65"/>
        <v>30429</v>
      </c>
      <c r="D1365" t="s">
        <v>11</v>
      </c>
      <c r="E1365" t="s">
        <v>12</v>
      </c>
      <c r="F1365" t="s">
        <v>11</v>
      </c>
      <c r="G1365" t="s">
        <v>12</v>
      </c>
      <c r="H1365" t="s">
        <v>11</v>
      </c>
      <c r="I1365" t="s">
        <v>12</v>
      </c>
      <c r="J1365" t="s">
        <v>11</v>
      </c>
      <c r="K1365" t="s">
        <v>12</v>
      </c>
      <c r="L1365" s="12" t="s">
        <v>152</v>
      </c>
      <c r="M1365" s="12" t="s">
        <v>214</v>
      </c>
      <c r="N1365" s="12" t="s">
        <v>63</v>
      </c>
      <c r="O1365" s="12" t="s">
        <v>151</v>
      </c>
      <c r="P1365" s="12" t="s">
        <v>208</v>
      </c>
      <c r="Q1365" s="7" t="str">
        <f t="shared" si="64"/>
        <v>(1983,16,'1983.04.23',25,64,78,79,88,0),</v>
      </c>
      <c r="R1365" s="7" t="str">
        <f t="shared" si="66"/>
        <v>(1983,16,'1983.04.23',25,64,78,79,88),</v>
      </c>
    </row>
    <row r="1366" spans="1:18" x14ac:dyDescent="0.25">
      <c r="A1366" s="7" t="s">
        <v>5853</v>
      </c>
      <c r="B1366" s="8" t="s">
        <v>90</v>
      </c>
      <c r="C1366" s="10">
        <f t="shared" si="65"/>
        <v>30436</v>
      </c>
      <c r="D1366" t="s">
        <v>11</v>
      </c>
      <c r="E1366" t="s">
        <v>12</v>
      </c>
      <c r="F1366" t="s">
        <v>11</v>
      </c>
      <c r="G1366" t="s">
        <v>12</v>
      </c>
      <c r="H1366" t="s">
        <v>11</v>
      </c>
      <c r="I1366" t="s">
        <v>12</v>
      </c>
      <c r="J1366" t="s">
        <v>11</v>
      </c>
      <c r="K1366" t="s">
        <v>12</v>
      </c>
      <c r="L1366" s="12" t="s">
        <v>81</v>
      </c>
      <c r="M1366" s="12" t="s">
        <v>175</v>
      </c>
      <c r="N1366" s="12" t="s">
        <v>72</v>
      </c>
      <c r="O1366" s="12" t="s">
        <v>63</v>
      </c>
      <c r="P1366" s="12" t="s">
        <v>246</v>
      </c>
      <c r="Q1366" s="7" t="str">
        <f t="shared" si="64"/>
        <v>(1983,17,'1983.04.30',47,55,67,78,84,0),</v>
      </c>
      <c r="R1366" s="7" t="str">
        <f t="shared" si="66"/>
        <v>(1983,17,'1983.04.30',47,55,67,78,84),</v>
      </c>
    </row>
    <row r="1367" spans="1:18" x14ac:dyDescent="0.25">
      <c r="A1367" s="7" t="s">
        <v>5853</v>
      </c>
      <c r="B1367" s="8" t="s">
        <v>19</v>
      </c>
      <c r="C1367" s="10">
        <f t="shared" si="65"/>
        <v>30443</v>
      </c>
      <c r="D1367" t="s">
        <v>11</v>
      </c>
      <c r="E1367" t="s">
        <v>12</v>
      </c>
      <c r="F1367" t="s">
        <v>11</v>
      </c>
      <c r="G1367" t="s">
        <v>12</v>
      </c>
      <c r="H1367" t="s">
        <v>11</v>
      </c>
      <c r="I1367" t="s">
        <v>12</v>
      </c>
      <c r="J1367" t="s">
        <v>11</v>
      </c>
      <c r="K1367" t="s">
        <v>12</v>
      </c>
      <c r="L1367" s="12" t="s">
        <v>24</v>
      </c>
      <c r="M1367" s="12" t="s">
        <v>45</v>
      </c>
      <c r="N1367" s="12" t="s">
        <v>199</v>
      </c>
      <c r="O1367" s="12" t="s">
        <v>214</v>
      </c>
      <c r="P1367" s="12" t="s">
        <v>200</v>
      </c>
      <c r="Q1367" s="7" t="str">
        <f t="shared" si="64"/>
        <v>(1983,18,'1983.05.07',39,43,53,64,70,0),</v>
      </c>
      <c r="R1367" s="7" t="str">
        <f t="shared" si="66"/>
        <v>(1983,18,'1983.05.07',39,43,53,64,70),</v>
      </c>
    </row>
    <row r="1368" spans="1:18" x14ac:dyDescent="0.25">
      <c r="A1368" s="7" t="s">
        <v>5853</v>
      </c>
      <c r="B1368" s="8" t="s">
        <v>55</v>
      </c>
      <c r="C1368" s="10">
        <f t="shared" si="65"/>
        <v>30450</v>
      </c>
      <c r="D1368" t="s">
        <v>11</v>
      </c>
      <c r="E1368" t="s">
        <v>12</v>
      </c>
      <c r="F1368" t="s">
        <v>11</v>
      </c>
      <c r="G1368" t="s">
        <v>12</v>
      </c>
      <c r="H1368" t="s">
        <v>11</v>
      </c>
      <c r="I1368" t="s">
        <v>12</v>
      </c>
      <c r="J1368" t="s">
        <v>11</v>
      </c>
      <c r="K1368" t="s">
        <v>12</v>
      </c>
      <c r="L1368" s="12" t="s">
        <v>43</v>
      </c>
      <c r="M1368" s="12" t="s">
        <v>116</v>
      </c>
      <c r="N1368" s="12" t="s">
        <v>45</v>
      </c>
      <c r="O1368" s="12" t="s">
        <v>134</v>
      </c>
      <c r="P1368" s="12" t="s">
        <v>186</v>
      </c>
      <c r="Q1368" s="7" t="str">
        <f t="shared" si="64"/>
        <v>(1983,19,'1983.05.14',16,29,43,56,90,0),</v>
      </c>
      <c r="R1368" s="7" t="str">
        <f t="shared" si="66"/>
        <v>(1983,19,'1983.05.14',16,29,43,56,90),</v>
      </c>
    </row>
    <row r="1369" spans="1:18" x14ac:dyDescent="0.25">
      <c r="A1369" s="7" t="s">
        <v>5853</v>
      </c>
      <c r="B1369" s="8" t="s">
        <v>115</v>
      </c>
      <c r="C1369" s="10">
        <f t="shared" si="65"/>
        <v>30457</v>
      </c>
      <c r="D1369" t="s">
        <v>11</v>
      </c>
      <c r="E1369" t="s">
        <v>12</v>
      </c>
      <c r="F1369" t="s">
        <v>11</v>
      </c>
      <c r="G1369" t="s">
        <v>12</v>
      </c>
      <c r="H1369" t="s">
        <v>11</v>
      </c>
      <c r="I1369" t="s">
        <v>12</v>
      </c>
      <c r="J1369" t="s">
        <v>11</v>
      </c>
      <c r="K1369" t="s">
        <v>12</v>
      </c>
      <c r="L1369" s="12" t="s">
        <v>31</v>
      </c>
      <c r="M1369" s="12" t="s">
        <v>19</v>
      </c>
      <c r="N1369" s="12" t="s">
        <v>175</v>
      </c>
      <c r="O1369" s="12" t="s">
        <v>23</v>
      </c>
      <c r="P1369" s="12" t="s">
        <v>245</v>
      </c>
      <c r="Q1369" s="7" t="str">
        <f t="shared" si="64"/>
        <v>(1983,20,'1983.05.21',12,18,55,60,74,0),</v>
      </c>
      <c r="R1369" s="7" t="str">
        <f t="shared" si="66"/>
        <v>(1983,20,'1983.05.21',12,18,55,60,74),</v>
      </c>
    </row>
    <row r="1370" spans="1:18" x14ac:dyDescent="0.25">
      <c r="A1370" s="7" t="s">
        <v>5853</v>
      </c>
      <c r="B1370" s="8" t="s">
        <v>44</v>
      </c>
      <c r="C1370" s="10">
        <f t="shared" si="65"/>
        <v>30464</v>
      </c>
      <c r="D1370" t="s">
        <v>11</v>
      </c>
      <c r="E1370" t="s">
        <v>12</v>
      </c>
      <c r="F1370" t="s">
        <v>11</v>
      </c>
      <c r="G1370" t="s">
        <v>12</v>
      </c>
      <c r="H1370" t="s">
        <v>11</v>
      </c>
      <c r="I1370" t="s">
        <v>12</v>
      </c>
      <c r="J1370" t="s">
        <v>11</v>
      </c>
      <c r="K1370" t="s">
        <v>12</v>
      </c>
      <c r="L1370" s="12" t="s">
        <v>71</v>
      </c>
      <c r="M1370" s="12" t="s">
        <v>45</v>
      </c>
      <c r="N1370" s="12" t="s">
        <v>34</v>
      </c>
      <c r="O1370" s="12" t="s">
        <v>99</v>
      </c>
      <c r="P1370" s="12" t="s">
        <v>239</v>
      </c>
      <c r="Q1370" s="7" t="str">
        <f t="shared" si="64"/>
        <v>(1983,21,'1983.05.28',31,43,49,52,73,0),</v>
      </c>
      <c r="R1370" s="7" t="str">
        <f t="shared" si="66"/>
        <v>(1983,21,'1983.05.28',31,43,49,52,73),</v>
      </c>
    </row>
    <row r="1371" spans="1:18" x14ac:dyDescent="0.25">
      <c r="A1371" s="7" t="s">
        <v>5853</v>
      </c>
      <c r="B1371" s="8" t="s">
        <v>32</v>
      </c>
      <c r="C1371" s="10">
        <f t="shared" si="65"/>
        <v>30471</v>
      </c>
      <c r="D1371" t="s">
        <v>11</v>
      </c>
      <c r="E1371" t="s">
        <v>12</v>
      </c>
      <c r="F1371" t="s">
        <v>11</v>
      </c>
      <c r="G1371" t="s">
        <v>12</v>
      </c>
      <c r="H1371" t="s">
        <v>11</v>
      </c>
      <c r="I1371" t="s">
        <v>12</v>
      </c>
      <c r="J1371" t="s">
        <v>11</v>
      </c>
      <c r="K1371" t="s">
        <v>12</v>
      </c>
      <c r="L1371" s="12" t="s">
        <v>42</v>
      </c>
      <c r="M1371" s="12" t="s">
        <v>168</v>
      </c>
      <c r="N1371" s="12" t="s">
        <v>25</v>
      </c>
      <c r="O1371" s="12" t="s">
        <v>133</v>
      </c>
      <c r="P1371" s="12" t="s">
        <v>143</v>
      </c>
      <c r="Q1371" s="7" t="str">
        <f t="shared" si="64"/>
        <v>(1983,22,'1983.06.04',3,4,34,45,77,0),</v>
      </c>
      <c r="R1371" s="7" t="str">
        <f t="shared" si="66"/>
        <v>(1983,22,'1983.06.04',3,4,34,45,77),</v>
      </c>
    </row>
    <row r="1372" spans="1:18" x14ac:dyDescent="0.25">
      <c r="A1372" s="7" t="s">
        <v>5853</v>
      </c>
      <c r="B1372" s="8" t="s">
        <v>163</v>
      </c>
      <c r="C1372" s="10">
        <f t="shared" si="65"/>
        <v>30478</v>
      </c>
      <c r="D1372" t="s">
        <v>11</v>
      </c>
      <c r="E1372" t="s">
        <v>12</v>
      </c>
      <c r="F1372" t="s">
        <v>11</v>
      </c>
      <c r="G1372" t="s">
        <v>12</v>
      </c>
      <c r="H1372" t="s">
        <v>11</v>
      </c>
      <c r="I1372" t="s">
        <v>12</v>
      </c>
      <c r="J1372" t="s">
        <v>11</v>
      </c>
      <c r="K1372" t="s">
        <v>12</v>
      </c>
      <c r="L1372" s="12" t="s">
        <v>53</v>
      </c>
      <c r="M1372" s="12" t="s">
        <v>44</v>
      </c>
      <c r="N1372" s="12" t="s">
        <v>248</v>
      </c>
      <c r="O1372" s="12" t="s">
        <v>214</v>
      </c>
      <c r="P1372" s="12" t="s">
        <v>468</v>
      </c>
      <c r="Q1372" s="7" t="str">
        <f t="shared" si="64"/>
        <v>(1983,23,'1983.06.11',7,21,63,64,85,0),</v>
      </c>
      <c r="R1372" s="7" t="str">
        <f t="shared" si="66"/>
        <v>(1983,23,'1983.06.11',7,21,63,64,85),</v>
      </c>
    </row>
    <row r="1373" spans="1:18" x14ac:dyDescent="0.25">
      <c r="A1373" s="7" t="s">
        <v>5853</v>
      </c>
      <c r="B1373" s="8" t="s">
        <v>33</v>
      </c>
      <c r="C1373" s="10">
        <f t="shared" si="65"/>
        <v>30485</v>
      </c>
      <c r="D1373" t="s">
        <v>11</v>
      </c>
      <c r="E1373" t="s">
        <v>12</v>
      </c>
      <c r="F1373" t="s">
        <v>11</v>
      </c>
      <c r="G1373" t="s">
        <v>12</v>
      </c>
      <c r="H1373" t="s">
        <v>11</v>
      </c>
      <c r="I1373" t="s">
        <v>12</v>
      </c>
      <c r="J1373" t="s">
        <v>11</v>
      </c>
      <c r="K1373" t="s">
        <v>12</v>
      </c>
      <c r="L1373" s="12" t="s">
        <v>198</v>
      </c>
      <c r="M1373" s="12" t="s">
        <v>107</v>
      </c>
      <c r="N1373" s="12" t="s">
        <v>142</v>
      </c>
      <c r="O1373" s="12" t="s">
        <v>23</v>
      </c>
      <c r="P1373" s="12" t="s">
        <v>72</v>
      </c>
      <c r="Q1373" s="7" t="str">
        <f t="shared" si="64"/>
        <v>(1983,24,'1983.06.18',9,30,44,60,67,0),</v>
      </c>
      <c r="R1373" s="7" t="str">
        <f t="shared" si="66"/>
        <v>(1983,24,'1983.06.18',9,30,44,60,67),</v>
      </c>
    </row>
    <row r="1374" spans="1:18" x14ac:dyDescent="0.25">
      <c r="A1374" s="7" t="s">
        <v>5853</v>
      </c>
      <c r="B1374" s="8" t="s">
        <v>152</v>
      </c>
      <c r="C1374" s="10">
        <f t="shared" si="65"/>
        <v>30492</v>
      </c>
      <c r="D1374" t="s">
        <v>11</v>
      </c>
      <c r="E1374" t="s">
        <v>12</v>
      </c>
      <c r="F1374" t="s">
        <v>11</v>
      </c>
      <c r="G1374" t="s">
        <v>12</v>
      </c>
      <c r="H1374" t="s">
        <v>11</v>
      </c>
      <c r="I1374" t="s">
        <v>12</v>
      </c>
      <c r="J1374" t="s">
        <v>11</v>
      </c>
      <c r="K1374" t="s">
        <v>12</v>
      </c>
      <c r="L1374" s="12" t="s">
        <v>31</v>
      </c>
      <c r="M1374" s="12" t="s">
        <v>115</v>
      </c>
      <c r="N1374" s="12" t="s">
        <v>152</v>
      </c>
      <c r="O1374" s="12" t="s">
        <v>81</v>
      </c>
      <c r="P1374" s="12" t="s">
        <v>215</v>
      </c>
      <c r="Q1374" s="7" t="str">
        <f t="shared" si="64"/>
        <v>(1983,25,'1983.06.25',12,20,25,47,81,0),</v>
      </c>
      <c r="R1374" s="7" t="str">
        <f t="shared" si="66"/>
        <v>(1983,25,'1983.06.25',12,20,25,47,81),</v>
      </c>
    </row>
    <row r="1375" spans="1:18" x14ac:dyDescent="0.25">
      <c r="A1375" s="7" t="s">
        <v>5853</v>
      </c>
      <c r="B1375" s="8" t="s">
        <v>74</v>
      </c>
      <c r="C1375" s="10">
        <f t="shared" si="65"/>
        <v>30499</v>
      </c>
      <c r="D1375" t="s">
        <v>11</v>
      </c>
      <c r="E1375" t="s">
        <v>12</v>
      </c>
      <c r="F1375" t="s">
        <v>11</v>
      </c>
      <c r="G1375" t="s">
        <v>12</v>
      </c>
      <c r="H1375" t="s">
        <v>11</v>
      </c>
      <c r="I1375" t="s">
        <v>12</v>
      </c>
      <c r="J1375" t="s">
        <v>11</v>
      </c>
      <c r="K1375" t="s">
        <v>12</v>
      </c>
      <c r="L1375" s="12" t="s">
        <v>62</v>
      </c>
      <c r="M1375" s="12" t="s">
        <v>65</v>
      </c>
      <c r="N1375" s="12" t="s">
        <v>23</v>
      </c>
      <c r="O1375" s="12" t="s">
        <v>91</v>
      </c>
      <c r="P1375" s="12" t="s">
        <v>124</v>
      </c>
      <c r="Q1375" s="7" t="str">
        <f t="shared" si="64"/>
        <v>(1983,26,'1983.07.02',10,13,60,61,62,0),</v>
      </c>
      <c r="R1375" s="7" t="str">
        <f t="shared" si="66"/>
        <v>(1983,26,'1983.07.02',10,13,60,61,62),</v>
      </c>
    </row>
    <row r="1376" spans="1:18" x14ac:dyDescent="0.25">
      <c r="A1376" s="7" t="s">
        <v>5853</v>
      </c>
      <c r="B1376" s="8" t="s">
        <v>135</v>
      </c>
      <c r="C1376" s="10">
        <f t="shared" si="65"/>
        <v>30506</v>
      </c>
      <c r="D1376" t="s">
        <v>11</v>
      </c>
      <c r="E1376" t="s">
        <v>12</v>
      </c>
      <c r="F1376" t="s">
        <v>11</v>
      </c>
      <c r="G1376" t="s">
        <v>12</v>
      </c>
      <c r="H1376" t="s">
        <v>11</v>
      </c>
      <c r="I1376" t="s">
        <v>12</v>
      </c>
      <c r="J1376" t="s">
        <v>11</v>
      </c>
      <c r="K1376" t="s">
        <v>12</v>
      </c>
      <c r="L1376" s="12" t="s">
        <v>13</v>
      </c>
      <c r="M1376" s="12" t="s">
        <v>105</v>
      </c>
      <c r="N1376" s="12" t="s">
        <v>150</v>
      </c>
      <c r="O1376" s="12" t="s">
        <v>91</v>
      </c>
      <c r="P1376" s="12" t="s">
        <v>124</v>
      </c>
      <c r="Q1376" s="7" t="str">
        <f t="shared" si="64"/>
        <v>(1983,27,'1983.07.09',41,50,57,61,62,0),</v>
      </c>
      <c r="R1376" s="7" t="str">
        <f t="shared" si="66"/>
        <v>(1983,27,'1983.07.09',41,50,57,61,62),</v>
      </c>
    </row>
    <row r="1377" spans="1:18" x14ac:dyDescent="0.25">
      <c r="A1377" s="7" t="s">
        <v>5853</v>
      </c>
      <c r="B1377" s="8" t="s">
        <v>126</v>
      </c>
      <c r="C1377" s="10">
        <f t="shared" si="65"/>
        <v>30513</v>
      </c>
      <c r="D1377" t="s">
        <v>11</v>
      </c>
      <c r="E1377" t="s">
        <v>12</v>
      </c>
      <c r="F1377" t="s">
        <v>11</v>
      </c>
      <c r="G1377" t="s">
        <v>12</v>
      </c>
      <c r="H1377" t="s">
        <v>11</v>
      </c>
      <c r="I1377" t="s">
        <v>12</v>
      </c>
      <c r="J1377" t="s">
        <v>11</v>
      </c>
      <c r="K1377" t="s">
        <v>12</v>
      </c>
      <c r="L1377" s="12" t="s">
        <v>163</v>
      </c>
      <c r="M1377" s="12" t="s">
        <v>46</v>
      </c>
      <c r="N1377" s="12" t="s">
        <v>169</v>
      </c>
      <c r="O1377" s="12" t="s">
        <v>201</v>
      </c>
      <c r="P1377" s="12" t="s">
        <v>468</v>
      </c>
      <c r="Q1377" s="7" t="str">
        <f t="shared" si="64"/>
        <v>(1983,28,'1983.07.16',23,37,58,72,85,0),</v>
      </c>
      <c r="R1377" s="7" t="str">
        <f t="shared" si="66"/>
        <v>(1983,28,'1983.07.16',23,37,58,72,85),</v>
      </c>
    </row>
    <row r="1378" spans="1:18" x14ac:dyDescent="0.25">
      <c r="A1378" s="7" t="s">
        <v>5853</v>
      </c>
      <c r="B1378" s="8" t="s">
        <v>116</v>
      </c>
      <c r="C1378" s="10">
        <f t="shared" si="65"/>
        <v>30520</v>
      </c>
      <c r="D1378" t="s">
        <v>11</v>
      </c>
      <c r="E1378" t="s">
        <v>12</v>
      </c>
      <c r="F1378" t="s">
        <v>11</v>
      </c>
      <c r="G1378" t="s">
        <v>12</v>
      </c>
      <c r="H1378" t="s">
        <v>11</v>
      </c>
      <c r="I1378" t="s">
        <v>12</v>
      </c>
      <c r="J1378" t="s">
        <v>11</v>
      </c>
      <c r="K1378" t="s">
        <v>12</v>
      </c>
      <c r="L1378" s="12" t="s">
        <v>65</v>
      </c>
      <c r="M1378" s="12" t="s">
        <v>135</v>
      </c>
      <c r="N1378" s="12" t="s">
        <v>116</v>
      </c>
      <c r="O1378" s="12" t="s">
        <v>34</v>
      </c>
      <c r="P1378" s="12" t="s">
        <v>125</v>
      </c>
      <c r="Q1378" s="7" t="str">
        <f t="shared" si="64"/>
        <v>(1983,29,'1983.07.23',13,27,29,49,83,0),</v>
      </c>
      <c r="R1378" s="7" t="str">
        <f t="shared" si="66"/>
        <v>(1983,29,'1983.07.23',13,27,29,49,83),</v>
      </c>
    </row>
    <row r="1379" spans="1:18" x14ac:dyDescent="0.25">
      <c r="A1379" s="7" t="s">
        <v>5853</v>
      </c>
      <c r="B1379" s="8" t="s">
        <v>107</v>
      </c>
      <c r="C1379" s="10">
        <f t="shared" si="65"/>
        <v>30527</v>
      </c>
      <c r="D1379" t="s">
        <v>11</v>
      </c>
      <c r="E1379" t="s">
        <v>12</v>
      </c>
      <c r="F1379" t="s">
        <v>11</v>
      </c>
      <c r="G1379" t="s">
        <v>12</v>
      </c>
      <c r="H1379" t="s">
        <v>11</v>
      </c>
      <c r="I1379" t="s">
        <v>12</v>
      </c>
      <c r="J1379" t="s">
        <v>11</v>
      </c>
      <c r="K1379" t="s">
        <v>12</v>
      </c>
      <c r="L1379" s="12" t="s">
        <v>168</v>
      </c>
      <c r="M1379" s="12" t="s">
        <v>44</v>
      </c>
      <c r="N1379" s="12" t="s">
        <v>46</v>
      </c>
      <c r="O1379" s="12" t="s">
        <v>122</v>
      </c>
      <c r="P1379" s="12" t="s">
        <v>72</v>
      </c>
      <c r="Q1379" s="7" t="str">
        <f t="shared" si="64"/>
        <v>(1983,30,'1983.07.30',4,21,37,51,67,0),</v>
      </c>
      <c r="R1379" s="7" t="str">
        <f t="shared" si="66"/>
        <v>(1983,30,'1983.07.30',4,21,37,51,67),</v>
      </c>
    </row>
    <row r="1380" spans="1:18" x14ac:dyDescent="0.25">
      <c r="A1380" s="7" t="s">
        <v>5853</v>
      </c>
      <c r="B1380" s="8" t="s">
        <v>71</v>
      </c>
      <c r="C1380" s="10">
        <f t="shared" si="65"/>
        <v>30534</v>
      </c>
      <c r="D1380" t="s">
        <v>11</v>
      </c>
      <c r="E1380" t="s">
        <v>12</v>
      </c>
      <c r="F1380" t="s">
        <v>11</v>
      </c>
      <c r="G1380" t="s">
        <v>12</v>
      </c>
      <c r="H1380" t="s">
        <v>11</v>
      </c>
      <c r="I1380" t="s">
        <v>12</v>
      </c>
      <c r="J1380" t="s">
        <v>11</v>
      </c>
      <c r="K1380" t="s">
        <v>12</v>
      </c>
      <c r="L1380" s="12" t="s">
        <v>168</v>
      </c>
      <c r="M1380" s="12" t="s">
        <v>71</v>
      </c>
      <c r="N1380" s="12" t="s">
        <v>124</v>
      </c>
      <c r="O1380" s="12" t="s">
        <v>622</v>
      </c>
      <c r="P1380" s="12" t="s">
        <v>379</v>
      </c>
      <c r="Q1380" s="7" t="str">
        <f t="shared" si="64"/>
        <v>(1983,31,'1983.08.06',4,31,62,82,89,0),</v>
      </c>
      <c r="R1380" s="7" t="str">
        <f t="shared" si="66"/>
        <v>(1983,31,'1983.08.06',4,31,62,82,89),</v>
      </c>
    </row>
    <row r="1381" spans="1:18" x14ac:dyDescent="0.25">
      <c r="A1381" s="7" t="s">
        <v>5853</v>
      </c>
      <c r="B1381" s="8" t="s">
        <v>80</v>
      </c>
      <c r="C1381" s="10">
        <f t="shared" si="65"/>
        <v>30541</v>
      </c>
      <c r="D1381" t="s">
        <v>11</v>
      </c>
      <c r="E1381" t="s">
        <v>12</v>
      </c>
      <c r="F1381" t="s">
        <v>11</v>
      </c>
      <c r="G1381" t="s">
        <v>12</v>
      </c>
      <c r="H1381" t="s">
        <v>11</v>
      </c>
      <c r="I1381" t="s">
        <v>12</v>
      </c>
      <c r="J1381" t="s">
        <v>11</v>
      </c>
      <c r="K1381" t="s">
        <v>12</v>
      </c>
      <c r="L1381" s="12" t="s">
        <v>232</v>
      </c>
      <c r="M1381" s="12" t="s">
        <v>65</v>
      </c>
      <c r="N1381" s="12" t="s">
        <v>115</v>
      </c>
      <c r="O1381" s="12" t="s">
        <v>74</v>
      </c>
      <c r="P1381" s="12" t="s">
        <v>379</v>
      </c>
      <c r="Q1381" s="7" t="str">
        <f t="shared" si="64"/>
        <v>(1983,32,'1983.08.13',8,13,20,26,89,0),</v>
      </c>
      <c r="R1381" s="7" t="str">
        <f t="shared" si="66"/>
        <v>(1983,32,'1983.08.13',8,13,20,26,89),</v>
      </c>
    </row>
    <row r="1382" spans="1:18" x14ac:dyDescent="0.25">
      <c r="A1382" s="7" t="s">
        <v>5853</v>
      </c>
      <c r="B1382" s="8" t="s">
        <v>20</v>
      </c>
      <c r="C1382" s="10">
        <f t="shared" si="65"/>
        <v>30548</v>
      </c>
      <c r="D1382" t="s">
        <v>11</v>
      </c>
      <c r="E1382" t="s">
        <v>12</v>
      </c>
      <c r="F1382" t="s">
        <v>11</v>
      </c>
      <c r="G1382" t="s">
        <v>12</v>
      </c>
      <c r="H1382" t="s">
        <v>11</v>
      </c>
      <c r="I1382" t="s">
        <v>12</v>
      </c>
      <c r="J1382" t="s">
        <v>11</v>
      </c>
      <c r="K1382" t="s">
        <v>12</v>
      </c>
      <c r="L1382" s="12" t="s">
        <v>116</v>
      </c>
      <c r="M1382" s="12" t="s">
        <v>13</v>
      </c>
      <c r="N1382" s="12" t="s">
        <v>92</v>
      </c>
      <c r="O1382" s="12" t="s">
        <v>63</v>
      </c>
      <c r="P1382" s="12" t="s">
        <v>622</v>
      </c>
      <c r="Q1382" s="7" t="str">
        <f t="shared" si="64"/>
        <v>(1983,33,'1983.08.20',29,41,68,78,82,0),</v>
      </c>
      <c r="R1382" s="7" t="str">
        <f t="shared" si="66"/>
        <v>(1983,33,'1983.08.20',29,41,68,78,82),</v>
      </c>
    </row>
    <row r="1383" spans="1:18" x14ac:dyDescent="0.25">
      <c r="A1383" s="7" t="s">
        <v>5853</v>
      </c>
      <c r="B1383" s="8" t="s">
        <v>25</v>
      </c>
      <c r="C1383" s="10">
        <f t="shared" si="65"/>
        <v>30555</v>
      </c>
      <c r="D1383" t="s">
        <v>11</v>
      </c>
      <c r="E1383" t="s">
        <v>12</v>
      </c>
      <c r="F1383" t="s">
        <v>11</v>
      </c>
      <c r="G1383" t="s">
        <v>12</v>
      </c>
      <c r="H1383" t="s">
        <v>11</v>
      </c>
      <c r="I1383" t="s">
        <v>12</v>
      </c>
      <c r="J1383" t="s">
        <v>11</v>
      </c>
      <c r="K1383" t="s">
        <v>12</v>
      </c>
      <c r="L1383" s="12" t="s">
        <v>115</v>
      </c>
      <c r="M1383" s="12" t="s">
        <v>80</v>
      </c>
      <c r="N1383" s="12" t="s">
        <v>25</v>
      </c>
      <c r="O1383" s="12" t="s">
        <v>123</v>
      </c>
      <c r="P1383" s="12" t="s">
        <v>214</v>
      </c>
      <c r="Q1383" s="7" t="str">
        <f t="shared" si="64"/>
        <v>(1983,34,'1983.08.27',20,32,34,54,64,0),</v>
      </c>
      <c r="R1383" s="7" t="str">
        <f t="shared" si="66"/>
        <v>(1983,34,'1983.08.27',20,32,34,54,64),</v>
      </c>
    </row>
    <row r="1384" spans="1:18" x14ac:dyDescent="0.25">
      <c r="A1384" s="7" t="s">
        <v>5853</v>
      </c>
      <c r="B1384" s="8" t="s">
        <v>64</v>
      </c>
      <c r="C1384" s="10">
        <f t="shared" si="65"/>
        <v>30562</v>
      </c>
      <c r="D1384" t="s">
        <v>11</v>
      </c>
      <c r="E1384" t="s">
        <v>12</v>
      </c>
      <c r="F1384" t="s">
        <v>11</v>
      </c>
      <c r="G1384" t="s">
        <v>12</v>
      </c>
      <c r="H1384" t="s">
        <v>11</v>
      </c>
      <c r="I1384" t="s">
        <v>12</v>
      </c>
      <c r="J1384" t="s">
        <v>11</v>
      </c>
      <c r="K1384" t="s">
        <v>12</v>
      </c>
      <c r="L1384" s="12" t="s">
        <v>168</v>
      </c>
      <c r="M1384" s="12" t="s">
        <v>89</v>
      </c>
      <c r="N1384" s="12" t="s">
        <v>126</v>
      </c>
      <c r="O1384" s="12" t="s">
        <v>13</v>
      </c>
      <c r="P1384" s="12" t="s">
        <v>208</v>
      </c>
      <c r="Q1384" s="7" t="str">
        <f t="shared" si="64"/>
        <v>(1983,35,'1983.09.03',4,5,28,41,88,0),</v>
      </c>
      <c r="R1384" s="7" t="str">
        <f t="shared" si="66"/>
        <v>(1983,35,'1983.09.03',4,5,28,41,88),</v>
      </c>
    </row>
    <row r="1385" spans="1:18" x14ac:dyDescent="0.25">
      <c r="A1385" s="7" t="s">
        <v>5853</v>
      </c>
      <c r="B1385" s="8" t="s">
        <v>21</v>
      </c>
      <c r="C1385" s="10">
        <f t="shared" si="65"/>
        <v>30569</v>
      </c>
      <c r="D1385" t="s">
        <v>11</v>
      </c>
      <c r="E1385" t="s">
        <v>12</v>
      </c>
      <c r="F1385" t="s">
        <v>11</v>
      </c>
      <c r="G1385" t="s">
        <v>12</v>
      </c>
      <c r="H1385" t="s">
        <v>11</v>
      </c>
      <c r="I1385" t="s">
        <v>12</v>
      </c>
      <c r="J1385" t="s">
        <v>11</v>
      </c>
      <c r="K1385" t="s">
        <v>12</v>
      </c>
      <c r="L1385" s="12" t="s">
        <v>43</v>
      </c>
      <c r="M1385" s="12" t="s">
        <v>19</v>
      </c>
      <c r="N1385" s="12" t="s">
        <v>23</v>
      </c>
      <c r="O1385" s="12" t="s">
        <v>106</v>
      </c>
      <c r="P1385" s="12" t="s">
        <v>208</v>
      </c>
      <c r="Q1385" s="7" t="str">
        <f t="shared" si="64"/>
        <v>(1983,36,'1983.09.10',16,18,60,75,88,0),</v>
      </c>
      <c r="R1385" s="7" t="str">
        <f t="shared" si="66"/>
        <v>(1983,36,'1983.09.10',16,18,60,75,88),</v>
      </c>
    </row>
    <row r="1386" spans="1:18" x14ac:dyDescent="0.25">
      <c r="A1386" s="7" t="s">
        <v>5853</v>
      </c>
      <c r="B1386" s="8" t="s">
        <v>46</v>
      </c>
      <c r="C1386" s="10">
        <f t="shared" si="65"/>
        <v>30576</v>
      </c>
      <c r="D1386" t="s">
        <v>11</v>
      </c>
      <c r="E1386" t="s">
        <v>12</v>
      </c>
      <c r="F1386" t="s">
        <v>11</v>
      </c>
      <c r="G1386" t="s">
        <v>12</v>
      </c>
      <c r="H1386" t="s">
        <v>11</v>
      </c>
      <c r="I1386" t="s">
        <v>12</v>
      </c>
      <c r="J1386" t="s">
        <v>11</v>
      </c>
      <c r="K1386" t="s">
        <v>12</v>
      </c>
      <c r="L1386" s="12" t="s">
        <v>62</v>
      </c>
      <c r="M1386" s="12" t="s">
        <v>19</v>
      </c>
      <c r="N1386" s="12" t="s">
        <v>115</v>
      </c>
      <c r="O1386" s="12" t="s">
        <v>33</v>
      </c>
      <c r="P1386" s="12" t="s">
        <v>233</v>
      </c>
      <c r="Q1386" s="7" t="str">
        <f t="shared" si="64"/>
        <v>(1983,37,'1983.09.17',10,18,20,24,66,0),</v>
      </c>
      <c r="R1386" s="7" t="str">
        <f t="shared" si="66"/>
        <v>(1983,37,'1983.09.17',10,18,20,24,66),</v>
      </c>
    </row>
    <row r="1387" spans="1:18" x14ac:dyDescent="0.25">
      <c r="A1387" s="7" t="s">
        <v>5853</v>
      </c>
      <c r="B1387" s="8" t="s">
        <v>36</v>
      </c>
      <c r="C1387" s="10">
        <f t="shared" si="65"/>
        <v>30583</v>
      </c>
      <c r="D1387" t="s">
        <v>11</v>
      </c>
      <c r="E1387" t="s">
        <v>12</v>
      </c>
      <c r="F1387" t="s">
        <v>11</v>
      </c>
      <c r="G1387" t="s">
        <v>12</v>
      </c>
      <c r="H1387" t="s">
        <v>11</v>
      </c>
      <c r="I1387" t="s">
        <v>12</v>
      </c>
      <c r="J1387" t="s">
        <v>11</v>
      </c>
      <c r="K1387" t="s">
        <v>12</v>
      </c>
      <c r="L1387" s="12" t="s">
        <v>232</v>
      </c>
      <c r="M1387" s="12" t="s">
        <v>36</v>
      </c>
      <c r="N1387" s="12" t="s">
        <v>35</v>
      </c>
      <c r="O1387" s="12" t="s">
        <v>72</v>
      </c>
      <c r="P1387" s="12" t="s">
        <v>143</v>
      </c>
      <c r="Q1387" s="7" t="str">
        <f t="shared" si="64"/>
        <v>(1983,38,'1983.09.24',8,38,65,67,77,0),</v>
      </c>
      <c r="R1387" s="7" t="str">
        <f t="shared" si="66"/>
        <v>(1983,38,'1983.09.24',8,38,65,67,77),</v>
      </c>
    </row>
    <row r="1388" spans="1:18" x14ac:dyDescent="0.25">
      <c r="A1388" s="7" t="s">
        <v>5853</v>
      </c>
      <c r="B1388" s="8" t="s">
        <v>24</v>
      </c>
      <c r="C1388" s="10">
        <f t="shared" si="65"/>
        <v>30590</v>
      </c>
      <c r="D1388" t="s">
        <v>11</v>
      </c>
      <c r="E1388" t="s">
        <v>12</v>
      </c>
      <c r="F1388" t="s">
        <v>11</v>
      </c>
      <c r="G1388" t="s">
        <v>12</v>
      </c>
      <c r="H1388" t="s">
        <v>11</v>
      </c>
      <c r="I1388" t="s">
        <v>12</v>
      </c>
      <c r="J1388" t="s">
        <v>11</v>
      </c>
      <c r="K1388" t="s">
        <v>12</v>
      </c>
      <c r="L1388" s="12" t="s">
        <v>54</v>
      </c>
      <c r="M1388" s="12" t="s">
        <v>126</v>
      </c>
      <c r="N1388" s="12" t="s">
        <v>123</v>
      </c>
      <c r="O1388" s="12" t="s">
        <v>63</v>
      </c>
      <c r="P1388" s="12" t="s">
        <v>301</v>
      </c>
      <c r="Q1388" s="7" t="str">
        <f t="shared" si="64"/>
        <v>(1983,39,'1983.10.01',15,28,54,78,80,0),</v>
      </c>
      <c r="R1388" s="7" t="str">
        <f t="shared" si="66"/>
        <v>(1983,39,'1983.10.01',15,28,54,78,80),</v>
      </c>
    </row>
    <row r="1389" spans="1:18" x14ac:dyDescent="0.25">
      <c r="A1389" s="7" t="s">
        <v>5853</v>
      </c>
      <c r="B1389" s="8" t="s">
        <v>10</v>
      </c>
      <c r="C1389" s="10">
        <f t="shared" si="65"/>
        <v>30597</v>
      </c>
      <c r="D1389" t="s">
        <v>11</v>
      </c>
      <c r="E1389" t="s">
        <v>12</v>
      </c>
      <c r="F1389" t="s">
        <v>11</v>
      </c>
      <c r="G1389" t="s">
        <v>12</v>
      </c>
      <c r="H1389" t="s">
        <v>11</v>
      </c>
      <c r="I1389" t="s">
        <v>12</v>
      </c>
      <c r="J1389" t="s">
        <v>11</v>
      </c>
      <c r="K1389" t="s">
        <v>12</v>
      </c>
      <c r="L1389" s="12" t="s">
        <v>127</v>
      </c>
      <c r="M1389" s="12" t="s">
        <v>90</v>
      </c>
      <c r="N1389" s="12" t="s">
        <v>107</v>
      </c>
      <c r="O1389" s="12" t="s">
        <v>125</v>
      </c>
      <c r="P1389" s="12" t="s">
        <v>468</v>
      </c>
      <c r="Q1389" s="7" t="str">
        <f t="shared" si="64"/>
        <v>(1983,40,'1983.10.08',14,17,30,83,85,0),</v>
      </c>
      <c r="R1389" s="7" t="str">
        <f t="shared" si="66"/>
        <v>(1983,40,'1983.10.08',14,17,30,83,85),</v>
      </c>
    </row>
    <row r="1390" spans="1:18" x14ac:dyDescent="0.25">
      <c r="A1390" s="7" t="s">
        <v>5853</v>
      </c>
      <c r="B1390" s="8" t="s">
        <v>13</v>
      </c>
      <c r="C1390" s="10">
        <f t="shared" si="65"/>
        <v>30604</v>
      </c>
      <c r="D1390" t="s">
        <v>11</v>
      </c>
      <c r="E1390" t="s">
        <v>12</v>
      </c>
      <c r="F1390" t="s">
        <v>11</v>
      </c>
      <c r="G1390" t="s">
        <v>12</v>
      </c>
      <c r="H1390" t="s">
        <v>11</v>
      </c>
      <c r="I1390" t="s">
        <v>12</v>
      </c>
      <c r="J1390" t="s">
        <v>11</v>
      </c>
      <c r="K1390" t="s">
        <v>12</v>
      </c>
      <c r="L1390" s="12" t="s">
        <v>13</v>
      </c>
      <c r="M1390" s="12" t="s">
        <v>175</v>
      </c>
      <c r="N1390" s="12" t="s">
        <v>143</v>
      </c>
      <c r="O1390" s="12" t="s">
        <v>208</v>
      </c>
      <c r="P1390" s="12" t="s">
        <v>186</v>
      </c>
      <c r="Q1390" s="7" t="str">
        <f t="shared" si="64"/>
        <v>(1983,41,'1983.10.15',41,55,77,88,90,0),</v>
      </c>
      <c r="R1390" s="7" t="str">
        <f t="shared" si="66"/>
        <v>(1983,41,'1983.10.15',41,55,77,88,90),</v>
      </c>
    </row>
    <row r="1391" spans="1:18" x14ac:dyDescent="0.25">
      <c r="A1391" s="7" t="s">
        <v>5853</v>
      </c>
      <c r="B1391" s="8" t="s">
        <v>98</v>
      </c>
      <c r="C1391" s="10">
        <f t="shared" si="65"/>
        <v>30611</v>
      </c>
      <c r="D1391" t="s">
        <v>11</v>
      </c>
      <c r="E1391" t="s">
        <v>12</v>
      </c>
      <c r="F1391" t="s">
        <v>11</v>
      </c>
      <c r="G1391" t="s">
        <v>12</v>
      </c>
      <c r="H1391" t="s">
        <v>11</v>
      </c>
      <c r="I1391" t="s">
        <v>12</v>
      </c>
      <c r="J1391" t="s">
        <v>11</v>
      </c>
      <c r="K1391" t="s">
        <v>12</v>
      </c>
      <c r="L1391" s="12" t="s">
        <v>31</v>
      </c>
      <c r="M1391" s="12" t="s">
        <v>152</v>
      </c>
      <c r="N1391" s="12" t="s">
        <v>45</v>
      </c>
      <c r="O1391" s="12" t="s">
        <v>199</v>
      </c>
      <c r="P1391" s="12" t="s">
        <v>123</v>
      </c>
      <c r="Q1391" s="7" t="str">
        <f t="shared" si="64"/>
        <v>(1983,42,'1983.10.22',12,25,43,53,54,0),</v>
      </c>
      <c r="R1391" s="7" t="str">
        <f t="shared" si="66"/>
        <v>(1983,42,'1983.10.22',12,25,43,53,54),</v>
      </c>
    </row>
    <row r="1392" spans="1:18" x14ac:dyDescent="0.25">
      <c r="A1392" s="7" t="s">
        <v>5853</v>
      </c>
      <c r="B1392" s="8" t="s">
        <v>45</v>
      </c>
      <c r="C1392" s="10">
        <f t="shared" si="65"/>
        <v>30618</v>
      </c>
      <c r="D1392" t="s">
        <v>11</v>
      </c>
      <c r="E1392" t="s">
        <v>12</v>
      </c>
      <c r="F1392" t="s">
        <v>11</v>
      </c>
      <c r="G1392" t="s">
        <v>12</v>
      </c>
      <c r="H1392" t="s">
        <v>11</v>
      </c>
      <c r="I1392" t="s">
        <v>12</v>
      </c>
      <c r="J1392" t="s">
        <v>11</v>
      </c>
      <c r="K1392" t="s">
        <v>12</v>
      </c>
      <c r="L1392" s="12" t="s">
        <v>108</v>
      </c>
      <c r="M1392" s="12" t="s">
        <v>64</v>
      </c>
      <c r="N1392" s="12" t="s">
        <v>24</v>
      </c>
      <c r="O1392" s="12" t="s">
        <v>63</v>
      </c>
      <c r="P1392" s="12" t="s">
        <v>246</v>
      </c>
      <c r="Q1392" s="7" t="str">
        <f t="shared" si="64"/>
        <v>(1983,43,'1983.10.29',1,35,39,78,84,0),</v>
      </c>
      <c r="R1392" s="7" t="str">
        <f t="shared" si="66"/>
        <v>(1983,43,'1983.10.29',1,35,39,78,84),</v>
      </c>
    </row>
    <row r="1393" spans="1:18" x14ac:dyDescent="0.25">
      <c r="A1393" s="7" t="s">
        <v>5853</v>
      </c>
      <c r="B1393" s="8" t="s">
        <v>142</v>
      </c>
      <c r="C1393" s="10">
        <f t="shared" si="65"/>
        <v>30625</v>
      </c>
      <c r="D1393" t="s">
        <v>11</v>
      </c>
      <c r="E1393" t="s">
        <v>12</v>
      </c>
      <c r="F1393" t="s">
        <v>11</v>
      </c>
      <c r="G1393" t="s">
        <v>12</v>
      </c>
      <c r="H1393" t="s">
        <v>11</v>
      </c>
      <c r="I1393" t="s">
        <v>12</v>
      </c>
      <c r="J1393" t="s">
        <v>11</v>
      </c>
      <c r="K1393" t="s">
        <v>12</v>
      </c>
      <c r="L1393" s="12" t="s">
        <v>207</v>
      </c>
      <c r="M1393" s="12" t="s">
        <v>65</v>
      </c>
      <c r="N1393" s="12" t="s">
        <v>90</v>
      </c>
      <c r="O1393" s="12" t="s">
        <v>45</v>
      </c>
      <c r="P1393" s="12" t="s">
        <v>106</v>
      </c>
      <c r="Q1393" s="7" t="str">
        <f t="shared" si="64"/>
        <v>(1983,44,'1983.11.05',2,13,17,43,75,0),</v>
      </c>
      <c r="R1393" s="7" t="str">
        <f t="shared" si="66"/>
        <v>(1983,44,'1983.11.05',2,13,17,43,75),</v>
      </c>
    </row>
    <row r="1394" spans="1:18" x14ac:dyDescent="0.25">
      <c r="A1394" s="7" t="s">
        <v>5853</v>
      </c>
      <c r="B1394" s="8" t="s">
        <v>133</v>
      </c>
      <c r="C1394" s="10">
        <f t="shared" si="65"/>
        <v>30632</v>
      </c>
      <c r="D1394" t="s">
        <v>11</v>
      </c>
      <c r="E1394" t="s">
        <v>12</v>
      </c>
      <c r="F1394" t="s">
        <v>11</v>
      </c>
      <c r="G1394" t="s">
        <v>12</v>
      </c>
      <c r="H1394" t="s">
        <v>11</v>
      </c>
      <c r="I1394" t="s">
        <v>12</v>
      </c>
      <c r="J1394" t="s">
        <v>11</v>
      </c>
      <c r="K1394" t="s">
        <v>12</v>
      </c>
      <c r="L1394" s="12" t="s">
        <v>55</v>
      </c>
      <c r="M1394" s="12" t="s">
        <v>13</v>
      </c>
      <c r="N1394" s="12" t="s">
        <v>122</v>
      </c>
      <c r="O1394" s="12" t="s">
        <v>134</v>
      </c>
      <c r="P1394" s="12" t="s">
        <v>246</v>
      </c>
      <c r="Q1394" s="7" t="str">
        <f t="shared" si="64"/>
        <v>(1983,45,'1983.11.12',19,41,51,56,84,0),</v>
      </c>
      <c r="R1394" s="7" t="str">
        <f t="shared" si="66"/>
        <v>(1983,45,'1983.11.12',19,41,51,56,84),</v>
      </c>
    </row>
    <row r="1395" spans="1:18" x14ac:dyDescent="0.25">
      <c r="A1395" s="7" t="s">
        <v>5853</v>
      </c>
      <c r="B1395" s="8" t="s">
        <v>192</v>
      </c>
      <c r="C1395" s="10">
        <f t="shared" si="65"/>
        <v>30639</v>
      </c>
      <c r="D1395" t="s">
        <v>11</v>
      </c>
      <c r="E1395" t="s">
        <v>12</v>
      </c>
      <c r="F1395" t="s">
        <v>11</v>
      </c>
      <c r="G1395" t="s">
        <v>12</v>
      </c>
      <c r="H1395" t="s">
        <v>11</v>
      </c>
      <c r="I1395" t="s">
        <v>12</v>
      </c>
      <c r="J1395" t="s">
        <v>11</v>
      </c>
      <c r="K1395" t="s">
        <v>12</v>
      </c>
      <c r="L1395" s="12" t="s">
        <v>62</v>
      </c>
      <c r="M1395" s="12" t="s">
        <v>25</v>
      </c>
      <c r="N1395" s="12" t="s">
        <v>123</v>
      </c>
      <c r="O1395" s="12" t="s">
        <v>301</v>
      </c>
      <c r="P1395" s="12" t="s">
        <v>125</v>
      </c>
      <c r="Q1395" s="7" t="str">
        <f t="shared" si="64"/>
        <v>(1983,46,'1983.11.19',10,34,54,80,83,0),</v>
      </c>
      <c r="R1395" s="7" t="str">
        <f t="shared" si="66"/>
        <v>(1983,46,'1983.11.19',10,34,54,80,83),</v>
      </c>
    </row>
    <row r="1396" spans="1:18" x14ac:dyDescent="0.25">
      <c r="A1396" s="7" t="s">
        <v>5853</v>
      </c>
      <c r="B1396" s="8" t="s">
        <v>81</v>
      </c>
      <c r="C1396" s="10">
        <f t="shared" si="65"/>
        <v>30646</v>
      </c>
      <c r="D1396" t="s">
        <v>11</v>
      </c>
      <c r="E1396" t="s">
        <v>12</v>
      </c>
      <c r="F1396" t="s">
        <v>11</v>
      </c>
      <c r="G1396" t="s">
        <v>12</v>
      </c>
      <c r="H1396" t="s">
        <v>11</v>
      </c>
      <c r="I1396" t="s">
        <v>12</v>
      </c>
      <c r="J1396" t="s">
        <v>11</v>
      </c>
      <c r="K1396" t="s">
        <v>12</v>
      </c>
      <c r="L1396" s="12" t="s">
        <v>19</v>
      </c>
      <c r="M1396" s="12" t="s">
        <v>45</v>
      </c>
      <c r="N1396" s="12" t="s">
        <v>142</v>
      </c>
      <c r="O1396" s="12" t="s">
        <v>105</v>
      </c>
      <c r="P1396" s="12" t="s">
        <v>125</v>
      </c>
      <c r="Q1396" s="7" t="str">
        <f t="shared" si="64"/>
        <v>(1983,47,'1983.11.26',18,43,44,50,83,0),</v>
      </c>
      <c r="R1396" s="7" t="str">
        <f t="shared" si="66"/>
        <v>(1983,47,'1983.11.26',18,43,44,50,83),</v>
      </c>
    </row>
    <row r="1397" spans="1:18" x14ac:dyDescent="0.25">
      <c r="A1397" s="7" t="s">
        <v>5853</v>
      </c>
      <c r="B1397" s="8" t="s">
        <v>22</v>
      </c>
      <c r="C1397" s="10">
        <f t="shared" si="65"/>
        <v>30653</v>
      </c>
      <c r="D1397" t="s">
        <v>11</v>
      </c>
      <c r="E1397" t="s">
        <v>12</v>
      </c>
      <c r="F1397" t="s">
        <v>11</v>
      </c>
      <c r="G1397" t="s">
        <v>12</v>
      </c>
      <c r="H1397" t="s">
        <v>11</v>
      </c>
      <c r="I1397" t="s">
        <v>12</v>
      </c>
      <c r="J1397" t="s">
        <v>11</v>
      </c>
      <c r="K1397" t="s">
        <v>12</v>
      </c>
      <c r="L1397" s="12" t="s">
        <v>168</v>
      </c>
      <c r="M1397" s="12" t="s">
        <v>33</v>
      </c>
      <c r="N1397" s="12" t="s">
        <v>135</v>
      </c>
      <c r="O1397" s="12" t="s">
        <v>169</v>
      </c>
      <c r="P1397" s="12" t="s">
        <v>151</v>
      </c>
      <c r="Q1397" s="7" t="str">
        <f t="shared" si="64"/>
        <v>(1983,48,'1983.12.03',4,24,27,58,79,0),</v>
      </c>
      <c r="R1397" s="7" t="str">
        <f t="shared" si="66"/>
        <v>(1983,48,'1983.12.03',4,24,27,58,79),</v>
      </c>
    </row>
    <row r="1398" spans="1:18" x14ac:dyDescent="0.25">
      <c r="A1398" s="7" t="s">
        <v>5853</v>
      </c>
      <c r="B1398" s="8" t="s">
        <v>34</v>
      </c>
      <c r="C1398" s="10">
        <f t="shared" si="65"/>
        <v>30660</v>
      </c>
      <c r="D1398" t="s">
        <v>11</v>
      </c>
      <c r="E1398" t="s">
        <v>12</v>
      </c>
      <c r="F1398" t="s">
        <v>11</v>
      </c>
      <c r="G1398" t="s">
        <v>12</v>
      </c>
      <c r="H1398" t="s">
        <v>11</v>
      </c>
      <c r="I1398" t="s">
        <v>12</v>
      </c>
      <c r="J1398" t="s">
        <v>11</v>
      </c>
      <c r="K1398" t="s">
        <v>12</v>
      </c>
      <c r="L1398" s="12" t="s">
        <v>80</v>
      </c>
      <c r="M1398" s="12" t="s">
        <v>36</v>
      </c>
      <c r="N1398" s="12" t="s">
        <v>142</v>
      </c>
      <c r="O1398" s="12" t="s">
        <v>56</v>
      </c>
      <c r="P1398" s="12" t="s">
        <v>201</v>
      </c>
      <c r="Q1398" s="7" t="str">
        <f t="shared" si="64"/>
        <v>(1983,49,'1983.12.10',32,38,44,71,72,0),</v>
      </c>
      <c r="R1398" s="7" t="str">
        <f t="shared" si="66"/>
        <v>(1983,49,'1983.12.10',32,38,44,71,72),</v>
      </c>
    </row>
    <row r="1399" spans="1:18" x14ac:dyDescent="0.25">
      <c r="A1399" s="7" t="s">
        <v>5853</v>
      </c>
      <c r="B1399" s="8" t="s">
        <v>105</v>
      </c>
      <c r="C1399" s="10">
        <f t="shared" si="65"/>
        <v>30667</v>
      </c>
      <c r="D1399" t="s">
        <v>11</v>
      </c>
      <c r="E1399" t="s">
        <v>12</v>
      </c>
      <c r="F1399" t="s">
        <v>11</v>
      </c>
      <c r="G1399" t="s">
        <v>12</v>
      </c>
      <c r="H1399" t="s">
        <v>11</v>
      </c>
      <c r="I1399" t="s">
        <v>12</v>
      </c>
      <c r="J1399" t="s">
        <v>11</v>
      </c>
      <c r="K1399" t="s">
        <v>12</v>
      </c>
      <c r="L1399" s="12" t="s">
        <v>55</v>
      </c>
      <c r="M1399" s="12" t="s">
        <v>35</v>
      </c>
      <c r="N1399" s="12" t="s">
        <v>92</v>
      </c>
      <c r="O1399" s="12" t="s">
        <v>63</v>
      </c>
      <c r="P1399" s="12" t="s">
        <v>125</v>
      </c>
      <c r="Q1399" s="7" t="str">
        <f t="shared" si="64"/>
        <v>(1983,50,'1983.12.17',19,65,68,78,83,0),</v>
      </c>
      <c r="R1399" s="7" t="str">
        <f t="shared" si="66"/>
        <v>(1983,50,'1983.12.17',19,65,68,78,83),</v>
      </c>
    </row>
    <row r="1400" spans="1:18" x14ac:dyDescent="0.25">
      <c r="A1400" s="7" t="s">
        <v>5853</v>
      </c>
      <c r="B1400" s="8" t="s">
        <v>122</v>
      </c>
      <c r="C1400" s="10">
        <f t="shared" si="65"/>
        <v>30674</v>
      </c>
      <c r="D1400" t="s">
        <v>11</v>
      </c>
      <c r="E1400" t="s">
        <v>12</v>
      </c>
      <c r="F1400" t="s">
        <v>11</v>
      </c>
      <c r="G1400" t="s">
        <v>12</v>
      </c>
      <c r="H1400" t="s">
        <v>11</v>
      </c>
      <c r="I1400" t="s">
        <v>12</v>
      </c>
      <c r="J1400" t="s">
        <v>11</v>
      </c>
      <c r="K1400" t="s">
        <v>12</v>
      </c>
      <c r="L1400" s="12" t="s">
        <v>62</v>
      </c>
      <c r="M1400" s="12" t="s">
        <v>22</v>
      </c>
      <c r="N1400" s="12" t="s">
        <v>199</v>
      </c>
      <c r="O1400" s="12" t="s">
        <v>72</v>
      </c>
      <c r="P1400" s="12" t="s">
        <v>239</v>
      </c>
      <c r="Q1400" s="7" t="str">
        <f t="shared" si="64"/>
        <v>(1983,51,'1983.12.24',10,48,53,67,73,0),</v>
      </c>
      <c r="R1400" s="7" t="str">
        <f t="shared" si="66"/>
        <v>(1983,51,'1983.12.24',10,48,53,67,73),</v>
      </c>
    </row>
    <row r="1401" spans="1:18" x14ac:dyDescent="0.25">
      <c r="A1401" s="7" t="s">
        <v>5853</v>
      </c>
      <c r="B1401" s="8" t="s">
        <v>99</v>
      </c>
      <c r="C1401" s="10">
        <f t="shared" si="65"/>
        <v>30681</v>
      </c>
      <c r="D1401" t="s">
        <v>11</v>
      </c>
      <c r="E1401" t="s">
        <v>12</v>
      </c>
      <c r="F1401" t="s">
        <v>11</v>
      </c>
      <c r="G1401" t="s">
        <v>12</v>
      </c>
      <c r="H1401" t="s">
        <v>11</v>
      </c>
      <c r="I1401" t="s">
        <v>12</v>
      </c>
      <c r="J1401" t="s">
        <v>11</v>
      </c>
      <c r="K1401" t="s">
        <v>12</v>
      </c>
      <c r="L1401" s="12" t="s">
        <v>142</v>
      </c>
      <c r="M1401" s="12" t="s">
        <v>192</v>
      </c>
      <c r="N1401" s="12" t="s">
        <v>105</v>
      </c>
      <c r="O1401" s="12" t="s">
        <v>92</v>
      </c>
      <c r="P1401" s="12" t="s">
        <v>215</v>
      </c>
      <c r="Q1401" s="7" t="str">
        <f t="shared" si="64"/>
        <v>(1983,52,'1983.12.31',44,46,50,68,81,0),</v>
      </c>
      <c r="R1401" s="7" t="str">
        <f t="shared" si="66"/>
        <v>(1983,52,'1983.12.31',44,46,50,68,81),</v>
      </c>
    </row>
    <row r="1402" spans="1:18" x14ac:dyDescent="0.25">
      <c r="A1402" s="7" t="s">
        <v>5852</v>
      </c>
      <c r="B1402" s="8" t="s">
        <v>108</v>
      </c>
      <c r="C1402" s="10">
        <f t="shared" si="65"/>
        <v>30688</v>
      </c>
      <c r="D1402" t="s">
        <v>11</v>
      </c>
      <c r="E1402" t="s">
        <v>12</v>
      </c>
      <c r="F1402" t="s">
        <v>11</v>
      </c>
      <c r="G1402" t="s">
        <v>12</v>
      </c>
      <c r="H1402" t="s">
        <v>11</v>
      </c>
      <c r="I1402" t="s">
        <v>12</v>
      </c>
      <c r="J1402" t="s">
        <v>11</v>
      </c>
      <c r="K1402" t="s">
        <v>12</v>
      </c>
      <c r="L1402" s="12" t="s">
        <v>55</v>
      </c>
      <c r="M1402" s="12" t="s">
        <v>152</v>
      </c>
      <c r="N1402" s="12" t="s">
        <v>71</v>
      </c>
      <c r="O1402" s="12" t="s">
        <v>123</v>
      </c>
      <c r="P1402" s="12" t="s">
        <v>73</v>
      </c>
      <c r="Q1402" s="7" t="str">
        <f t="shared" si="64"/>
        <v>(1984,1,'1984.01.07',19,25,31,54,76,0),</v>
      </c>
      <c r="R1402" s="7" t="str">
        <f t="shared" si="66"/>
        <v>(1984,1,'1984.01.07',19,25,31,54,76),</v>
      </c>
    </row>
    <row r="1403" spans="1:18" x14ac:dyDescent="0.25">
      <c r="A1403" s="7" t="s">
        <v>5852</v>
      </c>
      <c r="B1403" s="8" t="s">
        <v>207</v>
      </c>
      <c r="C1403" s="10">
        <f t="shared" si="65"/>
        <v>30695</v>
      </c>
      <c r="D1403" t="s">
        <v>11</v>
      </c>
      <c r="E1403" t="s">
        <v>12</v>
      </c>
      <c r="F1403" t="s">
        <v>11</v>
      </c>
      <c r="G1403" t="s">
        <v>12</v>
      </c>
      <c r="H1403" t="s">
        <v>11</v>
      </c>
      <c r="I1403" t="s">
        <v>12</v>
      </c>
      <c r="J1403" t="s">
        <v>11</v>
      </c>
      <c r="K1403" t="s">
        <v>12</v>
      </c>
      <c r="L1403" s="12" t="s">
        <v>53</v>
      </c>
      <c r="M1403" s="12" t="s">
        <v>65</v>
      </c>
      <c r="N1403" s="12" t="s">
        <v>123</v>
      </c>
      <c r="O1403" s="12" t="s">
        <v>175</v>
      </c>
      <c r="P1403" s="12" t="s">
        <v>379</v>
      </c>
      <c r="Q1403" s="7" t="str">
        <f t="shared" si="64"/>
        <v>(1984,2,'1984.01.14',7,13,54,55,89,0),</v>
      </c>
      <c r="R1403" s="7" t="str">
        <f t="shared" si="66"/>
        <v>(1984,2,'1984.01.14',7,13,54,55,89),</v>
      </c>
    </row>
    <row r="1404" spans="1:18" x14ac:dyDescent="0.25">
      <c r="A1404" s="7" t="s">
        <v>5852</v>
      </c>
      <c r="B1404" s="8" t="s">
        <v>42</v>
      </c>
      <c r="C1404" s="10">
        <f t="shared" si="65"/>
        <v>30702</v>
      </c>
      <c r="D1404" t="s">
        <v>11</v>
      </c>
      <c r="E1404" t="s">
        <v>12</v>
      </c>
      <c r="F1404" t="s">
        <v>11</v>
      </c>
      <c r="G1404" t="s">
        <v>12</v>
      </c>
      <c r="H1404" t="s">
        <v>11</v>
      </c>
      <c r="I1404" t="s">
        <v>12</v>
      </c>
      <c r="J1404" t="s">
        <v>11</v>
      </c>
      <c r="K1404" t="s">
        <v>12</v>
      </c>
      <c r="L1404" s="12" t="s">
        <v>207</v>
      </c>
      <c r="M1404" s="12" t="s">
        <v>168</v>
      </c>
      <c r="N1404" s="12" t="s">
        <v>126</v>
      </c>
      <c r="O1404" s="12" t="s">
        <v>46</v>
      </c>
      <c r="P1404" s="12" t="s">
        <v>175</v>
      </c>
      <c r="Q1404" s="7" t="str">
        <f t="shared" si="64"/>
        <v>(1984,3,'1984.01.21',2,4,28,37,55,0),</v>
      </c>
      <c r="R1404" s="7" t="str">
        <f t="shared" si="66"/>
        <v>(1984,3,'1984.01.21',2,4,28,37,55),</v>
      </c>
    </row>
    <row r="1405" spans="1:18" x14ac:dyDescent="0.25">
      <c r="A1405" s="7" t="s">
        <v>5852</v>
      </c>
      <c r="B1405" s="8" t="s">
        <v>168</v>
      </c>
      <c r="C1405" s="10">
        <f t="shared" si="65"/>
        <v>30709</v>
      </c>
      <c r="D1405" t="s">
        <v>11</v>
      </c>
      <c r="E1405" t="s">
        <v>12</v>
      </c>
      <c r="F1405" t="s">
        <v>11</v>
      </c>
      <c r="G1405" t="s">
        <v>12</v>
      </c>
      <c r="H1405" t="s">
        <v>11</v>
      </c>
      <c r="I1405" t="s">
        <v>12</v>
      </c>
      <c r="J1405" t="s">
        <v>11</v>
      </c>
      <c r="K1405" t="s">
        <v>12</v>
      </c>
      <c r="L1405" s="12" t="s">
        <v>54</v>
      </c>
      <c r="M1405" s="12" t="s">
        <v>74</v>
      </c>
      <c r="N1405" s="12" t="s">
        <v>123</v>
      </c>
      <c r="O1405" s="12" t="s">
        <v>125</v>
      </c>
      <c r="P1405" s="12" t="s">
        <v>468</v>
      </c>
      <c r="Q1405" s="7" t="str">
        <f t="shared" si="64"/>
        <v>(1984,4,'1984.01.28',15,26,54,83,85,0),</v>
      </c>
      <c r="R1405" s="7" t="str">
        <f t="shared" si="66"/>
        <v>(1984,4,'1984.01.28',15,26,54,83,85),</v>
      </c>
    </row>
    <row r="1406" spans="1:18" x14ac:dyDescent="0.25">
      <c r="A1406" s="7" t="s">
        <v>5852</v>
      </c>
      <c r="B1406" s="8" t="s">
        <v>89</v>
      </c>
      <c r="C1406" s="10">
        <f t="shared" si="65"/>
        <v>30716</v>
      </c>
      <c r="D1406" t="s">
        <v>11</v>
      </c>
      <c r="E1406" t="s">
        <v>12</v>
      </c>
      <c r="F1406" t="s">
        <v>11</v>
      </c>
      <c r="G1406" t="s">
        <v>12</v>
      </c>
      <c r="H1406" t="s">
        <v>11</v>
      </c>
      <c r="I1406" t="s">
        <v>12</v>
      </c>
      <c r="J1406" t="s">
        <v>11</v>
      </c>
      <c r="K1406" t="s">
        <v>12</v>
      </c>
      <c r="L1406" s="12" t="s">
        <v>207</v>
      </c>
      <c r="M1406" s="12" t="s">
        <v>53</v>
      </c>
      <c r="N1406" s="12" t="s">
        <v>115</v>
      </c>
      <c r="O1406" s="12" t="s">
        <v>135</v>
      </c>
      <c r="P1406" s="12" t="s">
        <v>45</v>
      </c>
      <c r="Q1406" s="7" t="str">
        <f t="shared" si="64"/>
        <v>(1984,5,'1984.02.04',2,7,20,27,43,0),</v>
      </c>
      <c r="R1406" s="7" t="str">
        <f t="shared" si="66"/>
        <v>(1984,5,'1984.02.04',2,7,20,27,43),</v>
      </c>
    </row>
    <row r="1407" spans="1:18" x14ac:dyDescent="0.25">
      <c r="A1407" s="7" t="s">
        <v>5852</v>
      </c>
      <c r="B1407" s="8" t="s">
        <v>270</v>
      </c>
      <c r="C1407" s="10">
        <f t="shared" si="65"/>
        <v>30723</v>
      </c>
      <c r="D1407" t="s">
        <v>11</v>
      </c>
      <c r="E1407" t="s">
        <v>12</v>
      </c>
      <c r="F1407" t="s">
        <v>11</v>
      </c>
      <c r="G1407" t="s">
        <v>12</v>
      </c>
      <c r="H1407" t="s">
        <v>11</v>
      </c>
      <c r="I1407" t="s">
        <v>12</v>
      </c>
      <c r="J1407" t="s">
        <v>11</v>
      </c>
      <c r="K1407" t="s">
        <v>12</v>
      </c>
      <c r="L1407" s="12" t="s">
        <v>168</v>
      </c>
      <c r="M1407" s="12" t="s">
        <v>198</v>
      </c>
      <c r="N1407" s="12" t="s">
        <v>107</v>
      </c>
      <c r="O1407" s="12" t="s">
        <v>125</v>
      </c>
      <c r="P1407" s="12" t="s">
        <v>246</v>
      </c>
      <c r="Q1407" s="7" t="str">
        <f t="shared" si="64"/>
        <v>(1984,6,'1984.02.11',4,9,30,83,84,0),</v>
      </c>
      <c r="R1407" s="7" t="str">
        <f t="shared" si="66"/>
        <v>(1984,6,'1984.02.11',4,9,30,83,84),</v>
      </c>
    </row>
    <row r="1408" spans="1:18" x14ac:dyDescent="0.25">
      <c r="A1408" s="7" t="s">
        <v>5852</v>
      </c>
      <c r="B1408" s="8" t="s">
        <v>53</v>
      </c>
      <c r="C1408" s="10">
        <f t="shared" si="65"/>
        <v>30730</v>
      </c>
      <c r="D1408" t="s">
        <v>11</v>
      </c>
      <c r="E1408" t="s">
        <v>12</v>
      </c>
      <c r="F1408" t="s">
        <v>11</v>
      </c>
      <c r="G1408" t="s">
        <v>12</v>
      </c>
      <c r="H1408" t="s">
        <v>11</v>
      </c>
      <c r="I1408" t="s">
        <v>12</v>
      </c>
      <c r="J1408" t="s">
        <v>11</v>
      </c>
      <c r="K1408" t="s">
        <v>12</v>
      </c>
      <c r="L1408" s="12" t="s">
        <v>19</v>
      </c>
      <c r="M1408" s="12" t="s">
        <v>107</v>
      </c>
      <c r="N1408" s="12" t="s">
        <v>150</v>
      </c>
      <c r="O1408" s="12" t="s">
        <v>91</v>
      </c>
      <c r="P1408" s="12" t="s">
        <v>215</v>
      </c>
      <c r="Q1408" s="7" t="str">
        <f t="shared" si="64"/>
        <v>(1984,7,'1984.02.18',18,30,57,61,81,0),</v>
      </c>
      <c r="R1408" s="7" t="str">
        <f t="shared" si="66"/>
        <v>(1984,7,'1984.02.18',18,30,57,61,81),</v>
      </c>
    </row>
    <row r="1409" spans="1:18" x14ac:dyDescent="0.25">
      <c r="A1409" s="7" t="s">
        <v>5852</v>
      </c>
      <c r="B1409" s="8" t="s">
        <v>232</v>
      </c>
      <c r="C1409" s="10">
        <f t="shared" si="65"/>
        <v>30737</v>
      </c>
      <c r="D1409" t="s">
        <v>11</v>
      </c>
      <c r="E1409" t="s">
        <v>12</v>
      </c>
      <c r="F1409" t="s">
        <v>11</v>
      </c>
      <c r="G1409" t="s">
        <v>12</v>
      </c>
      <c r="H1409" t="s">
        <v>11</v>
      </c>
      <c r="I1409" t="s">
        <v>12</v>
      </c>
      <c r="J1409" t="s">
        <v>11</v>
      </c>
      <c r="K1409" t="s">
        <v>12</v>
      </c>
      <c r="L1409" s="12" t="s">
        <v>90</v>
      </c>
      <c r="M1409" s="12" t="s">
        <v>71</v>
      </c>
      <c r="N1409" s="12" t="s">
        <v>22</v>
      </c>
      <c r="O1409" s="12" t="s">
        <v>82</v>
      </c>
      <c r="P1409" s="12" t="s">
        <v>468</v>
      </c>
      <c r="Q1409" s="7" t="str">
        <f t="shared" si="64"/>
        <v>(1984,8,'1984.02.25',17,31,48,59,85,0),</v>
      </c>
      <c r="R1409" s="7" t="str">
        <f t="shared" si="66"/>
        <v>(1984,8,'1984.02.25',17,31,48,59,85),</v>
      </c>
    </row>
    <row r="1410" spans="1:18" x14ac:dyDescent="0.25">
      <c r="A1410" s="7" t="s">
        <v>5852</v>
      </c>
      <c r="B1410" s="8" t="s">
        <v>198</v>
      </c>
      <c r="C1410" s="10">
        <f t="shared" si="65"/>
        <v>30744</v>
      </c>
      <c r="D1410" t="s">
        <v>11</v>
      </c>
      <c r="E1410" t="s">
        <v>12</v>
      </c>
      <c r="F1410" t="s">
        <v>11</v>
      </c>
      <c r="G1410" t="s">
        <v>12</v>
      </c>
      <c r="H1410" t="s">
        <v>11</v>
      </c>
      <c r="I1410" t="s">
        <v>12</v>
      </c>
      <c r="J1410" t="s">
        <v>11</v>
      </c>
      <c r="K1410" t="s">
        <v>12</v>
      </c>
      <c r="L1410" s="12" t="s">
        <v>115</v>
      </c>
      <c r="M1410" s="12" t="s">
        <v>32</v>
      </c>
      <c r="N1410" s="12" t="s">
        <v>34</v>
      </c>
      <c r="O1410" s="12" t="s">
        <v>63</v>
      </c>
      <c r="P1410" s="12" t="s">
        <v>186</v>
      </c>
      <c r="Q1410" s="7" t="str">
        <f t="shared" ref="Q1410:Q1473" si="67">"("&amp;A1410&amp;","&amp;B1410&amp;",'"&amp;TEXT(C1410,"éééé.hh.nn")&amp;"',"&amp;L1410&amp;","&amp;M1410&amp;","&amp;N1410&amp;","&amp;O1410&amp;","&amp;P1410&amp;",0)"&amp;IF(P1411&lt;&gt;0,",","")</f>
        <v>(1984,9,'1984.03.03',20,22,49,78,90,0),</v>
      </c>
      <c r="R1410" s="7" t="str">
        <f t="shared" si="66"/>
        <v>(1984,9,'1984.03.03',20,22,49,78,90),</v>
      </c>
    </row>
    <row r="1411" spans="1:18" x14ac:dyDescent="0.25">
      <c r="A1411" s="7" t="s">
        <v>5852</v>
      </c>
      <c r="B1411" s="8" t="s">
        <v>62</v>
      </c>
      <c r="C1411" s="10">
        <f t="shared" ref="C1411:C1474" si="68">+C1410+7</f>
        <v>30751</v>
      </c>
      <c r="D1411" t="s">
        <v>11</v>
      </c>
      <c r="E1411" t="s">
        <v>12</v>
      </c>
      <c r="F1411" t="s">
        <v>11</v>
      </c>
      <c r="G1411" t="s">
        <v>12</v>
      </c>
      <c r="H1411" t="s">
        <v>11</v>
      </c>
      <c r="I1411" t="s">
        <v>12</v>
      </c>
      <c r="J1411" t="s">
        <v>11</v>
      </c>
      <c r="K1411" t="s">
        <v>12</v>
      </c>
      <c r="L1411" s="12" t="s">
        <v>207</v>
      </c>
      <c r="M1411" s="12" t="s">
        <v>127</v>
      </c>
      <c r="N1411" s="12" t="s">
        <v>90</v>
      </c>
      <c r="O1411" s="12" t="s">
        <v>116</v>
      </c>
      <c r="P1411" s="12" t="s">
        <v>106</v>
      </c>
      <c r="Q1411" s="7" t="str">
        <f t="shared" si="67"/>
        <v>(1984,10,'1984.03.10',2,14,17,29,75,0),</v>
      </c>
      <c r="R1411" s="7" t="str">
        <f t="shared" ref="R1411:R1474" si="69">IF(TRIM(P1411)="","","("&amp;A1411&amp;","&amp;B1411&amp;",'"&amp;TEXT(C1411,"éééé.hh.nn")&amp;"',"&amp;L1411&amp;","&amp;M1411&amp;","&amp;N1411&amp;","&amp;O1411&amp;","&amp;P1411&amp;")"&amp;IF(P1412=0,";",","))</f>
        <v>(1984,10,'1984.03.10',2,14,17,29,75),</v>
      </c>
    </row>
    <row r="1412" spans="1:18" x14ac:dyDescent="0.25">
      <c r="A1412" s="7" t="s">
        <v>5852</v>
      </c>
      <c r="B1412" s="8" t="s">
        <v>83</v>
      </c>
      <c r="C1412" s="10">
        <f t="shared" si="68"/>
        <v>30758</v>
      </c>
      <c r="D1412" t="s">
        <v>11</v>
      </c>
      <c r="E1412" t="s">
        <v>12</v>
      </c>
      <c r="F1412" t="s">
        <v>11</v>
      </c>
      <c r="G1412" t="s">
        <v>12</v>
      </c>
      <c r="H1412" t="s">
        <v>11</v>
      </c>
      <c r="I1412" t="s">
        <v>12</v>
      </c>
      <c r="J1412" t="s">
        <v>11</v>
      </c>
      <c r="K1412" t="s">
        <v>12</v>
      </c>
      <c r="L1412" s="12" t="s">
        <v>43</v>
      </c>
      <c r="M1412" s="12" t="s">
        <v>74</v>
      </c>
      <c r="N1412" s="12" t="s">
        <v>81</v>
      </c>
      <c r="O1412" s="12" t="s">
        <v>122</v>
      </c>
      <c r="P1412" s="12" t="s">
        <v>124</v>
      </c>
      <c r="Q1412" s="7" t="str">
        <f t="shared" si="67"/>
        <v>(1984,11,'1984.03.17',16,26,47,51,62,0),</v>
      </c>
      <c r="R1412" s="7" t="str">
        <f t="shared" si="69"/>
        <v>(1984,11,'1984.03.17',16,26,47,51,62),</v>
      </c>
    </row>
    <row r="1413" spans="1:18" x14ac:dyDescent="0.25">
      <c r="A1413" s="7" t="s">
        <v>5852</v>
      </c>
      <c r="B1413" s="8" t="s">
        <v>31</v>
      </c>
      <c r="C1413" s="10">
        <f t="shared" si="68"/>
        <v>30765</v>
      </c>
      <c r="D1413" t="s">
        <v>11</v>
      </c>
      <c r="E1413" t="s">
        <v>12</v>
      </c>
      <c r="F1413" t="s">
        <v>11</v>
      </c>
      <c r="G1413" t="s">
        <v>12</v>
      </c>
      <c r="H1413" t="s">
        <v>11</v>
      </c>
      <c r="I1413" t="s">
        <v>12</v>
      </c>
      <c r="J1413" t="s">
        <v>11</v>
      </c>
      <c r="K1413" t="s">
        <v>12</v>
      </c>
      <c r="L1413" s="12" t="s">
        <v>62</v>
      </c>
      <c r="M1413" s="12" t="s">
        <v>10</v>
      </c>
      <c r="N1413" s="12" t="s">
        <v>175</v>
      </c>
      <c r="O1413" s="12" t="s">
        <v>214</v>
      </c>
      <c r="P1413" s="12" t="s">
        <v>72</v>
      </c>
      <c r="Q1413" s="7" t="str">
        <f t="shared" si="67"/>
        <v>(1984,12,'1984.03.24',10,40,55,64,67,0),</v>
      </c>
      <c r="R1413" s="7" t="str">
        <f t="shared" si="69"/>
        <v>(1984,12,'1984.03.24',10,40,55,64,67),</v>
      </c>
    </row>
    <row r="1414" spans="1:18" x14ac:dyDescent="0.25">
      <c r="A1414" s="7" t="s">
        <v>5852</v>
      </c>
      <c r="B1414" s="8" t="s">
        <v>65</v>
      </c>
      <c r="C1414" s="10">
        <f t="shared" si="68"/>
        <v>30772</v>
      </c>
      <c r="D1414" t="s">
        <v>11</v>
      </c>
      <c r="E1414" t="s">
        <v>12</v>
      </c>
      <c r="F1414" t="s">
        <v>11</v>
      </c>
      <c r="G1414" t="s">
        <v>12</v>
      </c>
      <c r="H1414" t="s">
        <v>11</v>
      </c>
      <c r="I1414" t="s">
        <v>12</v>
      </c>
      <c r="J1414" t="s">
        <v>11</v>
      </c>
      <c r="K1414" t="s">
        <v>12</v>
      </c>
      <c r="L1414" s="12" t="s">
        <v>207</v>
      </c>
      <c r="M1414" s="12" t="s">
        <v>127</v>
      </c>
      <c r="N1414" s="12" t="s">
        <v>107</v>
      </c>
      <c r="O1414" s="12" t="s">
        <v>122</v>
      </c>
      <c r="P1414" s="12" t="s">
        <v>248</v>
      </c>
      <c r="Q1414" s="7" t="str">
        <f t="shared" si="67"/>
        <v>(1984,13,'1984.03.31',2,14,30,51,63,0),</v>
      </c>
      <c r="R1414" s="7" t="str">
        <f t="shared" si="69"/>
        <v>(1984,13,'1984.03.31',2,14,30,51,63),</v>
      </c>
    </row>
    <row r="1415" spans="1:18" x14ac:dyDescent="0.25">
      <c r="A1415" s="7" t="s">
        <v>5852</v>
      </c>
      <c r="B1415" s="8" t="s">
        <v>127</v>
      </c>
      <c r="C1415" s="10">
        <f t="shared" si="68"/>
        <v>30779</v>
      </c>
      <c r="D1415" t="s">
        <v>11</v>
      </c>
      <c r="E1415" t="s">
        <v>12</v>
      </c>
      <c r="F1415" t="s">
        <v>11</v>
      </c>
      <c r="G1415" t="s">
        <v>12</v>
      </c>
      <c r="H1415" t="s">
        <v>11</v>
      </c>
      <c r="I1415" t="s">
        <v>12</v>
      </c>
      <c r="J1415" t="s">
        <v>11</v>
      </c>
      <c r="K1415" t="s">
        <v>12</v>
      </c>
      <c r="L1415" s="12" t="s">
        <v>62</v>
      </c>
      <c r="M1415" s="12" t="s">
        <v>90</v>
      </c>
      <c r="N1415" s="12" t="s">
        <v>126</v>
      </c>
      <c r="O1415" s="12" t="s">
        <v>105</v>
      </c>
      <c r="P1415" s="12" t="s">
        <v>301</v>
      </c>
      <c r="Q1415" s="7" t="str">
        <f t="shared" si="67"/>
        <v>(1984,14,'1984.04.07',10,17,28,50,80,0),</v>
      </c>
      <c r="R1415" s="7" t="str">
        <f t="shared" si="69"/>
        <v>(1984,14,'1984.04.07',10,17,28,50,80),</v>
      </c>
    </row>
    <row r="1416" spans="1:18" x14ac:dyDescent="0.25">
      <c r="A1416" s="7" t="s">
        <v>5852</v>
      </c>
      <c r="B1416" s="8" t="s">
        <v>54</v>
      </c>
      <c r="C1416" s="10">
        <f t="shared" si="68"/>
        <v>30786</v>
      </c>
      <c r="D1416" t="s">
        <v>11</v>
      </c>
      <c r="E1416" t="s">
        <v>12</v>
      </c>
      <c r="F1416" t="s">
        <v>11</v>
      </c>
      <c r="G1416" t="s">
        <v>12</v>
      </c>
      <c r="H1416" t="s">
        <v>11</v>
      </c>
      <c r="I1416" t="s">
        <v>12</v>
      </c>
      <c r="J1416" t="s">
        <v>11</v>
      </c>
      <c r="K1416" t="s">
        <v>12</v>
      </c>
      <c r="L1416" s="12" t="s">
        <v>55</v>
      </c>
      <c r="M1416" s="12" t="s">
        <v>36</v>
      </c>
      <c r="N1416" s="12" t="s">
        <v>134</v>
      </c>
      <c r="O1416" s="12" t="s">
        <v>23</v>
      </c>
      <c r="P1416" s="12" t="s">
        <v>35</v>
      </c>
      <c r="Q1416" s="7" t="str">
        <f t="shared" si="67"/>
        <v>(1984,15,'1984.04.14',19,38,56,60,65,0),</v>
      </c>
      <c r="R1416" s="7" t="str">
        <f t="shared" si="69"/>
        <v>(1984,15,'1984.04.14',19,38,56,60,65),</v>
      </c>
    </row>
    <row r="1417" spans="1:18" x14ac:dyDescent="0.25">
      <c r="A1417" s="7" t="s">
        <v>5852</v>
      </c>
      <c r="B1417" s="8" t="s">
        <v>43</v>
      </c>
      <c r="C1417" s="10">
        <f t="shared" si="68"/>
        <v>30793</v>
      </c>
      <c r="D1417" t="s">
        <v>11</v>
      </c>
      <c r="E1417" t="s">
        <v>12</v>
      </c>
      <c r="F1417" t="s">
        <v>11</v>
      </c>
      <c r="G1417" t="s">
        <v>12</v>
      </c>
      <c r="H1417" t="s">
        <v>11</v>
      </c>
      <c r="I1417" t="s">
        <v>12</v>
      </c>
      <c r="J1417" t="s">
        <v>11</v>
      </c>
      <c r="K1417" t="s">
        <v>12</v>
      </c>
      <c r="L1417" s="12" t="s">
        <v>207</v>
      </c>
      <c r="M1417" s="12" t="s">
        <v>25</v>
      </c>
      <c r="N1417" s="12" t="s">
        <v>72</v>
      </c>
      <c r="O1417" s="12" t="s">
        <v>143</v>
      </c>
      <c r="P1417" s="12" t="s">
        <v>125</v>
      </c>
      <c r="Q1417" s="7" t="str">
        <f t="shared" si="67"/>
        <v>(1984,16,'1984.04.21',2,34,67,77,83,0),</v>
      </c>
      <c r="R1417" s="7" t="str">
        <f t="shared" si="69"/>
        <v>(1984,16,'1984.04.21',2,34,67,77,83),</v>
      </c>
    </row>
    <row r="1418" spans="1:18" x14ac:dyDescent="0.25">
      <c r="A1418" s="7" t="s">
        <v>5852</v>
      </c>
      <c r="B1418" s="8" t="s">
        <v>90</v>
      </c>
      <c r="C1418" s="10">
        <f t="shared" si="68"/>
        <v>30800</v>
      </c>
      <c r="D1418" t="s">
        <v>11</v>
      </c>
      <c r="E1418" t="s">
        <v>12</v>
      </c>
      <c r="F1418" t="s">
        <v>11</v>
      </c>
      <c r="G1418" t="s">
        <v>12</v>
      </c>
      <c r="H1418" t="s">
        <v>11</v>
      </c>
      <c r="I1418" t="s">
        <v>12</v>
      </c>
      <c r="J1418" t="s">
        <v>11</v>
      </c>
      <c r="K1418" t="s">
        <v>12</v>
      </c>
      <c r="L1418" s="12" t="s">
        <v>168</v>
      </c>
      <c r="M1418" s="12" t="s">
        <v>270</v>
      </c>
      <c r="N1418" s="12" t="s">
        <v>71</v>
      </c>
      <c r="O1418" s="12" t="s">
        <v>13</v>
      </c>
      <c r="P1418" s="12" t="s">
        <v>134</v>
      </c>
      <c r="Q1418" s="7" t="str">
        <f t="shared" si="67"/>
        <v>(1984,17,'1984.04.28',4,6,31,41,56,0),</v>
      </c>
      <c r="R1418" s="7" t="str">
        <f t="shared" si="69"/>
        <v>(1984,17,'1984.04.28',4,6,31,41,56),</v>
      </c>
    </row>
    <row r="1419" spans="1:18" x14ac:dyDescent="0.25">
      <c r="A1419" s="7" t="s">
        <v>5852</v>
      </c>
      <c r="B1419" s="8" t="s">
        <v>19</v>
      </c>
      <c r="C1419" s="10">
        <f t="shared" si="68"/>
        <v>30807</v>
      </c>
      <c r="D1419" t="s">
        <v>11</v>
      </c>
      <c r="E1419" t="s">
        <v>12</v>
      </c>
      <c r="F1419" t="s">
        <v>11</v>
      </c>
      <c r="G1419" t="s">
        <v>12</v>
      </c>
      <c r="H1419" t="s">
        <v>11</v>
      </c>
      <c r="I1419" t="s">
        <v>12</v>
      </c>
      <c r="J1419" t="s">
        <v>11</v>
      </c>
      <c r="K1419" t="s">
        <v>12</v>
      </c>
      <c r="L1419" s="12" t="s">
        <v>45</v>
      </c>
      <c r="M1419" s="12" t="s">
        <v>123</v>
      </c>
      <c r="N1419" s="12" t="s">
        <v>248</v>
      </c>
      <c r="O1419" s="12" t="s">
        <v>35</v>
      </c>
      <c r="P1419" s="12" t="s">
        <v>233</v>
      </c>
      <c r="Q1419" s="7" t="str">
        <f t="shared" si="67"/>
        <v>(1984,18,'1984.05.05',43,54,63,65,66,0),</v>
      </c>
      <c r="R1419" s="7" t="str">
        <f t="shared" si="69"/>
        <v>(1984,18,'1984.05.05',43,54,63,65,66),</v>
      </c>
    </row>
    <row r="1420" spans="1:18" x14ac:dyDescent="0.25">
      <c r="A1420" s="7" t="s">
        <v>5852</v>
      </c>
      <c r="B1420" s="8" t="s">
        <v>55</v>
      </c>
      <c r="C1420" s="10">
        <f t="shared" si="68"/>
        <v>30814</v>
      </c>
      <c r="D1420" t="s">
        <v>11</v>
      </c>
      <c r="E1420" t="s">
        <v>12</v>
      </c>
      <c r="F1420" t="s">
        <v>11</v>
      </c>
      <c r="G1420" t="s">
        <v>12</v>
      </c>
      <c r="H1420" t="s">
        <v>11</v>
      </c>
      <c r="I1420" t="s">
        <v>12</v>
      </c>
      <c r="J1420" t="s">
        <v>11</v>
      </c>
      <c r="K1420" t="s">
        <v>12</v>
      </c>
      <c r="L1420" s="12" t="s">
        <v>65</v>
      </c>
      <c r="M1420" s="12" t="s">
        <v>127</v>
      </c>
      <c r="N1420" s="12" t="s">
        <v>34</v>
      </c>
      <c r="O1420" s="12" t="s">
        <v>35</v>
      </c>
      <c r="P1420" s="12" t="s">
        <v>246</v>
      </c>
      <c r="Q1420" s="7" t="str">
        <f t="shared" si="67"/>
        <v>(1984,19,'1984.05.12',13,14,49,65,84,0),</v>
      </c>
      <c r="R1420" s="7" t="str">
        <f t="shared" si="69"/>
        <v>(1984,19,'1984.05.12',13,14,49,65,84),</v>
      </c>
    </row>
    <row r="1421" spans="1:18" x14ac:dyDescent="0.25">
      <c r="A1421" s="7" t="s">
        <v>5852</v>
      </c>
      <c r="B1421" s="8" t="s">
        <v>115</v>
      </c>
      <c r="C1421" s="10">
        <f t="shared" si="68"/>
        <v>30821</v>
      </c>
      <c r="D1421" t="s">
        <v>11</v>
      </c>
      <c r="E1421" t="s">
        <v>12</v>
      </c>
      <c r="F1421" t="s">
        <v>11</v>
      </c>
      <c r="G1421" t="s">
        <v>12</v>
      </c>
      <c r="H1421" t="s">
        <v>11</v>
      </c>
      <c r="I1421" t="s">
        <v>12</v>
      </c>
      <c r="J1421" t="s">
        <v>11</v>
      </c>
      <c r="K1421" t="s">
        <v>12</v>
      </c>
      <c r="L1421" s="12" t="s">
        <v>115</v>
      </c>
      <c r="M1421" s="12" t="s">
        <v>64</v>
      </c>
      <c r="N1421" s="12" t="s">
        <v>192</v>
      </c>
      <c r="O1421" s="12" t="s">
        <v>150</v>
      </c>
      <c r="P1421" s="12" t="s">
        <v>63</v>
      </c>
      <c r="Q1421" s="7" t="str">
        <f t="shared" si="67"/>
        <v>(1984,20,'1984.05.19',20,35,46,57,78,0),</v>
      </c>
      <c r="R1421" s="7" t="str">
        <f t="shared" si="69"/>
        <v>(1984,20,'1984.05.19',20,35,46,57,78),</v>
      </c>
    </row>
    <row r="1422" spans="1:18" x14ac:dyDescent="0.25">
      <c r="A1422" s="7" t="s">
        <v>5852</v>
      </c>
      <c r="B1422" s="8" t="s">
        <v>44</v>
      </c>
      <c r="C1422" s="10">
        <f t="shared" si="68"/>
        <v>30828</v>
      </c>
      <c r="D1422" t="s">
        <v>11</v>
      </c>
      <c r="E1422" t="s">
        <v>12</v>
      </c>
      <c r="F1422" t="s">
        <v>11</v>
      </c>
      <c r="G1422" t="s">
        <v>12</v>
      </c>
      <c r="H1422" t="s">
        <v>11</v>
      </c>
      <c r="I1422" t="s">
        <v>12</v>
      </c>
      <c r="J1422" t="s">
        <v>11</v>
      </c>
      <c r="K1422" t="s">
        <v>12</v>
      </c>
      <c r="L1422" s="12" t="s">
        <v>42</v>
      </c>
      <c r="M1422" s="12" t="s">
        <v>90</v>
      </c>
      <c r="N1422" s="12" t="s">
        <v>19</v>
      </c>
      <c r="O1422" s="12" t="s">
        <v>214</v>
      </c>
      <c r="P1422" s="12" t="s">
        <v>269</v>
      </c>
      <c r="Q1422" s="7" t="str">
        <f t="shared" si="67"/>
        <v>(1984,21,'1984.05.26',3,17,18,64,87,0),</v>
      </c>
      <c r="R1422" s="7" t="str">
        <f t="shared" si="69"/>
        <v>(1984,21,'1984.05.26',3,17,18,64,87),</v>
      </c>
    </row>
    <row r="1423" spans="1:18" x14ac:dyDescent="0.25">
      <c r="A1423" s="7" t="s">
        <v>5852</v>
      </c>
      <c r="B1423" s="8" t="s">
        <v>32</v>
      </c>
      <c r="C1423" s="10">
        <f t="shared" si="68"/>
        <v>30835</v>
      </c>
      <c r="D1423" t="s">
        <v>11</v>
      </c>
      <c r="E1423" t="s">
        <v>12</v>
      </c>
      <c r="F1423" t="s">
        <v>11</v>
      </c>
      <c r="G1423" t="s">
        <v>12</v>
      </c>
      <c r="H1423" t="s">
        <v>11</v>
      </c>
      <c r="I1423" t="s">
        <v>12</v>
      </c>
      <c r="J1423" t="s">
        <v>11</v>
      </c>
      <c r="K1423" t="s">
        <v>12</v>
      </c>
      <c r="L1423" s="12" t="s">
        <v>115</v>
      </c>
      <c r="M1423" s="12" t="s">
        <v>21</v>
      </c>
      <c r="N1423" s="12" t="s">
        <v>24</v>
      </c>
      <c r="O1423" s="12" t="s">
        <v>105</v>
      </c>
      <c r="P1423" s="12" t="s">
        <v>246</v>
      </c>
      <c r="Q1423" s="7" t="str">
        <f t="shared" si="67"/>
        <v>(1984,22,'1984.06.02',20,36,39,50,84,0),</v>
      </c>
      <c r="R1423" s="7" t="str">
        <f t="shared" si="69"/>
        <v>(1984,22,'1984.06.02',20,36,39,50,84),</v>
      </c>
    </row>
    <row r="1424" spans="1:18" x14ac:dyDescent="0.25">
      <c r="A1424" s="7" t="s">
        <v>5852</v>
      </c>
      <c r="B1424" s="8" t="s">
        <v>163</v>
      </c>
      <c r="C1424" s="10">
        <f t="shared" si="68"/>
        <v>30842</v>
      </c>
      <c r="D1424" t="s">
        <v>11</v>
      </c>
      <c r="E1424" t="s">
        <v>12</v>
      </c>
      <c r="F1424" t="s">
        <v>11</v>
      </c>
      <c r="G1424" t="s">
        <v>12</v>
      </c>
      <c r="H1424" t="s">
        <v>11</v>
      </c>
      <c r="I1424" t="s">
        <v>12</v>
      </c>
      <c r="J1424" t="s">
        <v>11</v>
      </c>
      <c r="K1424" t="s">
        <v>12</v>
      </c>
      <c r="L1424" s="12" t="s">
        <v>198</v>
      </c>
      <c r="M1424" s="12" t="s">
        <v>74</v>
      </c>
      <c r="N1424" s="12" t="s">
        <v>143</v>
      </c>
      <c r="O1424" s="12" t="s">
        <v>246</v>
      </c>
      <c r="P1424" s="12" t="s">
        <v>269</v>
      </c>
      <c r="Q1424" s="7" t="str">
        <f t="shared" si="67"/>
        <v>(1984,23,'1984.06.09',9,26,77,84,87,0),</v>
      </c>
      <c r="R1424" s="7" t="str">
        <f t="shared" si="69"/>
        <v>(1984,23,'1984.06.09',9,26,77,84,87),</v>
      </c>
    </row>
    <row r="1425" spans="1:18" x14ac:dyDescent="0.25">
      <c r="A1425" s="7" t="s">
        <v>5852</v>
      </c>
      <c r="B1425" s="8" t="s">
        <v>33</v>
      </c>
      <c r="C1425" s="10">
        <f t="shared" si="68"/>
        <v>30849</v>
      </c>
      <c r="D1425" t="s">
        <v>11</v>
      </c>
      <c r="E1425" t="s">
        <v>12</v>
      </c>
      <c r="F1425" t="s">
        <v>11</v>
      </c>
      <c r="G1425" t="s">
        <v>12</v>
      </c>
      <c r="H1425" t="s">
        <v>11</v>
      </c>
      <c r="I1425" t="s">
        <v>12</v>
      </c>
      <c r="J1425" t="s">
        <v>11</v>
      </c>
      <c r="K1425" t="s">
        <v>12</v>
      </c>
      <c r="L1425" s="12" t="s">
        <v>199</v>
      </c>
      <c r="M1425" s="12" t="s">
        <v>150</v>
      </c>
      <c r="N1425" s="12" t="s">
        <v>124</v>
      </c>
      <c r="O1425" s="12" t="s">
        <v>143</v>
      </c>
      <c r="P1425" s="12" t="s">
        <v>125</v>
      </c>
      <c r="Q1425" s="7" t="str">
        <f t="shared" si="67"/>
        <v>(1984,24,'1984.06.16',53,57,62,77,83,0),</v>
      </c>
      <c r="R1425" s="7" t="str">
        <f t="shared" si="69"/>
        <v>(1984,24,'1984.06.16',53,57,62,77,83),</v>
      </c>
    </row>
    <row r="1426" spans="1:18" x14ac:dyDescent="0.25">
      <c r="A1426" s="7" t="s">
        <v>5852</v>
      </c>
      <c r="B1426" s="8" t="s">
        <v>152</v>
      </c>
      <c r="C1426" s="10">
        <f t="shared" si="68"/>
        <v>30856</v>
      </c>
      <c r="D1426" t="s">
        <v>11</v>
      </c>
      <c r="E1426" t="s">
        <v>12</v>
      </c>
      <c r="F1426" t="s">
        <v>11</v>
      </c>
      <c r="G1426" t="s">
        <v>12</v>
      </c>
      <c r="H1426" t="s">
        <v>11</v>
      </c>
      <c r="I1426" t="s">
        <v>12</v>
      </c>
      <c r="J1426" t="s">
        <v>11</v>
      </c>
      <c r="K1426" t="s">
        <v>12</v>
      </c>
      <c r="L1426" s="12" t="s">
        <v>108</v>
      </c>
      <c r="M1426" s="12" t="s">
        <v>42</v>
      </c>
      <c r="N1426" s="12" t="s">
        <v>54</v>
      </c>
      <c r="O1426" s="12" t="s">
        <v>46</v>
      </c>
      <c r="P1426" s="12" t="s">
        <v>10</v>
      </c>
      <c r="Q1426" s="7" t="str">
        <f t="shared" si="67"/>
        <v>(1984,25,'1984.06.23',1,3,15,37,40,0),</v>
      </c>
      <c r="R1426" s="7" t="str">
        <f t="shared" si="69"/>
        <v>(1984,25,'1984.06.23',1,3,15,37,40),</v>
      </c>
    </row>
    <row r="1427" spans="1:18" x14ac:dyDescent="0.25">
      <c r="A1427" s="7" t="s">
        <v>5852</v>
      </c>
      <c r="B1427" s="8" t="s">
        <v>74</v>
      </c>
      <c r="C1427" s="10">
        <f t="shared" si="68"/>
        <v>30863</v>
      </c>
      <c r="D1427" t="s">
        <v>11</v>
      </c>
      <c r="E1427" t="s">
        <v>12</v>
      </c>
      <c r="F1427" t="s">
        <v>11</v>
      </c>
      <c r="G1427" t="s">
        <v>12</v>
      </c>
      <c r="H1427" t="s">
        <v>11</v>
      </c>
      <c r="I1427" t="s">
        <v>12</v>
      </c>
      <c r="J1427" t="s">
        <v>11</v>
      </c>
      <c r="K1427" t="s">
        <v>12</v>
      </c>
      <c r="L1427" s="12" t="s">
        <v>198</v>
      </c>
      <c r="M1427" s="12" t="s">
        <v>115</v>
      </c>
      <c r="N1427" s="12" t="s">
        <v>33</v>
      </c>
      <c r="O1427" s="12" t="s">
        <v>468</v>
      </c>
      <c r="P1427" s="12" t="s">
        <v>308</v>
      </c>
      <c r="Q1427" s="7" t="str">
        <f t="shared" si="67"/>
        <v>(1984,26,'1984.06.30',9,20,24,85,86,0),</v>
      </c>
      <c r="R1427" s="7" t="str">
        <f t="shared" si="69"/>
        <v>(1984,26,'1984.06.30',9,20,24,85,86),</v>
      </c>
    </row>
    <row r="1428" spans="1:18" x14ac:dyDescent="0.25">
      <c r="A1428" s="7" t="s">
        <v>5852</v>
      </c>
      <c r="B1428" s="8" t="s">
        <v>135</v>
      </c>
      <c r="C1428" s="10">
        <f t="shared" si="68"/>
        <v>30870</v>
      </c>
      <c r="D1428" t="s">
        <v>11</v>
      </c>
      <c r="E1428" t="s">
        <v>12</v>
      </c>
      <c r="F1428" t="s">
        <v>11</v>
      </c>
      <c r="G1428" t="s">
        <v>12</v>
      </c>
      <c r="H1428" t="s">
        <v>11</v>
      </c>
      <c r="I1428" t="s">
        <v>12</v>
      </c>
      <c r="J1428" t="s">
        <v>11</v>
      </c>
      <c r="K1428" t="s">
        <v>12</v>
      </c>
      <c r="L1428" s="12" t="s">
        <v>31</v>
      </c>
      <c r="M1428" s="12" t="s">
        <v>65</v>
      </c>
      <c r="N1428" s="12" t="s">
        <v>23</v>
      </c>
      <c r="O1428" s="12" t="s">
        <v>200</v>
      </c>
      <c r="P1428" s="12" t="s">
        <v>208</v>
      </c>
      <c r="Q1428" s="7" t="str">
        <f t="shared" si="67"/>
        <v>(1984,27,'1984.07.07',12,13,60,70,88,0),</v>
      </c>
      <c r="R1428" s="7" t="str">
        <f t="shared" si="69"/>
        <v>(1984,27,'1984.07.07',12,13,60,70,88),</v>
      </c>
    </row>
    <row r="1429" spans="1:18" x14ac:dyDescent="0.25">
      <c r="A1429" s="7" t="s">
        <v>5852</v>
      </c>
      <c r="B1429" s="8" t="s">
        <v>126</v>
      </c>
      <c r="C1429" s="10">
        <f t="shared" si="68"/>
        <v>30877</v>
      </c>
      <c r="D1429" t="s">
        <v>11</v>
      </c>
      <c r="E1429" t="s">
        <v>12</v>
      </c>
      <c r="F1429" t="s">
        <v>11</v>
      </c>
      <c r="G1429" t="s">
        <v>12</v>
      </c>
      <c r="H1429" t="s">
        <v>11</v>
      </c>
      <c r="I1429" t="s">
        <v>12</v>
      </c>
      <c r="J1429" t="s">
        <v>11</v>
      </c>
      <c r="K1429" t="s">
        <v>12</v>
      </c>
      <c r="L1429" s="12" t="s">
        <v>53</v>
      </c>
      <c r="M1429" s="12" t="s">
        <v>152</v>
      </c>
      <c r="N1429" s="12" t="s">
        <v>116</v>
      </c>
      <c r="O1429" s="12" t="s">
        <v>21</v>
      </c>
      <c r="P1429" s="12" t="s">
        <v>151</v>
      </c>
      <c r="Q1429" s="7" t="str">
        <f t="shared" si="67"/>
        <v>(1984,28,'1984.07.14',7,25,29,36,79,0),</v>
      </c>
      <c r="R1429" s="7" t="str">
        <f t="shared" si="69"/>
        <v>(1984,28,'1984.07.14',7,25,29,36,79),</v>
      </c>
    </row>
    <row r="1430" spans="1:18" x14ac:dyDescent="0.25">
      <c r="A1430" s="7" t="s">
        <v>5852</v>
      </c>
      <c r="B1430" s="8" t="s">
        <v>116</v>
      </c>
      <c r="C1430" s="10">
        <f t="shared" si="68"/>
        <v>30884</v>
      </c>
      <c r="D1430" t="s">
        <v>11</v>
      </c>
      <c r="E1430" t="s">
        <v>12</v>
      </c>
      <c r="F1430" t="s">
        <v>11</v>
      </c>
      <c r="G1430" t="s">
        <v>12</v>
      </c>
      <c r="H1430" t="s">
        <v>11</v>
      </c>
      <c r="I1430" t="s">
        <v>12</v>
      </c>
      <c r="J1430" t="s">
        <v>11</v>
      </c>
      <c r="K1430" t="s">
        <v>12</v>
      </c>
      <c r="L1430" s="12" t="s">
        <v>74</v>
      </c>
      <c r="M1430" s="12" t="s">
        <v>71</v>
      </c>
      <c r="N1430" s="12" t="s">
        <v>98</v>
      </c>
      <c r="O1430" s="12" t="s">
        <v>99</v>
      </c>
      <c r="P1430" s="12" t="s">
        <v>186</v>
      </c>
      <c r="Q1430" s="7" t="str">
        <f t="shared" si="67"/>
        <v>(1984,29,'1984.07.21',26,31,42,52,90,0),</v>
      </c>
      <c r="R1430" s="7" t="str">
        <f t="shared" si="69"/>
        <v>(1984,29,'1984.07.21',26,31,42,52,90),</v>
      </c>
    </row>
    <row r="1431" spans="1:18" x14ac:dyDescent="0.25">
      <c r="A1431" s="7" t="s">
        <v>5852</v>
      </c>
      <c r="B1431" s="8" t="s">
        <v>107</v>
      </c>
      <c r="C1431" s="10">
        <f t="shared" si="68"/>
        <v>30891</v>
      </c>
      <c r="D1431" t="s">
        <v>11</v>
      </c>
      <c r="E1431" t="s">
        <v>12</v>
      </c>
      <c r="F1431" t="s">
        <v>11</v>
      </c>
      <c r="G1431" t="s">
        <v>12</v>
      </c>
      <c r="H1431" t="s">
        <v>11</v>
      </c>
      <c r="I1431" t="s">
        <v>12</v>
      </c>
      <c r="J1431" t="s">
        <v>11</v>
      </c>
      <c r="K1431" t="s">
        <v>12</v>
      </c>
      <c r="L1431" s="12" t="s">
        <v>207</v>
      </c>
      <c r="M1431" s="12" t="s">
        <v>45</v>
      </c>
      <c r="N1431" s="12" t="s">
        <v>134</v>
      </c>
      <c r="O1431" s="12" t="s">
        <v>72</v>
      </c>
      <c r="P1431" s="12" t="s">
        <v>186</v>
      </c>
      <c r="Q1431" s="7" t="str">
        <f t="shared" si="67"/>
        <v>(1984,30,'1984.07.28',2,43,56,67,90,0),</v>
      </c>
      <c r="R1431" s="7" t="str">
        <f t="shared" si="69"/>
        <v>(1984,30,'1984.07.28',2,43,56,67,90),</v>
      </c>
    </row>
    <row r="1432" spans="1:18" x14ac:dyDescent="0.25">
      <c r="A1432" s="7" t="s">
        <v>5852</v>
      </c>
      <c r="B1432" s="8" t="s">
        <v>71</v>
      </c>
      <c r="C1432" s="10">
        <f t="shared" si="68"/>
        <v>30898</v>
      </c>
      <c r="D1432" t="s">
        <v>11</v>
      </c>
      <c r="E1432" t="s">
        <v>12</v>
      </c>
      <c r="F1432" t="s">
        <v>11</v>
      </c>
      <c r="G1432" t="s">
        <v>12</v>
      </c>
      <c r="H1432" t="s">
        <v>11</v>
      </c>
      <c r="I1432" t="s">
        <v>12</v>
      </c>
      <c r="J1432" t="s">
        <v>11</v>
      </c>
      <c r="K1432" t="s">
        <v>12</v>
      </c>
      <c r="L1432" s="12" t="s">
        <v>62</v>
      </c>
      <c r="M1432" s="12" t="s">
        <v>90</v>
      </c>
      <c r="N1432" s="12" t="s">
        <v>63</v>
      </c>
      <c r="O1432" s="12" t="s">
        <v>215</v>
      </c>
      <c r="P1432" s="12" t="s">
        <v>468</v>
      </c>
      <c r="Q1432" s="7" t="str">
        <f t="shared" si="67"/>
        <v>(1984,31,'1984.08.04',10,17,78,81,85,0),</v>
      </c>
      <c r="R1432" s="7" t="str">
        <f t="shared" si="69"/>
        <v>(1984,31,'1984.08.04',10,17,78,81,85),</v>
      </c>
    </row>
    <row r="1433" spans="1:18" x14ac:dyDescent="0.25">
      <c r="A1433" s="7" t="s">
        <v>5852</v>
      </c>
      <c r="B1433" s="8" t="s">
        <v>80</v>
      </c>
      <c r="C1433" s="10">
        <f t="shared" si="68"/>
        <v>30905</v>
      </c>
      <c r="D1433" t="s">
        <v>11</v>
      </c>
      <c r="E1433" t="s">
        <v>12</v>
      </c>
      <c r="F1433" t="s">
        <v>11</v>
      </c>
      <c r="G1433" t="s">
        <v>12</v>
      </c>
      <c r="H1433" t="s">
        <v>11</v>
      </c>
      <c r="I1433" t="s">
        <v>12</v>
      </c>
      <c r="J1433" t="s">
        <v>11</v>
      </c>
      <c r="K1433" t="s">
        <v>12</v>
      </c>
      <c r="L1433" s="12" t="s">
        <v>168</v>
      </c>
      <c r="M1433" s="12" t="s">
        <v>232</v>
      </c>
      <c r="N1433" s="12" t="s">
        <v>142</v>
      </c>
      <c r="O1433" s="12" t="s">
        <v>169</v>
      </c>
      <c r="P1433" s="12" t="s">
        <v>35</v>
      </c>
      <c r="Q1433" s="7" t="str">
        <f t="shared" si="67"/>
        <v>(1984,32,'1984.08.11',4,8,44,58,65,0),</v>
      </c>
      <c r="R1433" s="7" t="str">
        <f t="shared" si="69"/>
        <v>(1984,32,'1984.08.11',4,8,44,58,65),</v>
      </c>
    </row>
    <row r="1434" spans="1:18" x14ac:dyDescent="0.25">
      <c r="A1434" s="7" t="s">
        <v>5852</v>
      </c>
      <c r="B1434" s="8" t="s">
        <v>20</v>
      </c>
      <c r="C1434" s="10">
        <f t="shared" si="68"/>
        <v>30912</v>
      </c>
      <c r="D1434" t="s">
        <v>11</v>
      </c>
      <c r="E1434" t="s">
        <v>12</v>
      </c>
      <c r="F1434" t="s">
        <v>11</v>
      </c>
      <c r="G1434" t="s">
        <v>12</v>
      </c>
      <c r="H1434" t="s">
        <v>11</v>
      </c>
      <c r="I1434" t="s">
        <v>12</v>
      </c>
      <c r="J1434" t="s">
        <v>11</v>
      </c>
      <c r="K1434" t="s">
        <v>12</v>
      </c>
      <c r="L1434" s="12" t="s">
        <v>107</v>
      </c>
      <c r="M1434" s="12" t="s">
        <v>99</v>
      </c>
      <c r="N1434" s="12" t="s">
        <v>92</v>
      </c>
      <c r="O1434" s="12" t="s">
        <v>47</v>
      </c>
      <c r="P1434" s="12" t="s">
        <v>151</v>
      </c>
      <c r="Q1434" s="7" t="str">
        <f t="shared" si="67"/>
        <v>(1984,33,'1984.08.18',30,52,68,69,79,0),</v>
      </c>
      <c r="R1434" s="7" t="str">
        <f t="shared" si="69"/>
        <v>(1984,33,'1984.08.18',30,52,68,69,79),</v>
      </c>
    </row>
    <row r="1435" spans="1:18" x14ac:dyDescent="0.25">
      <c r="A1435" s="7" t="s">
        <v>5852</v>
      </c>
      <c r="B1435" s="8" t="s">
        <v>25</v>
      </c>
      <c r="C1435" s="10">
        <f t="shared" si="68"/>
        <v>30919</v>
      </c>
      <c r="D1435" t="s">
        <v>11</v>
      </c>
      <c r="E1435" t="s">
        <v>12</v>
      </c>
      <c r="F1435" t="s">
        <v>11</v>
      </c>
      <c r="G1435" t="s">
        <v>12</v>
      </c>
      <c r="H1435" t="s">
        <v>11</v>
      </c>
      <c r="I1435" t="s">
        <v>12</v>
      </c>
      <c r="J1435" t="s">
        <v>11</v>
      </c>
      <c r="K1435" t="s">
        <v>12</v>
      </c>
      <c r="L1435" s="12" t="s">
        <v>116</v>
      </c>
      <c r="M1435" s="12" t="s">
        <v>20</v>
      </c>
      <c r="N1435" s="12" t="s">
        <v>98</v>
      </c>
      <c r="O1435" s="12" t="s">
        <v>22</v>
      </c>
      <c r="P1435" s="12" t="s">
        <v>122</v>
      </c>
      <c r="Q1435" s="7" t="str">
        <f t="shared" si="67"/>
        <v>(1984,34,'1984.08.25',29,33,42,48,51,0),</v>
      </c>
      <c r="R1435" s="7" t="str">
        <f t="shared" si="69"/>
        <v>(1984,34,'1984.08.25',29,33,42,48,51),</v>
      </c>
    </row>
    <row r="1436" spans="1:18" x14ac:dyDescent="0.25">
      <c r="A1436" s="7" t="s">
        <v>5852</v>
      </c>
      <c r="B1436" s="8" t="s">
        <v>64</v>
      </c>
      <c r="C1436" s="10">
        <f t="shared" si="68"/>
        <v>30926</v>
      </c>
      <c r="D1436" t="s">
        <v>11</v>
      </c>
      <c r="E1436" t="s">
        <v>12</v>
      </c>
      <c r="F1436" t="s">
        <v>11</v>
      </c>
      <c r="G1436" t="s">
        <v>12</v>
      </c>
      <c r="H1436" t="s">
        <v>11</v>
      </c>
      <c r="I1436" t="s">
        <v>12</v>
      </c>
      <c r="J1436" t="s">
        <v>11</v>
      </c>
      <c r="K1436" t="s">
        <v>12</v>
      </c>
      <c r="L1436" s="12" t="s">
        <v>89</v>
      </c>
      <c r="M1436" s="12" t="s">
        <v>19</v>
      </c>
      <c r="N1436" s="12" t="s">
        <v>199</v>
      </c>
      <c r="O1436" s="12" t="s">
        <v>201</v>
      </c>
      <c r="P1436" s="12" t="s">
        <v>269</v>
      </c>
      <c r="Q1436" s="7" t="str">
        <f t="shared" si="67"/>
        <v>(1984,35,'1984.09.01',5,18,53,72,87,0),</v>
      </c>
      <c r="R1436" s="7" t="str">
        <f t="shared" si="69"/>
        <v>(1984,35,'1984.09.01',5,18,53,72,87),</v>
      </c>
    </row>
    <row r="1437" spans="1:18" x14ac:dyDescent="0.25">
      <c r="A1437" s="7" t="s">
        <v>5852</v>
      </c>
      <c r="B1437" s="8" t="s">
        <v>21</v>
      </c>
      <c r="C1437" s="10">
        <f t="shared" si="68"/>
        <v>30933</v>
      </c>
      <c r="D1437" t="s">
        <v>11</v>
      </c>
      <c r="E1437" t="s">
        <v>12</v>
      </c>
      <c r="F1437" t="s">
        <v>11</v>
      </c>
      <c r="G1437" t="s">
        <v>12</v>
      </c>
      <c r="H1437" t="s">
        <v>11</v>
      </c>
      <c r="I1437" t="s">
        <v>12</v>
      </c>
      <c r="J1437" t="s">
        <v>11</v>
      </c>
      <c r="K1437" t="s">
        <v>12</v>
      </c>
      <c r="L1437" s="12" t="s">
        <v>62</v>
      </c>
      <c r="M1437" s="12" t="s">
        <v>115</v>
      </c>
      <c r="N1437" s="12" t="s">
        <v>142</v>
      </c>
      <c r="O1437" s="12" t="s">
        <v>214</v>
      </c>
      <c r="P1437" s="12" t="s">
        <v>301</v>
      </c>
      <c r="Q1437" s="7" t="str">
        <f t="shared" si="67"/>
        <v>(1984,36,'1984.09.08',10,20,44,64,80,0),</v>
      </c>
      <c r="R1437" s="7" t="str">
        <f t="shared" si="69"/>
        <v>(1984,36,'1984.09.08',10,20,44,64,80),</v>
      </c>
    </row>
    <row r="1438" spans="1:18" x14ac:dyDescent="0.25">
      <c r="A1438" s="7" t="s">
        <v>5852</v>
      </c>
      <c r="B1438" s="8" t="s">
        <v>46</v>
      </c>
      <c r="C1438" s="10">
        <f t="shared" si="68"/>
        <v>30940</v>
      </c>
      <c r="D1438" t="s">
        <v>11</v>
      </c>
      <c r="E1438" t="s">
        <v>12</v>
      </c>
      <c r="F1438" t="s">
        <v>11</v>
      </c>
      <c r="G1438" t="s">
        <v>12</v>
      </c>
      <c r="H1438" t="s">
        <v>11</v>
      </c>
      <c r="I1438" t="s">
        <v>12</v>
      </c>
      <c r="J1438" t="s">
        <v>11</v>
      </c>
      <c r="K1438" t="s">
        <v>12</v>
      </c>
      <c r="L1438" s="12" t="s">
        <v>19</v>
      </c>
      <c r="M1438" s="12" t="s">
        <v>126</v>
      </c>
      <c r="N1438" s="12" t="s">
        <v>150</v>
      </c>
      <c r="O1438" s="12" t="s">
        <v>201</v>
      </c>
      <c r="P1438" s="12" t="s">
        <v>622</v>
      </c>
      <c r="Q1438" s="7" t="str">
        <f t="shared" si="67"/>
        <v>(1984,37,'1984.09.15',18,28,57,72,82,0),</v>
      </c>
      <c r="R1438" s="7" t="str">
        <f t="shared" si="69"/>
        <v>(1984,37,'1984.09.15',18,28,57,72,82),</v>
      </c>
    </row>
    <row r="1439" spans="1:18" x14ac:dyDescent="0.25">
      <c r="A1439" s="7" t="s">
        <v>5852</v>
      </c>
      <c r="B1439" s="8" t="s">
        <v>36</v>
      </c>
      <c r="C1439" s="10">
        <f t="shared" si="68"/>
        <v>30947</v>
      </c>
      <c r="D1439" t="s">
        <v>11</v>
      </c>
      <c r="E1439" t="s">
        <v>12</v>
      </c>
      <c r="F1439" t="s">
        <v>11</v>
      </c>
      <c r="G1439" t="s">
        <v>12</v>
      </c>
      <c r="H1439" t="s">
        <v>11</v>
      </c>
      <c r="I1439" t="s">
        <v>12</v>
      </c>
      <c r="J1439" t="s">
        <v>11</v>
      </c>
      <c r="K1439" t="s">
        <v>12</v>
      </c>
      <c r="L1439" s="12" t="s">
        <v>169</v>
      </c>
      <c r="M1439" s="12" t="s">
        <v>248</v>
      </c>
      <c r="N1439" s="12" t="s">
        <v>214</v>
      </c>
      <c r="O1439" s="12" t="s">
        <v>233</v>
      </c>
      <c r="P1439" s="12" t="s">
        <v>151</v>
      </c>
      <c r="Q1439" s="7" t="str">
        <f t="shared" si="67"/>
        <v>(1984,38,'1984.09.22',58,63,64,66,79,0),</v>
      </c>
      <c r="R1439" s="7" t="str">
        <f t="shared" si="69"/>
        <v>(1984,38,'1984.09.22',58,63,64,66,79),</v>
      </c>
    </row>
    <row r="1440" spans="1:18" x14ac:dyDescent="0.25">
      <c r="A1440" s="7" t="s">
        <v>5852</v>
      </c>
      <c r="B1440" s="8" t="s">
        <v>24</v>
      </c>
      <c r="C1440" s="10">
        <f t="shared" si="68"/>
        <v>30954</v>
      </c>
      <c r="D1440" t="s">
        <v>11</v>
      </c>
      <c r="E1440" t="s">
        <v>12</v>
      </c>
      <c r="F1440" t="s">
        <v>11</v>
      </c>
      <c r="G1440" t="s">
        <v>12</v>
      </c>
      <c r="H1440" t="s">
        <v>11</v>
      </c>
      <c r="I1440" t="s">
        <v>12</v>
      </c>
      <c r="J1440" t="s">
        <v>11</v>
      </c>
      <c r="K1440" t="s">
        <v>12</v>
      </c>
      <c r="L1440" s="12" t="s">
        <v>192</v>
      </c>
      <c r="M1440" s="12" t="s">
        <v>99</v>
      </c>
      <c r="N1440" s="12" t="s">
        <v>134</v>
      </c>
      <c r="O1440" s="12" t="s">
        <v>72</v>
      </c>
      <c r="P1440" s="12" t="s">
        <v>186</v>
      </c>
      <c r="Q1440" s="7" t="str">
        <f t="shared" si="67"/>
        <v>(1984,39,'1984.09.29',46,52,56,67,90,0),</v>
      </c>
      <c r="R1440" s="7" t="str">
        <f t="shared" si="69"/>
        <v>(1984,39,'1984.09.29',46,52,56,67,90),</v>
      </c>
    </row>
    <row r="1441" spans="1:18" x14ac:dyDescent="0.25">
      <c r="A1441" s="7" t="s">
        <v>5852</v>
      </c>
      <c r="B1441" s="8" t="s">
        <v>10</v>
      </c>
      <c r="C1441" s="10">
        <f t="shared" si="68"/>
        <v>30961</v>
      </c>
      <c r="D1441" t="s">
        <v>11</v>
      </c>
      <c r="E1441" t="s">
        <v>12</v>
      </c>
      <c r="F1441" t="s">
        <v>11</v>
      </c>
      <c r="G1441" t="s">
        <v>12</v>
      </c>
      <c r="H1441" t="s">
        <v>11</v>
      </c>
      <c r="I1441" t="s">
        <v>12</v>
      </c>
      <c r="J1441" t="s">
        <v>11</v>
      </c>
      <c r="K1441" t="s">
        <v>12</v>
      </c>
      <c r="L1441" s="12" t="s">
        <v>42</v>
      </c>
      <c r="M1441" s="12" t="s">
        <v>62</v>
      </c>
      <c r="N1441" s="12" t="s">
        <v>126</v>
      </c>
      <c r="O1441" s="12" t="s">
        <v>71</v>
      </c>
      <c r="P1441" s="12" t="s">
        <v>208</v>
      </c>
      <c r="Q1441" s="7" t="str">
        <f t="shared" si="67"/>
        <v>(1984,40,'1984.10.06',3,10,28,31,88,0),</v>
      </c>
      <c r="R1441" s="7" t="str">
        <f t="shared" si="69"/>
        <v>(1984,40,'1984.10.06',3,10,28,31,88),</v>
      </c>
    </row>
    <row r="1442" spans="1:18" x14ac:dyDescent="0.25">
      <c r="A1442" s="7" t="s">
        <v>5852</v>
      </c>
      <c r="B1442" s="8" t="s">
        <v>13</v>
      </c>
      <c r="C1442" s="10">
        <f t="shared" si="68"/>
        <v>30968</v>
      </c>
      <c r="D1442" t="s">
        <v>11</v>
      </c>
      <c r="E1442" t="s">
        <v>12</v>
      </c>
      <c r="F1442" t="s">
        <v>11</v>
      </c>
      <c r="G1442" t="s">
        <v>12</v>
      </c>
      <c r="H1442" t="s">
        <v>11</v>
      </c>
      <c r="I1442" t="s">
        <v>12</v>
      </c>
      <c r="J1442" t="s">
        <v>11</v>
      </c>
      <c r="K1442" t="s">
        <v>12</v>
      </c>
      <c r="L1442" s="12" t="s">
        <v>168</v>
      </c>
      <c r="M1442" s="12" t="s">
        <v>270</v>
      </c>
      <c r="N1442" s="12" t="s">
        <v>81</v>
      </c>
      <c r="O1442" s="12" t="s">
        <v>34</v>
      </c>
      <c r="P1442" s="12" t="s">
        <v>134</v>
      </c>
      <c r="Q1442" s="7" t="str">
        <f t="shared" si="67"/>
        <v>(1984,41,'1984.10.13',4,6,47,49,56,0),</v>
      </c>
      <c r="R1442" s="7" t="str">
        <f t="shared" si="69"/>
        <v>(1984,41,'1984.10.13',4,6,47,49,56),</v>
      </c>
    </row>
    <row r="1443" spans="1:18" x14ac:dyDescent="0.25">
      <c r="A1443" s="7" t="s">
        <v>5852</v>
      </c>
      <c r="B1443" s="8" t="s">
        <v>98</v>
      </c>
      <c r="C1443" s="10">
        <f t="shared" si="68"/>
        <v>30975</v>
      </c>
      <c r="D1443" t="s">
        <v>11</v>
      </c>
      <c r="E1443" t="s">
        <v>12</v>
      </c>
      <c r="F1443" t="s">
        <v>11</v>
      </c>
      <c r="G1443" t="s">
        <v>12</v>
      </c>
      <c r="H1443" t="s">
        <v>11</v>
      </c>
      <c r="I1443" t="s">
        <v>12</v>
      </c>
      <c r="J1443" t="s">
        <v>11</v>
      </c>
      <c r="K1443" t="s">
        <v>12</v>
      </c>
      <c r="L1443" s="12" t="s">
        <v>207</v>
      </c>
      <c r="M1443" s="12" t="s">
        <v>150</v>
      </c>
      <c r="N1443" s="12" t="s">
        <v>233</v>
      </c>
      <c r="O1443" s="12" t="s">
        <v>72</v>
      </c>
      <c r="P1443" s="12" t="s">
        <v>47</v>
      </c>
      <c r="Q1443" s="7" t="str">
        <f t="shared" si="67"/>
        <v>(1984,42,'1984.10.20',2,57,66,67,69,0),</v>
      </c>
      <c r="R1443" s="7" t="str">
        <f t="shared" si="69"/>
        <v>(1984,42,'1984.10.20',2,57,66,67,69),</v>
      </c>
    </row>
    <row r="1444" spans="1:18" x14ac:dyDescent="0.25">
      <c r="A1444" s="7" t="s">
        <v>5852</v>
      </c>
      <c r="B1444" s="8" t="s">
        <v>45</v>
      </c>
      <c r="C1444" s="10">
        <f t="shared" si="68"/>
        <v>30982</v>
      </c>
      <c r="D1444" t="s">
        <v>11</v>
      </c>
      <c r="E1444" t="s">
        <v>12</v>
      </c>
      <c r="F1444" t="s">
        <v>11</v>
      </c>
      <c r="G1444" t="s">
        <v>12</v>
      </c>
      <c r="H1444" t="s">
        <v>11</v>
      </c>
      <c r="I1444" t="s">
        <v>12</v>
      </c>
      <c r="J1444" t="s">
        <v>11</v>
      </c>
      <c r="K1444" t="s">
        <v>12</v>
      </c>
      <c r="L1444" s="12" t="s">
        <v>83</v>
      </c>
      <c r="M1444" s="12" t="s">
        <v>115</v>
      </c>
      <c r="N1444" s="12" t="s">
        <v>122</v>
      </c>
      <c r="O1444" s="12" t="s">
        <v>175</v>
      </c>
      <c r="P1444" s="12" t="s">
        <v>63</v>
      </c>
      <c r="Q1444" s="7" t="str">
        <f t="shared" si="67"/>
        <v>(1984,43,'1984.10.27',11,20,51,55,78,0),</v>
      </c>
      <c r="R1444" s="7" t="str">
        <f t="shared" si="69"/>
        <v>(1984,43,'1984.10.27',11,20,51,55,78),</v>
      </c>
    </row>
    <row r="1445" spans="1:18" x14ac:dyDescent="0.25">
      <c r="A1445" s="7" t="s">
        <v>5852</v>
      </c>
      <c r="B1445" s="8" t="s">
        <v>142</v>
      </c>
      <c r="C1445" s="10">
        <f t="shared" si="68"/>
        <v>30989</v>
      </c>
      <c r="D1445" t="s">
        <v>11</v>
      </c>
      <c r="E1445" t="s">
        <v>12</v>
      </c>
      <c r="F1445" t="s">
        <v>11</v>
      </c>
      <c r="G1445" t="s">
        <v>12</v>
      </c>
      <c r="H1445" t="s">
        <v>11</v>
      </c>
      <c r="I1445" t="s">
        <v>12</v>
      </c>
      <c r="J1445" t="s">
        <v>11</v>
      </c>
      <c r="K1445" t="s">
        <v>12</v>
      </c>
      <c r="L1445" s="12" t="s">
        <v>198</v>
      </c>
      <c r="M1445" s="12" t="s">
        <v>115</v>
      </c>
      <c r="N1445" s="12" t="s">
        <v>25</v>
      </c>
      <c r="O1445" s="12" t="s">
        <v>248</v>
      </c>
      <c r="P1445" s="12" t="s">
        <v>143</v>
      </c>
      <c r="Q1445" s="7" t="str">
        <f t="shared" si="67"/>
        <v>(1984,44,'1984.11.03',9,20,34,63,77,0),</v>
      </c>
      <c r="R1445" s="7" t="str">
        <f t="shared" si="69"/>
        <v>(1984,44,'1984.11.03',9,20,34,63,77),</v>
      </c>
    </row>
    <row r="1446" spans="1:18" x14ac:dyDescent="0.25">
      <c r="A1446" s="7" t="s">
        <v>5852</v>
      </c>
      <c r="B1446" s="8" t="s">
        <v>133</v>
      </c>
      <c r="C1446" s="10">
        <f t="shared" si="68"/>
        <v>30996</v>
      </c>
      <c r="D1446" t="s">
        <v>11</v>
      </c>
      <c r="E1446" t="s">
        <v>12</v>
      </c>
      <c r="F1446" t="s">
        <v>11</v>
      </c>
      <c r="G1446" t="s">
        <v>12</v>
      </c>
      <c r="H1446" t="s">
        <v>11</v>
      </c>
      <c r="I1446" t="s">
        <v>12</v>
      </c>
      <c r="J1446" t="s">
        <v>11</v>
      </c>
      <c r="K1446" t="s">
        <v>12</v>
      </c>
      <c r="L1446" s="12" t="s">
        <v>232</v>
      </c>
      <c r="M1446" s="12" t="s">
        <v>32</v>
      </c>
      <c r="N1446" s="12" t="s">
        <v>33</v>
      </c>
      <c r="O1446" s="12" t="s">
        <v>98</v>
      </c>
      <c r="P1446" s="12" t="s">
        <v>468</v>
      </c>
      <c r="Q1446" s="7" t="str">
        <f t="shared" si="67"/>
        <v>(1984,45,'1984.11.10',8,22,24,42,85,0),</v>
      </c>
      <c r="R1446" s="7" t="str">
        <f t="shared" si="69"/>
        <v>(1984,45,'1984.11.10',8,22,24,42,85),</v>
      </c>
    </row>
    <row r="1447" spans="1:18" x14ac:dyDescent="0.25">
      <c r="A1447" s="7" t="s">
        <v>5852</v>
      </c>
      <c r="B1447" s="8" t="s">
        <v>192</v>
      </c>
      <c r="C1447" s="10">
        <f t="shared" si="68"/>
        <v>31003</v>
      </c>
      <c r="D1447" t="s">
        <v>11</v>
      </c>
      <c r="E1447" t="s">
        <v>12</v>
      </c>
      <c r="F1447" t="s">
        <v>11</v>
      </c>
      <c r="G1447" t="s">
        <v>12</v>
      </c>
      <c r="H1447" t="s">
        <v>11</v>
      </c>
      <c r="I1447" t="s">
        <v>12</v>
      </c>
      <c r="J1447" t="s">
        <v>11</v>
      </c>
      <c r="K1447" t="s">
        <v>12</v>
      </c>
      <c r="L1447" s="12" t="s">
        <v>168</v>
      </c>
      <c r="M1447" s="12" t="s">
        <v>245</v>
      </c>
      <c r="N1447" s="12" t="s">
        <v>143</v>
      </c>
      <c r="O1447" s="12" t="s">
        <v>63</v>
      </c>
      <c r="P1447" s="12" t="s">
        <v>379</v>
      </c>
      <c r="Q1447" s="7" t="str">
        <f t="shared" si="67"/>
        <v>(1984,46,'1984.11.17',4,74,77,78,89,0),</v>
      </c>
      <c r="R1447" s="7" t="str">
        <f t="shared" si="69"/>
        <v>(1984,46,'1984.11.17',4,74,77,78,89),</v>
      </c>
    </row>
    <row r="1448" spans="1:18" x14ac:dyDescent="0.25">
      <c r="A1448" s="7" t="s">
        <v>5852</v>
      </c>
      <c r="B1448" s="8" t="s">
        <v>81</v>
      </c>
      <c r="C1448" s="10">
        <f t="shared" si="68"/>
        <v>31010</v>
      </c>
      <c r="D1448" t="s">
        <v>11</v>
      </c>
      <c r="E1448" t="s">
        <v>12</v>
      </c>
      <c r="F1448" t="s">
        <v>11</v>
      </c>
      <c r="G1448" t="s">
        <v>12</v>
      </c>
      <c r="H1448" t="s">
        <v>11</v>
      </c>
      <c r="I1448" t="s">
        <v>12</v>
      </c>
      <c r="J1448" t="s">
        <v>11</v>
      </c>
      <c r="K1448" t="s">
        <v>12</v>
      </c>
      <c r="L1448" s="12" t="s">
        <v>163</v>
      </c>
      <c r="M1448" s="12" t="s">
        <v>126</v>
      </c>
      <c r="N1448" s="12" t="s">
        <v>124</v>
      </c>
      <c r="O1448" s="12" t="s">
        <v>214</v>
      </c>
      <c r="P1448" s="12" t="s">
        <v>151</v>
      </c>
      <c r="Q1448" s="7" t="str">
        <f t="shared" si="67"/>
        <v>(1984,47,'1984.11.24',23,28,62,64,79,0),</v>
      </c>
      <c r="R1448" s="7" t="str">
        <f t="shared" si="69"/>
        <v>(1984,47,'1984.11.24',23,28,62,64,79),</v>
      </c>
    </row>
    <row r="1449" spans="1:18" x14ac:dyDescent="0.25">
      <c r="A1449" s="7" t="s">
        <v>5852</v>
      </c>
      <c r="B1449" s="8" t="s">
        <v>22</v>
      </c>
      <c r="C1449" s="10">
        <f t="shared" si="68"/>
        <v>31017</v>
      </c>
      <c r="D1449" t="s">
        <v>11</v>
      </c>
      <c r="E1449" t="s">
        <v>12</v>
      </c>
      <c r="F1449" t="s">
        <v>11</v>
      </c>
      <c r="G1449" t="s">
        <v>12</v>
      </c>
      <c r="H1449" t="s">
        <v>11</v>
      </c>
      <c r="I1449" t="s">
        <v>12</v>
      </c>
      <c r="J1449" t="s">
        <v>11</v>
      </c>
      <c r="K1449" t="s">
        <v>12</v>
      </c>
      <c r="L1449" s="12" t="s">
        <v>53</v>
      </c>
      <c r="M1449" s="12" t="s">
        <v>43</v>
      </c>
      <c r="N1449" s="12" t="s">
        <v>115</v>
      </c>
      <c r="O1449" s="12" t="s">
        <v>35</v>
      </c>
      <c r="P1449" s="12" t="s">
        <v>106</v>
      </c>
      <c r="Q1449" s="7" t="str">
        <f t="shared" si="67"/>
        <v>(1984,48,'1984.12.01',7,16,20,65,75,0),</v>
      </c>
      <c r="R1449" s="7" t="str">
        <f t="shared" si="69"/>
        <v>(1984,48,'1984.12.01',7,16,20,65,75),</v>
      </c>
    </row>
    <row r="1450" spans="1:18" x14ac:dyDescent="0.25">
      <c r="A1450" s="7" t="s">
        <v>5852</v>
      </c>
      <c r="B1450" s="8" t="s">
        <v>34</v>
      </c>
      <c r="C1450" s="10">
        <f t="shared" si="68"/>
        <v>31024</v>
      </c>
      <c r="D1450" t="s">
        <v>11</v>
      </c>
      <c r="E1450" t="s">
        <v>12</v>
      </c>
      <c r="F1450" t="s">
        <v>11</v>
      </c>
      <c r="G1450" t="s">
        <v>12</v>
      </c>
      <c r="H1450" t="s">
        <v>11</v>
      </c>
      <c r="I1450" t="s">
        <v>12</v>
      </c>
      <c r="J1450" t="s">
        <v>11</v>
      </c>
      <c r="K1450" t="s">
        <v>12</v>
      </c>
      <c r="L1450" s="12" t="s">
        <v>127</v>
      </c>
      <c r="M1450" s="12" t="s">
        <v>116</v>
      </c>
      <c r="N1450" s="12" t="s">
        <v>107</v>
      </c>
      <c r="O1450" s="12" t="s">
        <v>308</v>
      </c>
      <c r="P1450" s="12" t="s">
        <v>269</v>
      </c>
      <c r="Q1450" s="7" t="str">
        <f t="shared" si="67"/>
        <v>(1984,49,'1984.12.08',14,29,30,86,87,0),</v>
      </c>
      <c r="R1450" s="7" t="str">
        <f t="shared" si="69"/>
        <v>(1984,49,'1984.12.08',14,29,30,86,87),</v>
      </c>
    </row>
    <row r="1451" spans="1:18" x14ac:dyDescent="0.25">
      <c r="A1451" s="7" t="s">
        <v>5852</v>
      </c>
      <c r="B1451" s="8" t="s">
        <v>105</v>
      </c>
      <c r="C1451" s="10">
        <f t="shared" si="68"/>
        <v>31031</v>
      </c>
      <c r="D1451" t="s">
        <v>11</v>
      </c>
      <c r="E1451" t="s">
        <v>12</v>
      </c>
      <c r="F1451" t="s">
        <v>11</v>
      </c>
      <c r="G1451" t="s">
        <v>12</v>
      </c>
      <c r="H1451" t="s">
        <v>11</v>
      </c>
      <c r="I1451" t="s">
        <v>12</v>
      </c>
      <c r="J1451" t="s">
        <v>11</v>
      </c>
      <c r="K1451" t="s">
        <v>12</v>
      </c>
      <c r="L1451" s="12" t="s">
        <v>232</v>
      </c>
      <c r="M1451" s="12" t="s">
        <v>55</v>
      </c>
      <c r="N1451" s="12" t="s">
        <v>248</v>
      </c>
      <c r="O1451" s="12" t="s">
        <v>301</v>
      </c>
      <c r="P1451" s="12" t="s">
        <v>186</v>
      </c>
      <c r="Q1451" s="7" t="str">
        <f t="shared" si="67"/>
        <v>(1984,50,'1984.12.15',8,19,63,80,90,0),</v>
      </c>
      <c r="R1451" s="7" t="str">
        <f t="shared" si="69"/>
        <v>(1984,50,'1984.12.15',8,19,63,80,90),</v>
      </c>
    </row>
    <row r="1452" spans="1:18" x14ac:dyDescent="0.25">
      <c r="A1452" s="7" t="s">
        <v>5852</v>
      </c>
      <c r="B1452" s="8" t="s">
        <v>122</v>
      </c>
      <c r="C1452" s="10">
        <f t="shared" si="68"/>
        <v>31038</v>
      </c>
      <c r="D1452" t="s">
        <v>11</v>
      </c>
      <c r="E1452" t="s">
        <v>12</v>
      </c>
      <c r="F1452" t="s">
        <v>11</v>
      </c>
      <c r="G1452" t="s">
        <v>12</v>
      </c>
      <c r="H1452" t="s">
        <v>11</v>
      </c>
      <c r="I1452" t="s">
        <v>12</v>
      </c>
      <c r="J1452" t="s">
        <v>11</v>
      </c>
      <c r="K1452" t="s">
        <v>12</v>
      </c>
      <c r="L1452" s="12" t="s">
        <v>90</v>
      </c>
      <c r="M1452" s="12" t="s">
        <v>44</v>
      </c>
      <c r="N1452" s="12" t="s">
        <v>25</v>
      </c>
      <c r="O1452" s="12" t="s">
        <v>34</v>
      </c>
      <c r="P1452" s="12" t="s">
        <v>23</v>
      </c>
      <c r="Q1452" s="7" t="str">
        <f t="shared" si="67"/>
        <v>(1984,51,'1984.12.22',17,21,34,49,60,0),</v>
      </c>
      <c r="R1452" s="7" t="str">
        <f t="shared" si="69"/>
        <v>(1984,51,'1984.12.22',17,21,34,49,60),</v>
      </c>
    </row>
    <row r="1453" spans="1:18" x14ac:dyDescent="0.25">
      <c r="A1453" s="7" t="s">
        <v>5852</v>
      </c>
      <c r="B1453" s="8" t="s">
        <v>99</v>
      </c>
      <c r="C1453" s="10">
        <f t="shared" si="68"/>
        <v>31045</v>
      </c>
      <c r="D1453" t="s">
        <v>11</v>
      </c>
      <c r="E1453" t="s">
        <v>12</v>
      </c>
      <c r="F1453" t="s">
        <v>11</v>
      </c>
      <c r="G1453" t="s">
        <v>12</v>
      </c>
      <c r="H1453" t="s">
        <v>11</v>
      </c>
      <c r="I1453" t="s">
        <v>12</v>
      </c>
      <c r="J1453" t="s">
        <v>11</v>
      </c>
      <c r="K1453" t="s">
        <v>12</v>
      </c>
      <c r="L1453" s="12" t="s">
        <v>108</v>
      </c>
      <c r="M1453" s="12" t="s">
        <v>31</v>
      </c>
      <c r="N1453" s="12" t="s">
        <v>80</v>
      </c>
      <c r="O1453" s="12" t="s">
        <v>35</v>
      </c>
      <c r="P1453" s="12" t="s">
        <v>246</v>
      </c>
      <c r="Q1453" s="7" t="str">
        <f t="shared" si="67"/>
        <v>(1984,52,'1984.12.29',1,12,32,65,84,0),</v>
      </c>
      <c r="R1453" s="7" t="str">
        <f t="shared" si="69"/>
        <v>(1984,52,'1984.12.29',1,12,32,65,84),</v>
      </c>
    </row>
    <row r="1454" spans="1:18" x14ac:dyDescent="0.25">
      <c r="A1454" s="7" t="s">
        <v>5113</v>
      </c>
      <c r="B1454" s="8" t="s">
        <v>108</v>
      </c>
      <c r="C1454" s="10">
        <f t="shared" si="68"/>
        <v>31052</v>
      </c>
      <c r="D1454" t="s">
        <v>11</v>
      </c>
      <c r="E1454" t="s">
        <v>12</v>
      </c>
      <c r="F1454" t="s">
        <v>11</v>
      </c>
      <c r="G1454" t="s">
        <v>12</v>
      </c>
      <c r="H1454" t="s">
        <v>11</v>
      </c>
      <c r="I1454" t="s">
        <v>12</v>
      </c>
      <c r="J1454" t="s">
        <v>11</v>
      </c>
      <c r="K1454" t="s">
        <v>12</v>
      </c>
      <c r="L1454" s="12" t="s">
        <v>45</v>
      </c>
      <c r="M1454" s="12" t="s">
        <v>81</v>
      </c>
      <c r="N1454" s="12" t="s">
        <v>82</v>
      </c>
      <c r="O1454" s="12" t="s">
        <v>248</v>
      </c>
      <c r="P1454" s="12" t="s">
        <v>246</v>
      </c>
      <c r="Q1454" s="7" t="str">
        <f t="shared" si="67"/>
        <v>(1985,1,'1985.01.05',43,47,59,63,84,0),</v>
      </c>
      <c r="R1454" s="7" t="str">
        <f t="shared" si="69"/>
        <v>(1985,1,'1985.01.05',43,47,59,63,84),</v>
      </c>
    </row>
    <row r="1455" spans="1:18" x14ac:dyDescent="0.25">
      <c r="A1455" s="7" t="s">
        <v>5113</v>
      </c>
      <c r="B1455" s="8" t="s">
        <v>207</v>
      </c>
      <c r="C1455" s="10">
        <f t="shared" si="68"/>
        <v>31059</v>
      </c>
      <c r="D1455" t="s">
        <v>11</v>
      </c>
      <c r="E1455" t="s">
        <v>12</v>
      </c>
      <c r="F1455" t="s">
        <v>11</v>
      </c>
      <c r="G1455" t="s">
        <v>12</v>
      </c>
      <c r="H1455" t="s">
        <v>11</v>
      </c>
      <c r="I1455" t="s">
        <v>12</v>
      </c>
      <c r="J1455" t="s">
        <v>11</v>
      </c>
      <c r="K1455" t="s">
        <v>12</v>
      </c>
      <c r="L1455" s="12" t="s">
        <v>83</v>
      </c>
      <c r="M1455" s="12" t="s">
        <v>55</v>
      </c>
      <c r="N1455" s="12" t="s">
        <v>91</v>
      </c>
      <c r="O1455" s="12" t="s">
        <v>124</v>
      </c>
      <c r="P1455" s="12" t="s">
        <v>379</v>
      </c>
      <c r="Q1455" s="7" t="str">
        <f t="shared" si="67"/>
        <v>(1985,2,'1985.01.12',11,19,61,62,89,0),</v>
      </c>
      <c r="R1455" s="7" t="str">
        <f t="shared" si="69"/>
        <v>(1985,2,'1985.01.12',11,19,61,62,89),</v>
      </c>
    </row>
    <row r="1456" spans="1:18" x14ac:dyDescent="0.25">
      <c r="A1456" s="7" t="s">
        <v>5113</v>
      </c>
      <c r="B1456" s="8" t="s">
        <v>42</v>
      </c>
      <c r="C1456" s="10">
        <f t="shared" si="68"/>
        <v>31066</v>
      </c>
      <c r="D1456" t="s">
        <v>11</v>
      </c>
      <c r="E1456" t="s">
        <v>12</v>
      </c>
      <c r="F1456" t="s">
        <v>11</v>
      </c>
      <c r="G1456" t="s">
        <v>12</v>
      </c>
      <c r="H1456" t="s">
        <v>11</v>
      </c>
      <c r="I1456" t="s">
        <v>12</v>
      </c>
      <c r="J1456" t="s">
        <v>11</v>
      </c>
      <c r="K1456" t="s">
        <v>12</v>
      </c>
      <c r="L1456" s="12" t="s">
        <v>33</v>
      </c>
      <c r="M1456" s="12" t="s">
        <v>122</v>
      </c>
      <c r="N1456" s="12" t="s">
        <v>201</v>
      </c>
      <c r="O1456" s="12" t="s">
        <v>143</v>
      </c>
      <c r="P1456" s="12" t="s">
        <v>151</v>
      </c>
      <c r="Q1456" s="7" t="str">
        <f t="shared" si="67"/>
        <v>(1985,3,'1985.01.19',24,51,72,77,79,0),</v>
      </c>
      <c r="R1456" s="7" t="str">
        <f t="shared" si="69"/>
        <v>(1985,3,'1985.01.19',24,51,72,77,79),</v>
      </c>
    </row>
    <row r="1457" spans="1:18" x14ac:dyDescent="0.25">
      <c r="A1457" s="7" t="s">
        <v>5113</v>
      </c>
      <c r="B1457" s="8" t="s">
        <v>168</v>
      </c>
      <c r="C1457" s="10">
        <f t="shared" si="68"/>
        <v>31073</v>
      </c>
      <c r="D1457" t="s">
        <v>11</v>
      </c>
      <c r="E1457" t="s">
        <v>12</v>
      </c>
      <c r="F1457" t="s">
        <v>11</v>
      </c>
      <c r="G1457" t="s">
        <v>12</v>
      </c>
      <c r="H1457" t="s">
        <v>11</v>
      </c>
      <c r="I1457" t="s">
        <v>12</v>
      </c>
      <c r="J1457" t="s">
        <v>11</v>
      </c>
      <c r="K1457" t="s">
        <v>12</v>
      </c>
      <c r="L1457" s="12" t="s">
        <v>62</v>
      </c>
      <c r="M1457" s="12" t="s">
        <v>142</v>
      </c>
      <c r="N1457" s="12" t="s">
        <v>123</v>
      </c>
      <c r="O1457" s="12" t="s">
        <v>169</v>
      </c>
      <c r="P1457" s="12" t="s">
        <v>92</v>
      </c>
      <c r="Q1457" s="7" t="str">
        <f t="shared" si="67"/>
        <v>(1985,4,'1985.01.26',10,44,54,58,68,0),</v>
      </c>
      <c r="R1457" s="7" t="str">
        <f t="shared" si="69"/>
        <v>(1985,4,'1985.01.26',10,44,54,58,68),</v>
      </c>
    </row>
    <row r="1458" spans="1:18" x14ac:dyDescent="0.25">
      <c r="A1458" s="7" t="s">
        <v>5113</v>
      </c>
      <c r="B1458" s="8" t="s">
        <v>89</v>
      </c>
      <c r="C1458" s="10">
        <f t="shared" si="68"/>
        <v>31080</v>
      </c>
      <c r="D1458" t="s">
        <v>11</v>
      </c>
      <c r="E1458" t="s">
        <v>12</v>
      </c>
      <c r="F1458" t="s">
        <v>11</v>
      </c>
      <c r="G1458" t="s">
        <v>12</v>
      </c>
      <c r="H1458" t="s">
        <v>11</v>
      </c>
      <c r="I1458" t="s">
        <v>12</v>
      </c>
      <c r="J1458" t="s">
        <v>11</v>
      </c>
      <c r="K1458" t="s">
        <v>12</v>
      </c>
      <c r="L1458" s="12" t="s">
        <v>198</v>
      </c>
      <c r="M1458" s="12" t="s">
        <v>192</v>
      </c>
      <c r="N1458" s="12" t="s">
        <v>233</v>
      </c>
      <c r="O1458" s="12" t="s">
        <v>72</v>
      </c>
      <c r="P1458" s="12" t="s">
        <v>246</v>
      </c>
      <c r="Q1458" s="7" t="str">
        <f t="shared" si="67"/>
        <v>(1985,5,'1985.02.02',9,46,66,67,84,0),</v>
      </c>
      <c r="R1458" s="7" t="str">
        <f t="shared" si="69"/>
        <v>(1985,5,'1985.02.02',9,46,66,67,84),</v>
      </c>
    </row>
    <row r="1459" spans="1:18" x14ac:dyDescent="0.25">
      <c r="A1459" s="7" t="s">
        <v>5113</v>
      </c>
      <c r="B1459" s="8" t="s">
        <v>270</v>
      </c>
      <c r="C1459" s="10">
        <f t="shared" si="68"/>
        <v>31087</v>
      </c>
      <c r="D1459" t="s">
        <v>11</v>
      </c>
      <c r="E1459" t="s">
        <v>12</v>
      </c>
      <c r="F1459" t="s">
        <v>11</v>
      </c>
      <c r="G1459" t="s">
        <v>12</v>
      </c>
      <c r="H1459" t="s">
        <v>11</v>
      </c>
      <c r="I1459" t="s">
        <v>12</v>
      </c>
      <c r="J1459" t="s">
        <v>11</v>
      </c>
      <c r="K1459" t="s">
        <v>12</v>
      </c>
      <c r="L1459" s="12" t="s">
        <v>232</v>
      </c>
      <c r="M1459" s="12" t="s">
        <v>62</v>
      </c>
      <c r="N1459" s="12" t="s">
        <v>127</v>
      </c>
      <c r="O1459" s="12" t="s">
        <v>107</v>
      </c>
      <c r="P1459" s="12" t="s">
        <v>106</v>
      </c>
      <c r="Q1459" s="7" t="str">
        <f t="shared" si="67"/>
        <v>(1985,6,'1985.02.09',8,10,14,30,75,0),</v>
      </c>
      <c r="R1459" s="7" t="str">
        <f t="shared" si="69"/>
        <v>(1985,6,'1985.02.09',8,10,14,30,75),</v>
      </c>
    </row>
    <row r="1460" spans="1:18" x14ac:dyDescent="0.25">
      <c r="A1460" s="7" t="s">
        <v>5113</v>
      </c>
      <c r="B1460" s="8" t="s">
        <v>53</v>
      </c>
      <c r="C1460" s="10">
        <f t="shared" si="68"/>
        <v>31094</v>
      </c>
      <c r="D1460" t="s">
        <v>11</v>
      </c>
      <c r="E1460" t="s">
        <v>12</v>
      </c>
      <c r="F1460" t="s">
        <v>11</v>
      </c>
      <c r="G1460" t="s">
        <v>12</v>
      </c>
      <c r="H1460" t="s">
        <v>11</v>
      </c>
      <c r="I1460" t="s">
        <v>12</v>
      </c>
      <c r="J1460" t="s">
        <v>11</v>
      </c>
      <c r="K1460" t="s">
        <v>12</v>
      </c>
      <c r="L1460" s="12" t="s">
        <v>53</v>
      </c>
      <c r="M1460" s="12" t="s">
        <v>232</v>
      </c>
      <c r="N1460" s="12" t="s">
        <v>72</v>
      </c>
      <c r="O1460" s="12" t="s">
        <v>106</v>
      </c>
      <c r="P1460" s="12" t="s">
        <v>301</v>
      </c>
      <c r="Q1460" s="7" t="str">
        <f t="shared" si="67"/>
        <v>(1985,7,'1985.02.16',7,8,67,75,80,0),</v>
      </c>
      <c r="R1460" s="7" t="str">
        <f t="shared" si="69"/>
        <v>(1985,7,'1985.02.16',7,8,67,75,80),</v>
      </c>
    </row>
    <row r="1461" spans="1:18" x14ac:dyDescent="0.25">
      <c r="A1461" s="7" t="s">
        <v>5113</v>
      </c>
      <c r="B1461" s="8" t="s">
        <v>232</v>
      </c>
      <c r="C1461" s="10">
        <f t="shared" si="68"/>
        <v>31101</v>
      </c>
      <c r="D1461" t="s">
        <v>11</v>
      </c>
      <c r="E1461" t="s">
        <v>12</v>
      </c>
      <c r="F1461" t="s">
        <v>11</v>
      </c>
      <c r="G1461" t="s">
        <v>12</v>
      </c>
      <c r="H1461" t="s">
        <v>11</v>
      </c>
      <c r="I1461" t="s">
        <v>12</v>
      </c>
      <c r="J1461" t="s">
        <v>11</v>
      </c>
      <c r="K1461" t="s">
        <v>12</v>
      </c>
      <c r="L1461" s="12" t="s">
        <v>53</v>
      </c>
      <c r="M1461" s="12" t="s">
        <v>152</v>
      </c>
      <c r="N1461" s="12" t="s">
        <v>126</v>
      </c>
      <c r="O1461" s="12" t="s">
        <v>24</v>
      </c>
      <c r="P1461" s="12" t="s">
        <v>47</v>
      </c>
      <c r="Q1461" s="7" t="str">
        <f t="shared" si="67"/>
        <v>(1985,8,'1985.02.23',7,25,28,39,69,0),</v>
      </c>
      <c r="R1461" s="7" t="str">
        <f t="shared" si="69"/>
        <v>(1985,8,'1985.02.23',7,25,28,39,69),</v>
      </c>
    </row>
    <row r="1462" spans="1:18" x14ac:dyDescent="0.25">
      <c r="A1462" s="7" t="s">
        <v>5113</v>
      </c>
      <c r="B1462" s="8" t="s">
        <v>198</v>
      </c>
      <c r="C1462" s="10">
        <f t="shared" si="68"/>
        <v>31108</v>
      </c>
      <c r="D1462" t="s">
        <v>11</v>
      </c>
      <c r="E1462" t="s">
        <v>12</v>
      </c>
      <c r="F1462" t="s">
        <v>11</v>
      </c>
      <c r="G1462" t="s">
        <v>12</v>
      </c>
      <c r="H1462" t="s">
        <v>11</v>
      </c>
      <c r="I1462" t="s">
        <v>12</v>
      </c>
      <c r="J1462" t="s">
        <v>11</v>
      </c>
      <c r="K1462" t="s">
        <v>12</v>
      </c>
      <c r="L1462" s="12" t="s">
        <v>54</v>
      </c>
      <c r="M1462" s="12" t="s">
        <v>126</v>
      </c>
      <c r="N1462" s="12" t="s">
        <v>169</v>
      </c>
      <c r="O1462" s="12" t="s">
        <v>200</v>
      </c>
      <c r="P1462" s="12" t="s">
        <v>201</v>
      </c>
      <c r="Q1462" s="7" t="str">
        <f t="shared" si="67"/>
        <v>(1985,9,'1985.03.02',15,28,58,70,72,0),</v>
      </c>
      <c r="R1462" s="7" t="str">
        <f t="shared" si="69"/>
        <v>(1985,9,'1985.03.02',15,28,58,70,72),</v>
      </c>
    </row>
    <row r="1463" spans="1:18" x14ac:dyDescent="0.25">
      <c r="A1463" s="7" t="s">
        <v>5113</v>
      </c>
      <c r="B1463" s="8" t="s">
        <v>62</v>
      </c>
      <c r="C1463" s="10">
        <f t="shared" si="68"/>
        <v>31115</v>
      </c>
      <c r="D1463" t="s">
        <v>11</v>
      </c>
      <c r="E1463" t="s">
        <v>12</v>
      </c>
      <c r="F1463" t="s">
        <v>11</v>
      </c>
      <c r="G1463" t="s">
        <v>12</v>
      </c>
      <c r="H1463" t="s">
        <v>11</v>
      </c>
      <c r="I1463" t="s">
        <v>12</v>
      </c>
      <c r="J1463" t="s">
        <v>11</v>
      </c>
      <c r="K1463" t="s">
        <v>12</v>
      </c>
      <c r="L1463" s="12" t="s">
        <v>42</v>
      </c>
      <c r="M1463" s="12" t="s">
        <v>21</v>
      </c>
      <c r="N1463" s="12" t="s">
        <v>13</v>
      </c>
      <c r="O1463" s="12" t="s">
        <v>169</v>
      </c>
      <c r="P1463" s="12" t="s">
        <v>47</v>
      </c>
      <c r="Q1463" s="7" t="str">
        <f t="shared" si="67"/>
        <v>(1985,10,'1985.03.09',3,36,41,58,69,0),</v>
      </c>
      <c r="R1463" s="7" t="str">
        <f t="shared" si="69"/>
        <v>(1985,10,'1985.03.09',3,36,41,58,69),</v>
      </c>
    </row>
    <row r="1464" spans="1:18" x14ac:dyDescent="0.25">
      <c r="A1464" s="7" t="s">
        <v>5113</v>
      </c>
      <c r="B1464" s="8" t="s">
        <v>83</v>
      </c>
      <c r="C1464" s="10">
        <f t="shared" si="68"/>
        <v>31122</v>
      </c>
      <c r="D1464" t="s">
        <v>11</v>
      </c>
      <c r="E1464" t="s">
        <v>12</v>
      </c>
      <c r="F1464" t="s">
        <v>11</v>
      </c>
      <c r="G1464" t="s">
        <v>12</v>
      </c>
      <c r="H1464" t="s">
        <v>11</v>
      </c>
      <c r="I1464" t="s">
        <v>12</v>
      </c>
      <c r="J1464" t="s">
        <v>11</v>
      </c>
      <c r="K1464" t="s">
        <v>12</v>
      </c>
      <c r="L1464" s="12" t="s">
        <v>207</v>
      </c>
      <c r="M1464" s="12" t="s">
        <v>19</v>
      </c>
      <c r="N1464" s="12" t="s">
        <v>24</v>
      </c>
      <c r="O1464" s="12" t="s">
        <v>150</v>
      </c>
      <c r="P1464" s="12" t="s">
        <v>214</v>
      </c>
      <c r="Q1464" s="7" t="str">
        <f t="shared" si="67"/>
        <v>(1985,11,'1985.03.16',2,18,39,57,64,0),</v>
      </c>
      <c r="R1464" s="7" t="str">
        <f t="shared" si="69"/>
        <v>(1985,11,'1985.03.16',2,18,39,57,64),</v>
      </c>
    </row>
    <row r="1465" spans="1:18" x14ac:dyDescent="0.25">
      <c r="A1465" s="7" t="s">
        <v>5113</v>
      </c>
      <c r="B1465" s="8" t="s">
        <v>31</v>
      </c>
      <c r="C1465" s="10">
        <f t="shared" si="68"/>
        <v>31129</v>
      </c>
      <c r="D1465" t="s">
        <v>11</v>
      </c>
      <c r="E1465" t="s">
        <v>12</v>
      </c>
      <c r="F1465" t="s">
        <v>11</v>
      </c>
      <c r="G1465" t="s">
        <v>12</v>
      </c>
      <c r="H1465" t="s">
        <v>11</v>
      </c>
      <c r="I1465" t="s">
        <v>12</v>
      </c>
      <c r="J1465" t="s">
        <v>11</v>
      </c>
      <c r="K1465" t="s">
        <v>12</v>
      </c>
      <c r="L1465" s="12" t="s">
        <v>55</v>
      </c>
      <c r="M1465" s="12" t="s">
        <v>152</v>
      </c>
      <c r="N1465" s="12" t="s">
        <v>10</v>
      </c>
      <c r="O1465" s="12" t="s">
        <v>133</v>
      </c>
      <c r="P1465" s="12" t="s">
        <v>200</v>
      </c>
      <c r="Q1465" s="7" t="str">
        <f t="shared" si="67"/>
        <v>(1985,12,'1985.03.23',19,25,40,45,70,0),</v>
      </c>
      <c r="R1465" s="7" t="str">
        <f t="shared" si="69"/>
        <v>(1985,12,'1985.03.23',19,25,40,45,70),</v>
      </c>
    </row>
    <row r="1466" spans="1:18" x14ac:dyDescent="0.25">
      <c r="A1466" s="7" t="s">
        <v>5113</v>
      </c>
      <c r="B1466" s="8" t="s">
        <v>65</v>
      </c>
      <c r="C1466" s="10">
        <f t="shared" si="68"/>
        <v>31136</v>
      </c>
      <c r="D1466" t="s">
        <v>11</v>
      </c>
      <c r="E1466" t="s">
        <v>12</v>
      </c>
      <c r="F1466" t="s">
        <v>11</v>
      </c>
      <c r="G1466" t="s">
        <v>12</v>
      </c>
      <c r="H1466" t="s">
        <v>11</v>
      </c>
      <c r="I1466" t="s">
        <v>12</v>
      </c>
      <c r="J1466" t="s">
        <v>11</v>
      </c>
      <c r="K1466" t="s">
        <v>12</v>
      </c>
      <c r="L1466" s="12" t="s">
        <v>42</v>
      </c>
      <c r="M1466" s="12" t="s">
        <v>19</v>
      </c>
      <c r="N1466" s="12" t="s">
        <v>13</v>
      </c>
      <c r="O1466" s="12" t="s">
        <v>233</v>
      </c>
      <c r="P1466" s="12" t="s">
        <v>468</v>
      </c>
      <c r="Q1466" s="7" t="str">
        <f t="shared" si="67"/>
        <v>(1985,13,'1985.03.30',3,18,41,66,85,0),</v>
      </c>
      <c r="R1466" s="7" t="str">
        <f t="shared" si="69"/>
        <v>(1985,13,'1985.03.30',3,18,41,66,85),</v>
      </c>
    </row>
    <row r="1467" spans="1:18" x14ac:dyDescent="0.25">
      <c r="A1467" s="7" t="s">
        <v>5113</v>
      </c>
      <c r="B1467" s="8" t="s">
        <v>127</v>
      </c>
      <c r="C1467" s="10">
        <f t="shared" si="68"/>
        <v>31143</v>
      </c>
      <c r="D1467" t="s">
        <v>11</v>
      </c>
      <c r="E1467" t="s">
        <v>12</v>
      </c>
      <c r="F1467" t="s">
        <v>11</v>
      </c>
      <c r="G1467" t="s">
        <v>12</v>
      </c>
      <c r="H1467" t="s">
        <v>11</v>
      </c>
      <c r="I1467" t="s">
        <v>12</v>
      </c>
      <c r="J1467" t="s">
        <v>11</v>
      </c>
      <c r="K1467" t="s">
        <v>12</v>
      </c>
      <c r="L1467" s="12" t="s">
        <v>122</v>
      </c>
      <c r="M1467" s="12" t="s">
        <v>199</v>
      </c>
      <c r="N1467" s="12" t="s">
        <v>175</v>
      </c>
      <c r="O1467" s="12" t="s">
        <v>35</v>
      </c>
      <c r="P1467" s="12" t="s">
        <v>622</v>
      </c>
      <c r="Q1467" s="7" t="str">
        <f t="shared" si="67"/>
        <v>(1985,14,'1985.04.06',51,53,55,65,82,0),</v>
      </c>
      <c r="R1467" s="7" t="str">
        <f t="shared" si="69"/>
        <v>(1985,14,'1985.04.06',51,53,55,65,82),</v>
      </c>
    </row>
    <row r="1468" spans="1:18" x14ac:dyDescent="0.25">
      <c r="A1468" s="7" t="s">
        <v>5113</v>
      </c>
      <c r="B1468" s="8" t="s">
        <v>54</v>
      </c>
      <c r="C1468" s="10">
        <f t="shared" si="68"/>
        <v>31150</v>
      </c>
      <c r="D1468" t="s">
        <v>11</v>
      </c>
      <c r="E1468" t="s">
        <v>12</v>
      </c>
      <c r="F1468" t="s">
        <v>11</v>
      </c>
      <c r="G1468" t="s">
        <v>12</v>
      </c>
      <c r="H1468" t="s">
        <v>11</v>
      </c>
      <c r="I1468" t="s">
        <v>12</v>
      </c>
      <c r="J1468" t="s">
        <v>11</v>
      </c>
      <c r="K1468" t="s">
        <v>12</v>
      </c>
      <c r="L1468" s="12" t="s">
        <v>270</v>
      </c>
      <c r="M1468" s="12" t="s">
        <v>46</v>
      </c>
      <c r="N1468" s="12" t="s">
        <v>233</v>
      </c>
      <c r="O1468" s="12" t="s">
        <v>143</v>
      </c>
      <c r="P1468" s="12" t="s">
        <v>208</v>
      </c>
      <c r="Q1468" s="7" t="str">
        <f t="shared" si="67"/>
        <v>(1985,15,'1985.04.13',6,37,66,77,88,0),</v>
      </c>
      <c r="R1468" s="7" t="str">
        <f t="shared" si="69"/>
        <v>(1985,15,'1985.04.13',6,37,66,77,88),</v>
      </c>
    </row>
    <row r="1469" spans="1:18" x14ac:dyDescent="0.25">
      <c r="A1469" s="7" t="s">
        <v>5113</v>
      </c>
      <c r="B1469" s="8" t="s">
        <v>43</v>
      </c>
      <c r="C1469" s="10">
        <f t="shared" si="68"/>
        <v>31157</v>
      </c>
      <c r="D1469" t="s">
        <v>11</v>
      </c>
      <c r="E1469" t="s">
        <v>12</v>
      </c>
      <c r="F1469" t="s">
        <v>11</v>
      </c>
      <c r="G1469" t="s">
        <v>12</v>
      </c>
      <c r="H1469" t="s">
        <v>11</v>
      </c>
      <c r="I1469" t="s">
        <v>12</v>
      </c>
      <c r="J1469" t="s">
        <v>11</v>
      </c>
      <c r="K1469" t="s">
        <v>12</v>
      </c>
      <c r="L1469" s="12" t="s">
        <v>44</v>
      </c>
      <c r="M1469" s="12" t="s">
        <v>25</v>
      </c>
      <c r="N1469" s="12" t="s">
        <v>92</v>
      </c>
      <c r="O1469" s="12" t="s">
        <v>301</v>
      </c>
      <c r="P1469" s="12" t="s">
        <v>379</v>
      </c>
      <c r="Q1469" s="7" t="str">
        <f t="shared" si="67"/>
        <v>(1985,16,'1985.04.20',21,34,68,80,89,0),</v>
      </c>
      <c r="R1469" s="7" t="str">
        <f t="shared" si="69"/>
        <v>(1985,16,'1985.04.20',21,34,68,80,89),</v>
      </c>
    </row>
    <row r="1470" spans="1:18" x14ac:dyDescent="0.25">
      <c r="A1470" s="7" t="s">
        <v>5113</v>
      </c>
      <c r="B1470" s="8" t="s">
        <v>90</v>
      </c>
      <c r="C1470" s="10">
        <f t="shared" si="68"/>
        <v>31164</v>
      </c>
      <c r="D1470" t="s">
        <v>11</v>
      </c>
      <c r="E1470" t="s">
        <v>12</v>
      </c>
      <c r="F1470" t="s">
        <v>11</v>
      </c>
      <c r="G1470" t="s">
        <v>12</v>
      </c>
      <c r="H1470" t="s">
        <v>11</v>
      </c>
      <c r="I1470" t="s">
        <v>12</v>
      </c>
      <c r="J1470" t="s">
        <v>11</v>
      </c>
      <c r="K1470" t="s">
        <v>12</v>
      </c>
      <c r="L1470" s="12" t="s">
        <v>83</v>
      </c>
      <c r="M1470" s="12" t="s">
        <v>127</v>
      </c>
      <c r="N1470" s="12" t="s">
        <v>19</v>
      </c>
      <c r="O1470" s="12" t="s">
        <v>71</v>
      </c>
      <c r="P1470" s="12" t="s">
        <v>123</v>
      </c>
      <c r="Q1470" s="7" t="str">
        <f t="shared" si="67"/>
        <v>(1985,17,'1985.04.27',11,14,18,31,54,0),</v>
      </c>
      <c r="R1470" s="7" t="str">
        <f t="shared" si="69"/>
        <v>(1985,17,'1985.04.27',11,14,18,31,54),</v>
      </c>
    </row>
    <row r="1471" spans="1:18" x14ac:dyDescent="0.25">
      <c r="A1471" s="7" t="s">
        <v>5113</v>
      </c>
      <c r="B1471" s="8" t="s">
        <v>19</v>
      </c>
      <c r="C1471" s="10">
        <f t="shared" si="68"/>
        <v>31171</v>
      </c>
      <c r="D1471" t="s">
        <v>11</v>
      </c>
      <c r="E1471" t="s">
        <v>12</v>
      </c>
      <c r="F1471" t="s">
        <v>11</v>
      </c>
      <c r="G1471" t="s">
        <v>12</v>
      </c>
      <c r="H1471" t="s">
        <v>11</v>
      </c>
      <c r="I1471" t="s">
        <v>12</v>
      </c>
      <c r="J1471" t="s">
        <v>11</v>
      </c>
      <c r="K1471" t="s">
        <v>12</v>
      </c>
      <c r="L1471" s="12" t="s">
        <v>90</v>
      </c>
      <c r="M1471" s="12" t="s">
        <v>169</v>
      </c>
      <c r="N1471" s="12" t="s">
        <v>233</v>
      </c>
      <c r="O1471" s="12" t="s">
        <v>151</v>
      </c>
      <c r="P1471" s="12" t="s">
        <v>246</v>
      </c>
      <c r="Q1471" s="7" t="str">
        <f t="shared" si="67"/>
        <v>(1985,18,'1985.05.04',17,58,66,79,84,0),</v>
      </c>
      <c r="R1471" s="7" t="str">
        <f t="shared" si="69"/>
        <v>(1985,18,'1985.05.04',17,58,66,79,84),</v>
      </c>
    </row>
    <row r="1472" spans="1:18" x14ac:dyDescent="0.25">
      <c r="A1472" s="7" t="s">
        <v>5113</v>
      </c>
      <c r="B1472" s="8" t="s">
        <v>55</v>
      </c>
      <c r="C1472" s="10">
        <f t="shared" si="68"/>
        <v>31178</v>
      </c>
      <c r="D1472" t="s">
        <v>11</v>
      </c>
      <c r="E1472" t="s">
        <v>12</v>
      </c>
      <c r="F1472" t="s">
        <v>11</v>
      </c>
      <c r="G1472" t="s">
        <v>12</v>
      </c>
      <c r="H1472" t="s">
        <v>11</v>
      </c>
      <c r="I1472" t="s">
        <v>12</v>
      </c>
      <c r="J1472" t="s">
        <v>11</v>
      </c>
      <c r="K1472" t="s">
        <v>12</v>
      </c>
      <c r="L1472" s="12" t="s">
        <v>207</v>
      </c>
      <c r="M1472" s="12" t="s">
        <v>127</v>
      </c>
      <c r="N1472" s="12" t="s">
        <v>107</v>
      </c>
      <c r="O1472" s="12" t="s">
        <v>80</v>
      </c>
      <c r="P1472" s="12" t="s">
        <v>20</v>
      </c>
      <c r="Q1472" s="7" t="str">
        <f t="shared" si="67"/>
        <v>(1985,19,'1985.05.11',2,14,30,32,33,0),</v>
      </c>
      <c r="R1472" s="7" t="str">
        <f t="shared" si="69"/>
        <v>(1985,19,'1985.05.11',2,14,30,32,33),</v>
      </c>
    </row>
    <row r="1473" spans="1:18" x14ac:dyDescent="0.25">
      <c r="A1473" s="7" t="s">
        <v>5113</v>
      </c>
      <c r="B1473" s="8" t="s">
        <v>115</v>
      </c>
      <c r="C1473" s="10">
        <f t="shared" si="68"/>
        <v>31185</v>
      </c>
      <c r="D1473" t="s">
        <v>11</v>
      </c>
      <c r="E1473" t="s">
        <v>12</v>
      </c>
      <c r="F1473" t="s">
        <v>11</v>
      </c>
      <c r="G1473" t="s">
        <v>12</v>
      </c>
      <c r="H1473" t="s">
        <v>11</v>
      </c>
      <c r="I1473" t="s">
        <v>12</v>
      </c>
      <c r="J1473" t="s">
        <v>11</v>
      </c>
      <c r="K1473" t="s">
        <v>12</v>
      </c>
      <c r="L1473" s="12" t="s">
        <v>53</v>
      </c>
      <c r="M1473" s="12" t="s">
        <v>74</v>
      </c>
      <c r="N1473" s="12" t="s">
        <v>71</v>
      </c>
      <c r="O1473" s="12" t="s">
        <v>99</v>
      </c>
      <c r="P1473" s="12" t="s">
        <v>151</v>
      </c>
      <c r="Q1473" s="7" t="str">
        <f t="shared" si="67"/>
        <v>(1985,20,'1985.05.18',7,26,31,52,79,0),</v>
      </c>
      <c r="R1473" s="7" t="str">
        <f t="shared" si="69"/>
        <v>(1985,20,'1985.05.18',7,26,31,52,79),</v>
      </c>
    </row>
    <row r="1474" spans="1:18" x14ac:dyDescent="0.25">
      <c r="A1474" s="7" t="s">
        <v>5113</v>
      </c>
      <c r="B1474" s="8" t="s">
        <v>44</v>
      </c>
      <c r="C1474" s="10">
        <f t="shared" si="68"/>
        <v>31192</v>
      </c>
      <c r="D1474" t="s">
        <v>11</v>
      </c>
      <c r="E1474" t="s">
        <v>12</v>
      </c>
      <c r="F1474" t="s">
        <v>11</v>
      </c>
      <c r="G1474" t="s">
        <v>12</v>
      </c>
      <c r="H1474" t="s">
        <v>11</v>
      </c>
      <c r="I1474" t="s">
        <v>12</v>
      </c>
      <c r="J1474" t="s">
        <v>11</v>
      </c>
      <c r="K1474" t="s">
        <v>12</v>
      </c>
      <c r="L1474" s="12" t="s">
        <v>53</v>
      </c>
      <c r="M1474" s="12" t="s">
        <v>25</v>
      </c>
      <c r="N1474" s="12" t="s">
        <v>47</v>
      </c>
      <c r="O1474" s="12" t="s">
        <v>200</v>
      </c>
      <c r="P1474" s="12" t="s">
        <v>215</v>
      </c>
      <c r="Q1474" s="7" t="str">
        <f t="shared" ref="Q1474:Q1537" si="70">"("&amp;A1474&amp;","&amp;B1474&amp;",'"&amp;TEXT(C1474,"éééé.hh.nn")&amp;"',"&amp;L1474&amp;","&amp;M1474&amp;","&amp;N1474&amp;","&amp;O1474&amp;","&amp;P1474&amp;",0)"&amp;IF(P1475&lt;&gt;0,",","")</f>
        <v>(1985,21,'1985.05.25',7,34,69,70,81,0),</v>
      </c>
      <c r="R1474" s="7" t="str">
        <f t="shared" si="69"/>
        <v>(1985,21,'1985.05.25',7,34,69,70,81),</v>
      </c>
    </row>
    <row r="1475" spans="1:18" x14ac:dyDescent="0.25">
      <c r="A1475" s="7" t="s">
        <v>5113</v>
      </c>
      <c r="B1475" s="8" t="s">
        <v>32</v>
      </c>
      <c r="C1475" s="10">
        <f t="shared" ref="C1475:C1538" si="71">+C1474+7</f>
        <v>31199</v>
      </c>
      <c r="D1475" t="s">
        <v>11</v>
      </c>
      <c r="E1475" t="s">
        <v>12</v>
      </c>
      <c r="F1475" t="s">
        <v>11</v>
      </c>
      <c r="G1475" t="s">
        <v>12</v>
      </c>
      <c r="H1475" t="s">
        <v>11</v>
      </c>
      <c r="I1475" t="s">
        <v>12</v>
      </c>
      <c r="J1475" t="s">
        <v>11</v>
      </c>
      <c r="K1475" t="s">
        <v>12</v>
      </c>
      <c r="L1475" s="12" t="s">
        <v>32</v>
      </c>
      <c r="M1475" s="12" t="s">
        <v>107</v>
      </c>
      <c r="N1475" s="12" t="s">
        <v>80</v>
      </c>
      <c r="O1475" s="12" t="s">
        <v>123</v>
      </c>
      <c r="P1475" s="12" t="s">
        <v>248</v>
      </c>
      <c r="Q1475" s="7" t="str">
        <f t="shared" si="70"/>
        <v>(1985,22,'1985.06.01',22,30,32,54,63,0),</v>
      </c>
      <c r="R1475" s="7" t="str">
        <f t="shared" ref="R1475:R1538" si="72">IF(TRIM(P1475)="","","("&amp;A1475&amp;","&amp;B1475&amp;",'"&amp;TEXT(C1475,"éééé.hh.nn")&amp;"',"&amp;L1475&amp;","&amp;M1475&amp;","&amp;N1475&amp;","&amp;O1475&amp;","&amp;P1475&amp;")"&amp;IF(P1476=0,";",","))</f>
        <v>(1985,22,'1985.06.01',22,30,32,54,63),</v>
      </c>
    </row>
    <row r="1476" spans="1:18" x14ac:dyDescent="0.25">
      <c r="A1476" s="7" t="s">
        <v>5113</v>
      </c>
      <c r="B1476" s="8" t="s">
        <v>163</v>
      </c>
      <c r="C1476" s="10">
        <f t="shared" si="71"/>
        <v>31206</v>
      </c>
      <c r="D1476" t="s">
        <v>11</v>
      </c>
      <c r="E1476" t="s">
        <v>12</v>
      </c>
      <c r="F1476" t="s">
        <v>11</v>
      </c>
      <c r="G1476" t="s">
        <v>12</v>
      </c>
      <c r="H1476" t="s">
        <v>11</v>
      </c>
      <c r="I1476" t="s">
        <v>12</v>
      </c>
      <c r="J1476" t="s">
        <v>11</v>
      </c>
      <c r="K1476" t="s">
        <v>12</v>
      </c>
      <c r="L1476" s="12" t="s">
        <v>45</v>
      </c>
      <c r="M1476" s="12" t="s">
        <v>133</v>
      </c>
      <c r="N1476" s="12" t="s">
        <v>214</v>
      </c>
      <c r="O1476" s="12" t="s">
        <v>245</v>
      </c>
      <c r="P1476" s="12" t="s">
        <v>301</v>
      </c>
      <c r="Q1476" s="7" t="str">
        <f t="shared" si="70"/>
        <v>(1985,23,'1985.06.08',43,45,64,74,80,0),</v>
      </c>
      <c r="R1476" s="7" t="str">
        <f t="shared" si="72"/>
        <v>(1985,23,'1985.06.08',43,45,64,74,80),</v>
      </c>
    </row>
    <row r="1477" spans="1:18" x14ac:dyDescent="0.25">
      <c r="A1477" s="7" t="s">
        <v>5113</v>
      </c>
      <c r="B1477" s="8" t="s">
        <v>33</v>
      </c>
      <c r="C1477" s="10">
        <f t="shared" si="71"/>
        <v>31213</v>
      </c>
      <c r="D1477" t="s">
        <v>11</v>
      </c>
      <c r="E1477" t="s">
        <v>12</v>
      </c>
      <c r="F1477" t="s">
        <v>11</v>
      </c>
      <c r="G1477" t="s">
        <v>12</v>
      </c>
      <c r="H1477" t="s">
        <v>11</v>
      </c>
      <c r="I1477" t="s">
        <v>12</v>
      </c>
      <c r="J1477" t="s">
        <v>11</v>
      </c>
      <c r="K1477" t="s">
        <v>12</v>
      </c>
      <c r="L1477" s="12" t="s">
        <v>62</v>
      </c>
      <c r="M1477" s="12" t="s">
        <v>36</v>
      </c>
      <c r="N1477" s="12" t="s">
        <v>142</v>
      </c>
      <c r="O1477" s="12" t="s">
        <v>133</v>
      </c>
      <c r="P1477" s="12" t="s">
        <v>22</v>
      </c>
      <c r="Q1477" s="7" t="str">
        <f t="shared" si="70"/>
        <v>(1985,24,'1985.06.15',10,38,44,45,48,0),</v>
      </c>
      <c r="R1477" s="7" t="str">
        <f t="shared" si="72"/>
        <v>(1985,24,'1985.06.15',10,38,44,45,48),</v>
      </c>
    </row>
    <row r="1478" spans="1:18" x14ac:dyDescent="0.25">
      <c r="A1478" s="7" t="s">
        <v>5113</v>
      </c>
      <c r="B1478" s="8" t="s">
        <v>152</v>
      </c>
      <c r="C1478" s="10">
        <f t="shared" si="71"/>
        <v>31220</v>
      </c>
      <c r="D1478" t="s">
        <v>11</v>
      </c>
      <c r="E1478" t="s">
        <v>12</v>
      </c>
      <c r="F1478" t="s">
        <v>11</v>
      </c>
      <c r="G1478" t="s">
        <v>12</v>
      </c>
      <c r="H1478" t="s">
        <v>11</v>
      </c>
      <c r="I1478" t="s">
        <v>12</v>
      </c>
      <c r="J1478" t="s">
        <v>11</v>
      </c>
      <c r="K1478" t="s">
        <v>12</v>
      </c>
      <c r="L1478" s="12" t="s">
        <v>270</v>
      </c>
      <c r="M1478" s="12" t="s">
        <v>83</v>
      </c>
      <c r="N1478" s="12" t="s">
        <v>134</v>
      </c>
      <c r="O1478" s="12" t="s">
        <v>91</v>
      </c>
      <c r="P1478" s="12" t="s">
        <v>56</v>
      </c>
      <c r="Q1478" s="7" t="str">
        <f t="shared" si="70"/>
        <v>(1985,25,'1985.06.22',6,11,56,61,71,0),</v>
      </c>
      <c r="R1478" s="7" t="str">
        <f t="shared" si="72"/>
        <v>(1985,25,'1985.06.22',6,11,56,61,71),</v>
      </c>
    </row>
    <row r="1479" spans="1:18" x14ac:dyDescent="0.25">
      <c r="A1479" s="7" t="s">
        <v>5113</v>
      </c>
      <c r="B1479" s="8" t="s">
        <v>74</v>
      </c>
      <c r="C1479" s="10">
        <f t="shared" si="71"/>
        <v>31227</v>
      </c>
      <c r="D1479" t="s">
        <v>11</v>
      </c>
      <c r="E1479" t="s">
        <v>12</v>
      </c>
      <c r="F1479" t="s">
        <v>11</v>
      </c>
      <c r="G1479" t="s">
        <v>12</v>
      </c>
      <c r="H1479" t="s">
        <v>11</v>
      </c>
      <c r="I1479" t="s">
        <v>12</v>
      </c>
      <c r="J1479" t="s">
        <v>11</v>
      </c>
      <c r="K1479" t="s">
        <v>12</v>
      </c>
      <c r="L1479" s="12" t="s">
        <v>42</v>
      </c>
      <c r="M1479" s="12" t="s">
        <v>90</v>
      </c>
      <c r="N1479" s="12" t="s">
        <v>19</v>
      </c>
      <c r="O1479" s="12" t="s">
        <v>20</v>
      </c>
      <c r="P1479" s="12" t="s">
        <v>208</v>
      </c>
      <c r="Q1479" s="7" t="str">
        <f t="shared" si="70"/>
        <v>(1985,26,'1985.06.29',3,17,18,33,88,0),</v>
      </c>
      <c r="R1479" s="7" t="str">
        <f t="shared" si="72"/>
        <v>(1985,26,'1985.06.29',3,17,18,33,88),</v>
      </c>
    </row>
    <row r="1480" spans="1:18" x14ac:dyDescent="0.25">
      <c r="A1480" s="7" t="s">
        <v>5113</v>
      </c>
      <c r="B1480" s="8" t="s">
        <v>135</v>
      </c>
      <c r="C1480" s="10">
        <f t="shared" si="71"/>
        <v>31234</v>
      </c>
      <c r="D1480" t="s">
        <v>11</v>
      </c>
      <c r="E1480" t="s">
        <v>12</v>
      </c>
      <c r="F1480" t="s">
        <v>11</v>
      </c>
      <c r="G1480" t="s">
        <v>12</v>
      </c>
      <c r="H1480" t="s">
        <v>11</v>
      </c>
      <c r="I1480" t="s">
        <v>12</v>
      </c>
      <c r="J1480" t="s">
        <v>11</v>
      </c>
      <c r="K1480" t="s">
        <v>12</v>
      </c>
      <c r="L1480" s="12" t="s">
        <v>31</v>
      </c>
      <c r="M1480" s="12" t="s">
        <v>45</v>
      </c>
      <c r="N1480" s="12" t="s">
        <v>192</v>
      </c>
      <c r="O1480" s="12" t="s">
        <v>22</v>
      </c>
      <c r="P1480" s="12" t="s">
        <v>23</v>
      </c>
      <c r="Q1480" s="7" t="str">
        <f t="shared" si="70"/>
        <v>(1985,27,'1985.07.06',12,43,46,48,60,0),</v>
      </c>
      <c r="R1480" s="7" t="str">
        <f t="shared" si="72"/>
        <v>(1985,27,'1985.07.06',12,43,46,48,60),</v>
      </c>
    </row>
    <row r="1481" spans="1:18" x14ac:dyDescent="0.25">
      <c r="A1481" s="7" t="s">
        <v>5113</v>
      </c>
      <c r="B1481" s="8" t="s">
        <v>126</v>
      </c>
      <c r="C1481" s="10">
        <f t="shared" si="71"/>
        <v>31241</v>
      </c>
      <c r="D1481" t="s">
        <v>11</v>
      </c>
      <c r="E1481" t="s">
        <v>12</v>
      </c>
      <c r="F1481" t="s">
        <v>11</v>
      </c>
      <c r="G1481" t="s">
        <v>12</v>
      </c>
      <c r="H1481" t="s">
        <v>11</v>
      </c>
      <c r="I1481" t="s">
        <v>12</v>
      </c>
      <c r="J1481" t="s">
        <v>11</v>
      </c>
      <c r="K1481" t="s">
        <v>12</v>
      </c>
      <c r="L1481" s="12" t="s">
        <v>115</v>
      </c>
      <c r="M1481" s="12" t="s">
        <v>56</v>
      </c>
      <c r="N1481" s="12" t="s">
        <v>73</v>
      </c>
      <c r="O1481" s="12" t="s">
        <v>269</v>
      </c>
      <c r="P1481" s="12" t="s">
        <v>186</v>
      </c>
      <c r="Q1481" s="7" t="str">
        <f t="shared" si="70"/>
        <v>(1985,28,'1985.07.13',20,71,76,87,90,0),</v>
      </c>
      <c r="R1481" s="7" t="str">
        <f t="shared" si="72"/>
        <v>(1985,28,'1985.07.13',20,71,76,87,90),</v>
      </c>
    </row>
    <row r="1482" spans="1:18" x14ac:dyDescent="0.25">
      <c r="A1482" s="7" t="s">
        <v>5113</v>
      </c>
      <c r="B1482" s="8" t="s">
        <v>116</v>
      </c>
      <c r="C1482" s="10">
        <f t="shared" si="71"/>
        <v>31248</v>
      </c>
      <c r="D1482" t="s">
        <v>11</v>
      </c>
      <c r="E1482" t="s">
        <v>12</v>
      </c>
      <c r="F1482" t="s">
        <v>11</v>
      </c>
      <c r="G1482" t="s">
        <v>12</v>
      </c>
      <c r="H1482" t="s">
        <v>11</v>
      </c>
      <c r="I1482" t="s">
        <v>12</v>
      </c>
      <c r="J1482" t="s">
        <v>11</v>
      </c>
      <c r="K1482" t="s">
        <v>12</v>
      </c>
      <c r="L1482" s="12" t="s">
        <v>108</v>
      </c>
      <c r="M1482" s="12" t="s">
        <v>207</v>
      </c>
      <c r="N1482" s="12" t="s">
        <v>82</v>
      </c>
      <c r="O1482" s="12" t="s">
        <v>468</v>
      </c>
      <c r="P1482" s="12" t="s">
        <v>208</v>
      </c>
      <c r="Q1482" s="7" t="str">
        <f t="shared" si="70"/>
        <v>(1985,29,'1985.07.20',1,2,59,85,88,0),</v>
      </c>
      <c r="R1482" s="7" t="str">
        <f t="shared" si="72"/>
        <v>(1985,29,'1985.07.20',1,2,59,85,88),</v>
      </c>
    </row>
    <row r="1483" spans="1:18" x14ac:dyDescent="0.25">
      <c r="A1483" s="7" t="s">
        <v>5113</v>
      </c>
      <c r="B1483" s="8" t="s">
        <v>107</v>
      </c>
      <c r="C1483" s="10">
        <f t="shared" si="71"/>
        <v>31255</v>
      </c>
      <c r="D1483" t="s">
        <v>11</v>
      </c>
      <c r="E1483" t="s">
        <v>12</v>
      </c>
      <c r="F1483" t="s">
        <v>11</v>
      </c>
      <c r="G1483" t="s">
        <v>12</v>
      </c>
      <c r="H1483" t="s">
        <v>11</v>
      </c>
      <c r="I1483" t="s">
        <v>12</v>
      </c>
      <c r="J1483" t="s">
        <v>11</v>
      </c>
      <c r="K1483" t="s">
        <v>12</v>
      </c>
      <c r="L1483" s="12" t="s">
        <v>198</v>
      </c>
      <c r="M1483" s="12" t="s">
        <v>31</v>
      </c>
      <c r="N1483" s="12" t="s">
        <v>32</v>
      </c>
      <c r="O1483" s="12" t="s">
        <v>10</v>
      </c>
      <c r="P1483" s="12" t="s">
        <v>208</v>
      </c>
      <c r="Q1483" s="7" t="str">
        <f t="shared" si="70"/>
        <v>(1985,30,'1985.07.27',9,12,22,40,88,0),</v>
      </c>
      <c r="R1483" s="7" t="str">
        <f t="shared" si="72"/>
        <v>(1985,30,'1985.07.27',9,12,22,40,88),</v>
      </c>
    </row>
    <row r="1484" spans="1:18" x14ac:dyDescent="0.25">
      <c r="A1484" s="7" t="s">
        <v>5113</v>
      </c>
      <c r="B1484" s="8" t="s">
        <v>71</v>
      </c>
      <c r="C1484" s="10">
        <f t="shared" si="71"/>
        <v>31262</v>
      </c>
      <c r="D1484" t="s">
        <v>11</v>
      </c>
      <c r="E1484" t="s">
        <v>12</v>
      </c>
      <c r="F1484" t="s">
        <v>11</v>
      </c>
      <c r="G1484" t="s">
        <v>12</v>
      </c>
      <c r="H1484" t="s">
        <v>11</v>
      </c>
      <c r="I1484" t="s">
        <v>12</v>
      </c>
      <c r="J1484" t="s">
        <v>11</v>
      </c>
      <c r="K1484" t="s">
        <v>12</v>
      </c>
      <c r="L1484" s="12" t="s">
        <v>115</v>
      </c>
      <c r="M1484" s="12" t="s">
        <v>80</v>
      </c>
      <c r="N1484" s="12" t="s">
        <v>47</v>
      </c>
      <c r="O1484" s="12" t="s">
        <v>106</v>
      </c>
      <c r="P1484" s="12" t="s">
        <v>63</v>
      </c>
      <c r="Q1484" s="7" t="str">
        <f t="shared" si="70"/>
        <v>(1985,31,'1985.08.03',20,32,69,75,78,0),</v>
      </c>
      <c r="R1484" s="7" t="str">
        <f t="shared" si="72"/>
        <v>(1985,31,'1985.08.03',20,32,69,75,78),</v>
      </c>
    </row>
    <row r="1485" spans="1:18" x14ac:dyDescent="0.25">
      <c r="A1485" s="7" t="s">
        <v>5113</v>
      </c>
      <c r="B1485" s="8" t="s">
        <v>80</v>
      </c>
      <c r="C1485" s="10">
        <f t="shared" si="71"/>
        <v>31269</v>
      </c>
      <c r="D1485" t="s">
        <v>11</v>
      </c>
      <c r="E1485" t="s">
        <v>12</v>
      </c>
      <c r="F1485" t="s">
        <v>11</v>
      </c>
      <c r="G1485" t="s">
        <v>12</v>
      </c>
      <c r="H1485" t="s">
        <v>11</v>
      </c>
      <c r="I1485" t="s">
        <v>12</v>
      </c>
      <c r="J1485" t="s">
        <v>11</v>
      </c>
      <c r="K1485" t="s">
        <v>12</v>
      </c>
      <c r="L1485" s="12" t="s">
        <v>207</v>
      </c>
      <c r="M1485" s="12" t="s">
        <v>232</v>
      </c>
      <c r="N1485" s="12" t="s">
        <v>80</v>
      </c>
      <c r="O1485" s="12" t="s">
        <v>106</v>
      </c>
      <c r="P1485" s="12" t="s">
        <v>215</v>
      </c>
      <c r="Q1485" s="7" t="str">
        <f t="shared" si="70"/>
        <v>(1985,32,'1985.08.10',2,8,32,75,81,0),</v>
      </c>
      <c r="R1485" s="7" t="str">
        <f t="shared" si="72"/>
        <v>(1985,32,'1985.08.10',2,8,32,75,81),</v>
      </c>
    </row>
    <row r="1486" spans="1:18" x14ac:dyDescent="0.25">
      <c r="A1486" s="7" t="s">
        <v>5113</v>
      </c>
      <c r="B1486" s="8" t="s">
        <v>20</v>
      </c>
      <c r="C1486" s="10">
        <f t="shared" si="71"/>
        <v>31276</v>
      </c>
      <c r="D1486" t="s">
        <v>11</v>
      </c>
      <c r="E1486" t="s">
        <v>12</v>
      </c>
      <c r="F1486" t="s">
        <v>11</v>
      </c>
      <c r="G1486" t="s">
        <v>12</v>
      </c>
      <c r="H1486" t="s">
        <v>11</v>
      </c>
      <c r="I1486" t="s">
        <v>12</v>
      </c>
      <c r="J1486" t="s">
        <v>11</v>
      </c>
      <c r="K1486" t="s">
        <v>12</v>
      </c>
      <c r="L1486" s="12" t="s">
        <v>89</v>
      </c>
      <c r="M1486" s="12" t="s">
        <v>46</v>
      </c>
      <c r="N1486" s="12" t="s">
        <v>105</v>
      </c>
      <c r="O1486" s="12" t="s">
        <v>150</v>
      </c>
      <c r="P1486" s="12" t="s">
        <v>468</v>
      </c>
      <c r="Q1486" s="7" t="str">
        <f t="shared" si="70"/>
        <v>(1985,33,'1985.08.17',5,37,50,57,85,0),</v>
      </c>
      <c r="R1486" s="7" t="str">
        <f t="shared" si="72"/>
        <v>(1985,33,'1985.08.17',5,37,50,57,85),</v>
      </c>
    </row>
    <row r="1487" spans="1:18" x14ac:dyDescent="0.25">
      <c r="A1487" s="7" t="s">
        <v>5113</v>
      </c>
      <c r="B1487" s="8" t="s">
        <v>25</v>
      </c>
      <c r="C1487" s="10">
        <f t="shared" si="71"/>
        <v>31283</v>
      </c>
      <c r="D1487" t="s">
        <v>11</v>
      </c>
      <c r="E1487" t="s">
        <v>12</v>
      </c>
      <c r="F1487" t="s">
        <v>11</v>
      </c>
      <c r="G1487" t="s">
        <v>12</v>
      </c>
      <c r="H1487" t="s">
        <v>11</v>
      </c>
      <c r="I1487" t="s">
        <v>12</v>
      </c>
      <c r="J1487" t="s">
        <v>11</v>
      </c>
      <c r="K1487" t="s">
        <v>12</v>
      </c>
      <c r="L1487" s="12" t="s">
        <v>142</v>
      </c>
      <c r="M1487" s="12" t="s">
        <v>34</v>
      </c>
      <c r="N1487" s="12" t="s">
        <v>233</v>
      </c>
      <c r="O1487" s="12" t="s">
        <v>201</v>
      </c>
      <c r="P1487" s="12" t="s">
        <v>379</v>
      </c>
      <c r="Q1487" s="7" t="str">
        <f t="shared" si="70"/>
        <v>(1985,34,'1985.08.24',44,49,66,72,89,0),</v>
      </c>
      <c r="R1487" s="7" t="str">
        <f t="shared" si="72"/>
        <v>(1985,34,'1985.08.24',44,49,66,72,89),</v>
      </c>
    </row>
    <row r="1488" spans="1:18" x14ac:dyDescent="0.25">
      <c r="A1488" s="7" t="s">
        <v>5113</v>
      </c>
      <c r="B1488" s="8" t="s">
        <v>64</v>
      </c>
      <c r="C1488" s="10">
        <f t="shared" si="71"/>
        <v>31290</v>
      </c>
      <c r="D1488" t="s">
        <v>11</v>
      </c>
      <c r="E1488" t="s">
        <v>12</v>
      </c>
      <c r="F1488" t="s">
        <v>11</v>
      </c>
      <c r="G1488" t="s">
        <v>12</v>
      </c>
      <c r="H1488" t="s">
        <v>11</v>
      </c>
      <c r="I1488" t="s">
        <v>12</v>
      </c>
      <c r="J1488" t="s">
        <v>11</v>
      </c>
      <c r="K1488" t="s">
        <v>12</v>
      </c>
      <c r="L1488" s="12" t="s">
        <v>42</v>
      </c>
      <c r="M1488" s="12" t="s">
        <v>55</v>
      </c>
      <c r="N1488" s="12" t="s">
        <v>36</v>
      </c>
      <c r="O1488" s="12" t="s">
        <v>13</v>
      </c>
      <c r="P1488" s="12" t="s">
        <v>143</v>
      </c>
      <c r="Q1488" s="7" t="str">
        <f t="shared" si="70"/>
        <v>(1985,35,'1985.08.31',3,19,38,41,77,0),</v>
      </c>
      <c r="R1488" s="7" t="str">
        <f t="shared" si="72"/>
        <v>(1985,35,'1985.08.31',3,19,38,41,77),</v>
      </c>
    </row>
    <row r="1489" spans="1:18" x14ac:dyDescent="0.25">
      <c r="A1489" s="7" t="s">
        <v>5113</v>
      </c>
      <c r="B1489" s="8" t="s">
        <v>21</v>
      </c>
      <c r="C1489" s="10">
        <f t="shared" si="71"/>
        <v>31297</v>
      </c>
      <c r="D1489" t="s">
        <v>11</v>
      </c>
      <c r="E1489" t="s">
        <v>12</v>
      </c>
      <c r="F1489" t="s">
        <v>11</v>
      </c>
      <c r="G1489" t="s">
        <v>12</v>
      </c>
      <c r="H1489" t="s">
        <v>11</v>
      </c>
      <c r="I1489" t="s">
        <v>12</v>
      </c>
      <c r="J1489" t="s">
        <v>11</v>
      </c>
      <c r="K1489" t="s">
        <v>12</v>
      </c>
      <c r="L1489" s="12" t="s">
        <v>53</v>
      </c>
      <c r="M1489" s="12" t="s">
        <v>43</v>
      </c>
      <c r="N1489" s="12" t="s">
        <v>90</v>
      </c>
      <c r="O1489" s="12" t="s">
        <v>72</v>
      </c>
      <c r="P1489" s="12" t="s">
        <v>239</v>
      </c>
      <c r="Q1489" s="7" t="str">
        <f t="shared" si="70"/>
        <v>(1985,36,'1985.09.07',7,16,17,67,73,0),</v>
      </c>
      <c r="R1489" s="7" t="str">
        <f t="shared" si="72"/>
        <v>(1985,36,'1985.09.07',7,16,17,67,73),</v>
      </c>
    </row>
    <row r="1490" spans="1:18" x14ac:dyDescent="0.25">
      <c r="A1490" s="7" t="s">
        <v>5113</v>
      </c>
      <c r="B1490" s="8" t="s">
        <v>46</v>
      </c>
      <c r="C1490" s="10">
        <f t="shared" si="71"/>
        <v>31304</v>
      </c>
      <c r="D1490" t="s">
        <v>11</v>
      </c>
      <c r="E1490" t="s">
        <v>12</v>
      </c>
      <c r="F1490" t="s">
        <v>11</v>
      </c>
      <c r="G1490" t="s">
        <v>12</v>
      </c>
      <c r="H1490" t="s">
        <v>11</v>
      </c>
      <c r="I1490" t="s">
        <v>12</v>
      </c>
      <c r="J1490" t="s">
        <v>11</v>
      </c>
      <c r="K1490" t="s">
        <v>12</v>
      </c>
      <c r="L1490" s="12" t="s">
        <v>207</v>
      </c>
      <c r="M1490" s="12" t="s">
        <v>20</v>
      </c>
      <c r="N1490" s="12" t="s">
        <v>13</v>
      </c>
      <c r="O1490" s="12" t="s">
        <v>47</v>
      </c>
      <c r="P1490" s="12" t="s">
        <v>239</v>
      </c>
      <c r="Q1490" s="7" t="str">
        <f t="shared" si="70"/>
        <v>(1985,37,'1985.09.14',2,33,41,69,73,0),</v>
      </c>
      <c r="R1490" s="7" t="str">
        <f t="shared" si="72"/>
        <v>(1985,37,'1985.09.14',2,33,41,69,73),</v>
      </c>
    </row>
    <row r="1491" spans="1:18" x14ac:dyDescent="0.25">
      <c r="A1491" s="7" t="s">
        <v>5113</v>
      </c>
      <c r="B1491" s="8" t="s">
        <v>36</v>
      </c>
      <c r="C1491" s="10">
        <f t="shared" si="71"/>
        <v>31311</v>
      </c>
      <c r="D1491" t="s">
        <v>11</v>
      </c>
      <c r="E1491" t="s">
        <v>12</v>
      </c>
      <c r="F1491" t="s">
        <v>11</v>
      </c>
      <c r="G1491" t="s">
        <v>12</v>
      </c>
      <c r="H1491" t="s">
        <v>11</v>
      </c>
      <c r="I1491" t="s">
        <v>12</v>
      </c>
      <c r="J1491" t="s">
        <v>11</v>
      </c>
      <c r="K1491" t="s">
        <v>12</v>
      </c>
      <c r="L1491" s="12" t="s">
        <v>198</v>
      </c>
      <c r="M1491" s="12" t="s">
        <v>192</v>
      </c>
      <c r="N1491" s="12" t="s">
        <v>134</v>
      </c>
      <c r="O1491" s="12" t="s">
        <v>215</v>
      </c>
      <c r="P1491" s="12" t="s">
        <v>246</v>
      </c>
      <c r="Q1491" s="7" t="str">
        <f t="shared" si="70"/>
        <v>(1985,38,'1985.09.21',9,46,56,81,84,0),</v>
      </c>
      <c r="R1491" s="7" t="str">
        <f t="shared" si="72"/>
        <v>(1985,38,'1985.09.21',9,46,56,81,84),</v>
      </c>
    </row>
    <row r="1492" spans="1:18" x14ac:dyDescent="0.25">
      <c r="A1492" s="7" t="s">
        <v>5113</v>
      </c>
      <c r="B1492" s="8" t="s">
        <v>24</v>
      </c>
      <c r="C1492" s="10">
        <f t="shared" si="71"/>
        <v>31318</v>
      </c>
      <c r="D1492" t="s">
        <v>11</v>
      </c>
      <c r="E1492" t="s">
        <v>12</v>
      </c>
      <c r="F1492" t="s">
        <v>11</v>
      </c>
      <c r="G1492" t="s">
        <v>12</v>
      </c>
      <c r="H1492" t="s">
        <v>11</v>
      </c>
      <c r="I1492" t="s">
        <v>12</v>
      </c>
      <c r="J1492" t="s">
        <v>11</v>
      </c>
      <c r="K1492" t="s">
        <v>12</v>
      </c>
      <c r="L1492" s="12" t="s">
        <v>270</v>
      </c>
      <c r="M1492" s="12" t="s">
        <v>44</v>
      </c>
      <c r="N1492" s="12" t="s">
        <v>74</v>
      </c>
      <c r="O1492" s="12" t="s">
        <v>134</v>
      </c>
      <c r="P1492" s="12" t="s">
        <v>150</v>
      </c>
      <c r="Q1492" s="7" t="str">
        <f t="shared" si="70"/>
        <v>(1985,39,'1985.09.28',6,21,26,56,57,0),</v>
      </c>
      <c r="R1492" s="7" t="str">
        <f t="shared" si="72"/>
        <v>(1985,39,'1985.09.28',6,21,26,56,57),</v>
      </c>
    </row>
    <row r="1493" spans="1:18" x14ac:dyDescent="0.25">
      <c r="A1493" s="7" t="s">
        <v>5113</v>
      </c>
      <c r="B1493" s="8" t="s">
        <v>10</v>
      </c>
      <c r="C1493" s="10">
        <f t="shared" si="71"/>
        <v>31325</v>
      </c>
      <c r="D1493" t="s">
        <v>11</v>
      </c>
      <c r="E1493" t="s">
        <v>12</v>
      </c>
      <c r="F1493" t="s">
        <v>11</v>
      </c>
      <c r="G1493" t="s">
        <v>12</v>
      </c>
      <c r="H1493" t="s">
        <v>11</v>
      </c>
      <c r="I1493" t="s">
        <v>12</v>
      </c>
      <c r="J1493" t="s">
        <v>11</v>
      </c>
      <c r="K1493" t="s">
        <v>12</v>
      </c>
      <c r="L1493" s="12" t="s">
        <v>31</v>
      </c>
      <c r="M1493" s="12" t="s">
        <v>33</v>
      </c>
      <c r="N1493" s="12" t="s">
        <v>169</v>
      </c>
      <c r="O1493" s="12" t="s">
        <v>92</v>
      </c>
      <c r="P1493" s="12" t="s">
        <v>143</v>
      </c>
      <c r="Q1493" s="7" t="str">
        <f t="shared" si="70"/>
        <v>(1985,40,'1985.10.05',12,24,58,68,77,0),</v>
      </c>
      <c r="R1493" s="7" t="str">
        <f t="shared" si="72"/>
        <v>(1985,40,'1985.10.05',12,24,58,68,77),</v>
      </c>
    </row>
    <row r="1494" spans="1:18" x14ac:dyDescent="0.25">
      <c r="A1494" s="7" t="s">
        <v>5113</v>
      </c>
      <c r="B1494" s="8" t="s">
        <v>13</v>
      </c>
      <c r="C1494" s="10">
        <f t="shared" si="71"/>
        <v>31332</v>
      </c>
      <c r="D1494" t="s">
        <v>11</v>
      </c>
      <c r="E1494" t="s">
        <v>12</v>
      </c>
      <c r="F1494" t="s">
        <v>11</v>
      </c>
      <c r="G1494" t="s">
        <v>12</v>
      </c>
      <c r="H1494" t="s">
        <v>11</v>
      </c>
      <c r="I1494" t="s">
        <v>12</v>
      </c>
      <c r="J1494" t="s">
        <v>11</v>
      </c>
      <c r="K1494" t="s">
        <v>12</v>
      </c>
      <c r="L1494" s="12" t="s">
        <v>168</v>
      </c>
      <c r="M1494" s="12" t="s">
        <v>90</v>
      </c>
      <c r="N1494" s="12" t="s">
        <v>192</v>
      </c>
      <c r="O1494" s="12" t="s">
        <v>22</v>
      </c>
      <c r="P1494" s="12" t="s">
        <v>106</v>
      </c>
      <c r="Q1494" s="7" t="str">
        <f t="shared" si="70"/>
        <v>(1985,41,'1985.10.12',4,17,46,48,75,0),</v>
      </c>
      <c r="R1494" s="7" t="str">
        <f t="shared" si="72"/>
        <v>(1985,41,'1985.10.12',4,17,46,48,75),</v>
      </c>
    </row>
    <row r="1495" spans="1:18" x14ac:dyDescent="0.25">
      <c r="A1495" s="7" t="s">
        <v>5113</v>
      </c>
      <c r="B1495" s="8" t="s">
        <v>98</v>
      </c>
      <c r="C1495" s="10">
        <f t="shared" si="71"/>
        <v>31339</v>
      </c>
      <c r="D1495" t="s">
        <v>11</v>
      </c>
      <c r="E1495" t="s">
        <v>12</v>
      </c>
      <c r="F1495" t="s">
        <v>11</v>
      </c>
      <c r="G1495" t="s">
        <v>12</v>
      </c>
      <c r="H1495" t="s">
        <v>11</v>
      </c>
      <c r="I1495" t="s">
        <v>12</v>
      </c>
      <c r="J1495" t="s">
        <v>11</v>
      </c>
      <c r="K1495" t="s">
        <v>12</v>
      </c>
      <c r="L1495" s="12" t="s">
        <v>270</v>
      </c>
      <c r="M1495" s="12" t="s">
        <v>31</v>
      </c>
      <c r="N1495" s="12" t="s">
        <v>54</v>
      </c>
      <c r="O1495" s="12" t="s">
        <v>13</v>
      </c>
      <c r="P1495" s="12" t="s">
        <v>199</v>
      </c>
      <c r="Q1495" s="7" t="str">
        <f t="shared" si="70"/>
        <v>(1985,42,'1985.10.19',6,12,15,41,53,0),</v>
      </c>
      <c r="R1495" s="7" t="str">
        <f t="shared" si="72"/>
        <v>(1985,42,'1985.10.19',6,12,15,41,53),</v>
      </c>
    </row>
    <row r="1496" spans="1:18" x14ac:dyDescent="0.25">
      <c r="A1496" s="7" t="s">
        <v>5113</v>
      </c>
      <c r="B1496" s="8" t="s">
        <v>45</v>
      </c>
      <c r="C1496" s="10">
        <f t="shared" si="71"/>
        <v>31346</v>
      </c>
      <c r="D1496" t="s">
        <v>11</v>
      </c>
      <c r="E1496" t="s">
        <v>12</v>
      </c>
      <c r="F1496" t="s">
        <v>11</v>
      </c>
      <c r="G1496" t="s">
        <v>12</v>
      </c>
      <c r="H1496" t="s">
        <v>11</v>
      </c>
      <c r="I1496" t="s">
        <v>12</v>
      </c>
      <c r="J1496" t="s">
        <v>11</v>
      </c>
      <c r="K1496" t="s">
        <v>12</v>
      </c>
      <c r="L1496" s="12" t="s">
        <v>71</v>
      </c>
      <c r="M1496" s="12" t="s">
        <v>80</v>
      </c>
      <c r="N1496" s="12" t="s">
        <v>10</v>
      </c>
      <c r="O1496" s="12" t="s">
        <v>150</v>
      </c>
      <c r="P1496" s="12" t="s">
        <v>72</v>
      </c>
      <c r="Q1496" s="7" t="str">
        <f t="shared" si="70"/>
        <v>(1985,43,'1985.10.26',31,32,40,57,67,0),</v>
      </c>
      <c r="R1496" s="7" t="str">
        <f t="shared" si="72"/>
        <v>(1985,43,'1985.10.26',31,32,40,57,67),</v>
      </c>
    </row>
    <row r="1497" spans="1:18" x14ac:dyDescent="0.25">
      <c r="A1497" s="7" t="s">
        <v>5113</v>
      </c>
      <c r="B1497" s="8" t="s">
        <v>142</v>
      </c>
      <c r="C1497" s="10">
        <f t="shared" si="71"/>
        <v>31353</v>
      </c>
      <c r="D1497" t="s">
        <v>11</v>
      </c>
      <c r="E1497" t="s">
        <v>12</v>
      </c>
      <c r="F1497" t="s">
        <v>11</v>
      </c>
      <c r="G1497" t="s">
        <v>12</v>
      </c>
      <c r="H1497" t="s">
        <v>11</v>
      </c>
      <c r="I1497" t="s">
        <v>12</v>
      </c>
      <c r="J1497" t="s">
        <v>11</v>
      </c>
      <c r="K1497" t="s">
        <v>12</v>
      </c>
      <c r="L1497" s="12" t="s">
        <v>33</v>
      </c>
      <c r="M1497" s="12" t="s">
        <v>46</v>
      </c>
      <c r="N1497" s="12" t="s">
        <v>23</v>
      </c>
      <c r="O1497" s="12" t="s">
        <v>47</v>
      </c>
      <c r="P1497" s="12" t="s">
        <v>63</v>
      </c>
      <c r="Q1497" s="7" t="str">
        <f t="shared" si="70"/>
        <v>(1985,44,'1985.11.02',24,37,60,69,78,0),</v>
      </c>
      <c r="R1497" s="7" t="str">
        <f t="shared" si="72"/>
        <v>(1985,44,'1985.11.02',24,37,60,69,78),</v>
      </c>
    </row>
    <row r="1498" spans="1:18" x14ac:dyDescent="0.25">
      <c r="A1498" s="7" t="s">
        <v>5113</v>
      </c>
      <c r="B1498" s="8" t="s">
        <v>133</v>
      </c>
      <c r="C1498" s="10">
        <f t="shared" si="71"/>
        <v>31360</v>
      </c>
      <c r="D1498" t="s">
        <v>11</v>
      </c>
      <c r="E1498" t="s">
        <v>12</v>
      </c>
      <c r="F1498" t="s">
        <v>11</v>
      </c>
      <c r="G1498" t="s">
        <v>12</v>
      </c>
      <c r="H1498" t="s">
        <v>11</v>
      </c>
      <c r="I1498" t="s">
        <v>12</v>
      </c>
      <c r="J1498" t="s">
        <v>11</v>
      </c>
      <c r="K1498" t="s">
        <v>12</v>
      </c>
      <c r="L1498" s="12" t="s">
        <v>65</v>
      </c>
      <c r="M1498" s="12" t="s">
        <v>25</v>
      </c>
      <c r="N1498" s="12" t="s">
        <v>214</v>
      </c>
      <c r="O1498" s="12" t="s">
        <v>47</v>
      </c>
      <c r="P1498" s="12" t="s">
        <v>622</v>
      </c>
      <c r="Q1498" s="7" t="str">
        <f t="shared" si="70"/>
        <v>(1985,45,'1985.11.09',13,34,64,69,82,0),</v>
      </c>
      <c r="R1498" s="7" t="str">
        <f t="shared" si="72"/>
        <v>(1985,45,'1985.11.09',13,34,64,69,82),</v>
      </c>
    </row>
    <row r="1499" spans="1:18" x14ac:dyDescent="0.25">
      <c r="A1499" s="7" t="s">
        <v>5113</v>
      </c>
      <c r="B1499" s="8" t="s">
        <v>192</v>
      </c>
      <c r="C1499" s="10">
        <f t="shared" si="71"/>
        <v>31367</v>
      </c>
      <c r="D1499" t="s">
        <v>11</v>
      </c>
      <c r="E1499" t="s">
        <v>12</v>
      </c>
      <c r="F1499" t="s">
        <v>11</v>
      </c>
      <c r="G1499" t="s">
        <v>12</v>
      </c>
      <c r="H1499" t="s">
        <v>11</v>
      </c>
      <c r="I1499" t="s">
        <v>12</v>
      </c>
      <c r="J1499" t="s">
        <v>11</v>
      </c>
      <c r="K1499" t="s">
        <v>12</v>
      </c>
      <c r="L1499" s="12" t="s">
        <v>270</v>
      </c>
      <c r="M1499" s="12" t="s">
        <v>62</v>
      </c>
      <c r="N1499" s="12" t="s">
        <v>99</v>
      </c>
      <c r="O1499" s="12" t="s">
        <v>150</v>
      </c>
      <c r="P1499" s="12" t="s">
        <v>468</v>
      </c>
      <c r="Q1499" s="7" t="str">
        <f t="shared" si="70"/>
        <v>(1985,46,'1985.11.16',6,10,52,57,85,0),</v>
      </c>
      <c r="R1499" s="7" t="str">
        <f t="shared" si="72"/>
        <v>(1985,46,'1985.11.16',6,10,52,57,85),</v>
      </c>
    </row>
    <row r="1500" spans="1:18" x14ac:dyDescent="0.25">
      <c r="A1500" s="7" t="s">
        <v>5113</v>
      </c>
      <c r="B1500" s="8" t="s">
        <v>81</v>
      </c>
      <c r="C1500" s="10">
        <f t="shared" si="71"/>
        <v>31374</v>
      </c>
      <c r="D1500" t="s">
        <v>11</v>
      </c>
      <c r="E1500" t="s">
        <v>12</v>
      </c>
      <c r="F1500" t="s">
        <v>11</v>
      </c>
      <c r="G1500" t="s">
        <v>12</v>
      </c>
      <c r="H1500" t="s">
        <v>11</v>
      </c>
      <c r="I1500" t="s">
        <v>12</v>
      </c>
      <c r="J1500" t="s">
        <v>11</v>
      </c>
      <c r="K1500" t="s">
        <v>12</v>
      </c>
      <c r="L1500" s="12" t="s">
        <v>74</v>
      </c>
      <c r="M1500" s="12" t="s">
        <v>105</v>
      </c>
      <c r="N1500" s="12" t="s">
        <v>106</v>
      </c>
      <c r="O1500" s="12" t="s">
        <v>63</v>
      </c>
      <c r="P1500" s="12" t="s">
        <v>379</v>
      </c>
      <c r="Q1500" s="7" t="str">
        <f t="shared" si="70"/>
        <v>(1985,47,'1985.11.23',26,50,75,78,89,0),</v>
      </c>
      <c r="R1500" s="7" t="str">
        <f t="shared" si="72"/>
        <v>(1985,47,'1985.11.23',26,50,75,78,89),</v>
      </c>
    </row>
    <row r="1501" spans="1:18" x14ac:dyDescent="0.25">
      <c r="A1501" s="7" t="s">
        <v>5113</v>
      </c>
      <c r="B1501" s="8" t="s">
        <v>22</v>
      </c>
      <c r="C1501" s="10">
        <f t="shared" si="71"/>
        <v>31381</v>
      </c>
      <c r="D1501" t="s">
        <v>11</v>
      </c>
      <c r="E1501" t="s">
        <v>12</v>
      </c>
      <c r="F1501" t="s">
        <v>11</v>
      </c>
      <c r="G1501" t="s">
        <v>12</v>
      </c>
      <c r="H1501" t="s">
        <v>11</v>
      </c>
      <c r="I1501" t="s">
        <v>12</v>
      </c>
      <c r="J1501" t="s">
        <v>11</v>
      </c>
      <c r="K1501" t="s">
        <v>12</v>
      </c>
      <c r="L1501" s="12" t="s">
        <v>108</v>
      </c>
      <c r="M1501" s="12" t="s">
        <v>24</v>
      </c>
      <c r="N1501" s="12" t="s">
        <v>122</v>
      </c>
      <c r="O1501" s="12" t="s">
        <v>175</v>
      </c>
      <c r="P1501" s="12" t="s">
        <v>72</v>
      </c>
      <c r="Q1501" s="7" t="str">
        <f t="shared" si="70"/>
        <v>(1985,48,'1985.11.30',1,39,51,55,67,0),</v>
      </c>
      <c r="R1501" s="7" t="str">
        <f t="shared" si="72"/>
        <v>(1985,48,'1985.11.30',1,39,51,55,67),</v>
      </c>
    </row>
    <row r="1502" spans="1:18" x14ac:dyDescent="0.25">
      <c r="A1502" s="7" t="s">
        <v>5113</v>
      </c>
      <c r="B1502" s="8" t="s">
        <v>34</v>
      </c>
      <c r="C1502" s="10">
        <f t="shared" si="71"/>
        <v>31388</v>
      </c>
      <c r="D1502" t="s">
        <v>11</v>
      </c>
      <c r="E1502" t="s">
        <v>12</v>
      </c>
      <c r="F1502" t="s">
        <v>11</v>
      </c>
      <c r="G1502" t="s">
        <v>12</v>
      </c>
      <c r="H1502" t="s">
        <v>11</v>
      </c>
      <c r="I1502" t="s">
        <v>12</v>
      </c>
      <c r="J1502" t="s">
        <v>11</v>
      </c>
      <c r="K1502" t="s">
        <v>12</v>
      </c>
      <c r="L1502" s="12" t="s">
        <v>34</v>
      </c>
      <c r="M1502" s="12" t="s">
        <v>199</v>
      </c>
      <c r="N1502" s="12" t="s">
        <v>201</v>
      </c>
      <c r="O1502" s="12" t="s">
        <v>208</v>
      </c>
      <c r="P1502" s="12" t="s">
        <v>186</v>
      </c>
      <c r="Q1502" s="7" t="str">
        <f t="shared" si="70"/>
        <v>(1985,49,'1985.12.07',49,53,72,88,90,0),</v>
      </c>
      <c r="R1502" s="7" t="str">
        <f t="shared" si="72"/>
        <v>(1985,49,'1985.12.07',49,53,72,88,90),</v>
      </c>
    </row>
    <row r="1503" spans="1:18" x14ac:dyDescent="0.25">
      <c r="A1503" s="7" t="s">
        <v>5113</v>
      </c>
      <c r="B1503" s="8" t="s">
        <v>105</v>
      </c>
      <c r="C1503" s="10">
        <f t="shared" si="71"/>
        <v>31395</v>
      </c>
      <c r="D1503" t="s">
        <v>11</v>
      </c>
      <c r="E1503" t="s">
        <v>12</v>
      </c>
      <c r="F1503" t="s">
        <v>11</v>
      </c>
      <c r="G1503" t="s">
        <v>12</v>
      </c>
      <c r="H1503" t="s">
        <v>11</v>
      </c>
      <c r="I1503" t="s">
        <v>12</v>
      </c>
      <c r="J1503" t="s">
        <v>11</v>
      </c>
      <c r="K1503" t="s">
        <v>12</v>
      </c>
      <c r="L1503" s="12" t="s">
        <v>42</v>
      </c>
      <c r="M1503" s="12" t="s">
        <v>168</v>
      </c>
      <c r="N1503" s="12" t="s">
        <v>32</v>
      </c>
      <c r="O1503" s="12" t="s">
        <v>116</v>
      </c>
      <c r="P1503" s="12" t="s">
        <v>201</v>
      </c>
      <c r="Q1503" s="7" t="str">
        <f t="shared" si="70"/>
        <v>(1985,50,'1985.12.14',3,4,22,29,72,0),</v>
      </c>
      <c r="R1503" s="7" t="str">
        <f t="shared" si="72"/>
        <v>(1985,50,'1985.12.14',3,4,22,29,72),</v>
      </c>
    </row>
    <row r="1504" spans="1:18" x14ac:dyDescent="0.25">
      <c r="A1504" s="7" t="s">
        <v>5113</v>
      </c>
      <c r="B1504" s="8" t="s">
        <v>122</v>
      </c>
      <c r="C1504" s="10">
        <f t="shared" si="71"/>
        <v>31402</v>
      </c>
      <c r="D1504" t="s">
        <v>11</v>
      </c>
      <c r="E1504" t="s">
        <v>12</v>
      </c>
      <c r="F1504" t="s">
        <v>11</v>
      </c>
      <c r="G1504" t="s">
        <v>12</v>
      </c>
      <c r="H1504" t="s">
        <v>11</v>
      </c>
      <c r="I1504" t="s">
        <v>12</v>
      </c>
      <c r="J1504" t="s">
        <v>11</v>
      </c>
      <c r="K1504" t="s">
        <v>12</v>
      </c>
      <c r="L1504" s="12" t="s">
        <v>115</v>
      </c>
      <c r="M1504" s="12" t="s">
        <v>20</v>
      </c>
      <c r="N1504" s="12" t="s">
        <v>99</v>
      </c>
      <c r="O1504" s="12" t="s">
        <v>622</v>
      </c>
      <c r="P1504" s="12" t="s">
        <v>379</v>
      </c>
      <c r="Q1504" s="7" t="str">
        <f t="shared" si="70"/>
        <v>(1985,51,'1985.12.21',20,33,52,82,89,0),</v>
      </c>
      <c r="R1504" s="7" t="str">
        <f t="shared" si="72"/>
        <v>(1985,51,'1985.12.21',20,33,52,82,89),</v>
      </c>
    </row>
    <row r="1505" spans="1:18" x14ac:dyDescent="0.25">
      <c r="A1505" s="7" t="s">
        <v>5113</v>
      </c>
      <c r="B1505" s="8" t="s">
        <v>99</v>
      </c>
      <c r="C1505" s="10">
        <f t="shared" si="71"/>
        <v>31409</v>
      </c>
      <c r="D1505" t="s">
        <v>11</v>
      </c>
      <c r="E1505" t="s">
        <v>12</v>
      </c>
      <c r="F1505" t="s">
        <v>11</v>
      </c>
      <c r="G1505" t="s">
        <v>12</v>
      </c>
      <c r="H1505" t="s">
        <v>11</v>
      </c>
      <c r="I1505" t="s">
        <v>12</v>
      </c>
      <c r="J1505" t="s">
        <v>11</v>
      </c>
      <c r="K1505" t="s">
        <v>12</v>
      </c>
      <c r="L1505" s="12" t="s">
        <v>65</v>
      </c>
      <c r="M1505" s="12" t="s">
        <v>55</v>
      </c>
      <c r="N1505" s="12" t="s">
        <v>115</v>
      </c>
      <c r="O1505" s="12" t="s">
        <v>169</v>
      </c>
      <c r="P1505" s="12" t="s">
        <v>248</v>
      </c>
      <c r="Q1505" s="7" t="str">
        <f t="shared" si="70"/>
        <v>(1985,52,'1985.12.28',13,19,20,58,63,0),</v>
      </c>
      <c r="R1505" s="7" t="str">
        <f t="shared" si="72"/>
        <v>(1985,52,'1985.12.28',13,19,20,58,63),</v>
      </c>
    </row>
    <row r="1506" spans="1:18" x14ac:dyDescent="0.25">
      <c r="A1506" s="7" t="s">
        <v>5851</v>
      </c>
      <c r="B1506" s="8" t="s">
        <v>108</v>
      </c>
      <c r="C1506" s="10">
        <f t="shared" si="71"/>
        <v>31416</v>
      </c>
      <c r="D1506" t="s">
        <v>11</v>
      </c>
      <c r="E1506" t="s">
        <v>12</v>
      </c>
      <c r="F1506" t="s">
        <v>11</v>
      </c>
      <c r="G1506" t="s">
        <v>12</v>
      </c>
      <c r="H1506" t="s">
        <v>11</v>
      </c>
      <c r="I1506" t="s">
        <v>12</v>
      </c>
      <c r="J1506" t="s">
        <v>11</v>
      </c>
      <c r="K1506" t="s">
        <v>12</v>
      </c>
      <c r="L1506" s="12" t="s">
        <v>168</v>
      </c>
      <c r="M1506" s="12" t="s">
        <v>232</v>
      </c>
      <c r="N1506" s="12" t="s">
        <v>31</v>
      </c>
      <c r="O1506" s="12" t="s">
        <v>107</v>
      </c>
      <c r="P1506" s="12" t="s">
        <v>47</v>
      </c>
      <c r="Q1506" s="7" t="str">
        <f t="shared" si="70"/>
        <v>(1986,1,'1986.01.04',4,8,12,30,69,0),</v>
      </c>
      <c r="R1506" s="7" t="str">
        <f t="shared" si="72"/>
        <v>(1986,1,'1986.01.04',4,8,12,30,69),</v>
      </c>
    </row>
    <row r="1507" spans="1:18" x14ac:dyDescent="0.25">
      <c r="A1507" s="7" t="s">
        <v>5851</v>
      </c>
      <c r="B1507" s="8" t="s">
        <v>207</v>
      </c>
      <c r="C1507" s="10">
        <f t="shared" si="71"/>
        <v>31423</v>
      </c>
      <c r="D1507" t="s">
        <v>11</v>
      </c>
      <c r="E1507" t="s">
        <v>12</v>
      </c>
      <c r="F1507" t="s">
        <v>11</v>
      </c>
      <c r="G1507" t="s">
        <v>12</v>
      </c>
      <c r="H1507" t="s">
        <v>11</v>
      </c>
      <c r="I1507" t="s">
        <v>12</v>
      </c>
      <c r="J1507" t="s">
        <v>11</v>
      </c>
      <c r="K1507" t="s">
        <v>12</v>
      </c>
      <c r="L1507" s="12" t="s">
        <v>71</v>
      </c>
      <c r="M1507" s="12" t="s">
        <v>45</v>
      </c>
      <c r="N1507" s="12" t="s">
        <v>133</v>
      </c>
      <c r="O1507" s="12" t="s">
        <v>134</v>
      </c>
      <c r="P1507" s="12" t="s">
        <v>214</v>
      </c>
      <c r="Q1507" s="7" t="str">
        <f t="shared" si="70"/>
        <v>(1986,2,'1986.01.11',31,43,45,56,64,0),</v>
      </c>
      <c r="R1507" s="7" t="str">
        <f t="shared" si="72"/>
        <v>(1986,2,'1986.01.11',31,43,45,56,64),</v>
      </c>
    </row>
    <row r="1508" spans="1:18" x14ac:dyDescent="0.25">
      <c r="A1508" s="7" t="s">
        <v>5851</v>
      </c>
      <c r="B1508" s="8" t="s">
        <v>42</v>
      </c>
      <c r="C1508" s="10">
        <f t="shared" si="71"/>
        <v>31430</v>
      </c>
      <c r="D1508" t="s">
        <v>11</v>
      </c>
      <c r="E1508" t="s">
        <v>12</v>
      </c>
      <c r="F1508" t="s">
        <v>11</v>
      </c>
      <c r="G1508" t="s">
        <v>12</v>
      </c>
      <c r="H1508" t="s">
        <v>11</v>
      </c>
      <c r="I1508" t="s">
        <v>12</v>
      </c>
      <c r="J1508" t="s">
        <v>11</v>
      </c>
      <c r="K1508" t="s">
        <v>12</v>
      </c>
      <c r="L1508" s="12" t="s">
        <v>108</v>
      </c>
      <c r="M1508" s="12" t="s">
        <v>115</v>
      </c>
      <c r="N1508" s="12" t="s">
        <v>34</v>
      </c>
      <c r="O1508" s="12" t="s">
        <v>91</v>
      </c>
      <c r="P1508" s="12" t="s">
        <v>47</v>
      </c>
      <c r="Q1508" s="7" t="str">
        <f t="shared" si="70"/>
        <v>(1986,3,'1986.01.18',1,20,49,61,69,0),</v>
      </c>
      <c r="R1508" s="7" t="str">
        <f t="shared" si="72"/>
        <v>(1986,3,'1986.01.18',1,20,49,61,69),</v>
      </c>
    </row>
    <row r="1509" spans="1:18" x14ac:dyDescent="0.25">
      <c r="A1509" s="7" t="s">
        <v>5851</v>
      </c>
      <c r="B1509" s="8" t="s">
        <v>168</v>
      </c>
      <c r="C1509" s="10">
        <f t="shared" si="71"/>
        <v>31437</v>
      </c>
      <c r="D1509" t="s">
        <v>11</v>
      </c>
      <c r="E1509" t="s">
        <v>12</v>
      </c>
      <c r="F1509" t="s">
        <v>11</v>
      </c>
      <c r="G1509" t="s">
        <v>12</v>
      </c>
      <c r="H1509" t="s">
        <v>11</v>
      </c>
      <c r="I1509" t="s">
        <v>12</v>
      </c>
      <c r="J1509" t="s">
        <v>11</v>
      </c>
      <c r="K1509" t="s">
        <v>12</v>
      </c>
      <c r="L1509" s="12" t="s">
        <v>123</v>
      </c>
      <c r="M1509" s="12" t="s">
        <v>82</v>
      </c>
      <c r="N1509" s="12" t="s">
        <v>35</v>
      </c>
      <c r="O1509" s="12" t="s">
        <v>239</v>
      </c>
      <c r="P1509" s="12" t="s">
        <v>308</v>
      </c>
      <c r="Q1509" s="7" t="str">
        <f t="shared" si="70"/>
        <v>(1986,4,'1986.01.25',54,59,65,73,86,0),</v>
      </c>
      <c r="R1509" s="7" t="str">
        <f t="shared" si="72"/>
        <v>(1986,4,'1986.01.25',54,59,65,73,86),</v>
      </c>
    </row>
    <row r="1510" spans="1:18" x14ac:dyDescent="0.25">
      <c r="A1510" s="7" t="s">
        <v>5851</v>
      </c>
      <c r="B1510" s="8" t="s">
        <v>89</v>
      </c>
      <c r="C1510" s="10">
        <f t="shared" si="71"/>
        <v>31444</v>
      </c>
      <c r="D1510" t="s">
        <v>11</v>
      </c>
      <c r="E1510" t="s">
        <v>12</v>
      </c>
      <c r="F1510" t="s">
        <v>11</v>
      </c>
      <c r="G1510" t="s">
        <v>12</v>
      </c>
      <c r="H1510" t="s">
        <v>11</v>
      </c>
      <c r="I1510" t="s">
        <v>12</v>
      </c>
      <c r="J1510" t="s">
        <v>11</v>
      </c>
      <c r="K1510" t="s">
        <v>12</v>
      </c>
      <c r="L1510" s="12" t="s">
        <v>115</v>
      </c>
      <c r="M1510" s="12" t="s">
        <v>33</v>
      </c>
      <c r="N1510" s="12" t="s">
        <v>116</v>
      </c>
      <c r="O1510" s="12" t="s">
        <v>22</v>
      </c>
      <c r="P1510" s="12" t="s">
        <v>150</v>
      </c>
      <c r="Q1510" s="7" t="str">
        <f t="shared" si="70"/>
        <v>(1986,5,'1986.02.01',20,24,29,48,57,0),</v>
      </c>
      <c r="R1510" s="7" t="str">
        <f t="shared" si="72"/>
        <v>(1986,5,'1986.02.01',20,24,29,48,57),</v>
      </c>
    </row>
    <row r="1511" spans="1:18" x14ac:dyDescent="0.25">
      <c r="A1511" s="7" t="s">
        <v>5851</v>
      </c>
      <c r="B1511" s="8" t="s">
        <v>270</v>
      </c>
      <c r="C1511" s="10">
        <f t="shared" si="71"/>
        <v>31451</v>
      </c>
      <c r="D1511" t="s">
        <v>11</v>
      </c>
      <c r="E1511" t="s">
        <v>12</v>
      </c>
      <c r="F1511" t="s">
        <v>11</v>
      </c>
      <c r="G1511" t="s">
        <v>12</v>
      </c>
      <c r="H1511" t="s">
        <v>11</v>
      </c>
      <c r="I1511" t="s">
        <v>12</v>
      </c>
      <c r="J1511" t="s">
        <v>11</v>
      </c>
      <c r="K1511" t="s">
        <v>12</v>
      </c>
      <c r="L1511" s="12" t="s">
        <v>89</v>
      </c>
      <c r="M1511" s="12" t="s">
        <v>98</v>
      </c>
      <c r="N1511" s="12" t="s">
        <v>91</v>
      </c>
      <c r="O1511" s="12" t="s">
        <v>214</v>
      </c>
      <c r="P1511" s="12" t="s">
        <v>200</v>
      </c>
      <c r="Q1511" s="7" t="str">
        <f t="shared" si="70"/>
        <v>(1986,6,'1986.02.08',5,42,61,64,70,0),</v>
      </c>
      <c r="R1511" s="7" t="str">
        <f t="shared" si="72"/>
        <v>(1986,6,'1986.02.08',5,42,61,64,70),</v>
      </c>
    </row>
    <row r="1512" spans="1:18" x14ac:dyDescent="0.25">
      <c r="A1512" s="7" t="s">
        <v>5851</v>
      </c>
      <c r="B1512" s="8" t="s">
        <v>53</v>
      </c>
      <c r="C1512" s="10">
        <f t="shared" si="71"/>
        <v>31458</v>
      </c>
      <c r="D1512" t="s">
        <v>11</v>
      </c>
      <c r="E1512" t="s">
        <v>12</v>
      </c>
      <c r="F1512" t="s">
        <v>11</v>
      </c>
      <c r="G1512" t="s">
        <v>12</v>
      </c>
      <c r="H1512" t="s">
        <v>11</v>
      </c>
      <c r="I1512" t="s">
        <v>12</v>
      </c>
      <c r="J1512" t="s">
        <v>11</v>
      </c>
      <c r="K1512" t="s">
        <v>12</v>
      </c>
      <c r="L1512" s="12" t="s">
        <v>108</v>
      </c>
      <c r="M1512" s="12" t="s">
        <v>21</v>
      </c>
      <c r="N1512" s="12" t="s">
        <v>46</v>
      </c>
      <c r="O1512" s="12" t="s">
        <v>214</v>
      </c>
      <c r="P1512" s="12" t="s">
        <v>200</v>
      </c>
      <c r="Q1512" s="7" t="str">
        <f t="shared" si="70"/>
        <v>(1986,7,'1986.02.15',1,36,37,64,70,0),</v>
      </c>
      <c r="R1512" s="7" t="str">
        <f t="shared" si="72"/>
        <v>(1986,7,'1986.02.15',1,36,37,64,70),</v>
      </c>
    </row>
    <row r="1513" spans="1:18" x14ac:dyDescent="0.25">
      <c r="A1513" s="7" t="s">
        <v>5851</v>
      </c>
      <c r="B1513" s="8" t="s">
        <v>232</v>
      </c>
      <c r="C1513" s="10">
        <f t="shared" si="71"/>
        <v>31465</v>
      </c>
      <c r="D1513" t="s">
        <v>11</v>
      </c>
      <c r="E1513" t="s">
        <v>12</v>
      </c>
      <c r="F1513" t="s">
        <v>11</v>
      </c>
      <c r="G1513" t="s">
        <v>12</v>
      </c>
      <c r="H1513" t="s">
        <v>11</v>
      </c>
      <c r="I1513" t="s">
        <v>12</v>
      </c>
      <c r="J1513" t="s">
        <v>11</v>
      </c>
      <c r="K1513" t="s">
        <v>12</v>
      </c>
      <c r="L1513" s="12" t="s">
        <v>270</v>
      </c>
      <c r="M1513" s="12" t="s">
        <v>20</v>
      </c>
      <c r="N1513" s="12" t="s">
        <v>239</v>
      </c>
      <c r="O1513" s="12" t="s">
        <v>143</v>
      </c>
      <c r="P1513" s="12" t="s">
        <v>208</v>
      </c>
      <c r="Q1513" s="7" t="str">
        <f t="shared" si="70"/>
        <v>(1986,8,'1986.02.22',6,33,73,77,88,0),</v>
      </c>
      <c r="R1513" s="7" t="str">
        <f t="shared" si="72"/>
        <v>(1986,8,'1986.02.22',6,33,73,77,88),</v>
      </c>
    </row>
    <row r="1514" spans="1:18" x14ac:dyDescent="0.25">
      <c r="A1514" s="7" t="s">
        <v>5851</v>
      </c>
      <c r="B1514" s="8" t="s">
        <v>198</v>
      </c>
      <c r="C1514" s="10">
        <f t="shared" si="71"/>
        <v>31472</v>
      </c>
      <c r="D1514" t="s">
        <v>11</v>
      </c>
      <c r="E1514" t="s">
        <v>12</v>
      </c>
      <c r="F1514" t="s">
        <v>11</v>
      </c>
      <c r="G1514" t="s">
        <v>12</v>
      </c>
      <c r="H1514" t="s">
        <v>11</v>
      </c>
      <c r="I1514" t="s">
        <v>12</v>
      </c>
      <c r="J1514" t="s">
        <v>11</v>
      </c>
      <c r="K1514" t="s">
        <v>12</v>
      </c>
      <c r="L1514" s="12" t="s">
        <v>74</v>
      </c>
      <c r="M1514" s="12" t="s">
        <v>24</v>
      </c>
      <c r="N1514" s="12" t="s">
        <v>214</v>
      </c>
      <c r="O1514" s="12" t="s">
        <v>56</v>
      </c>
      <c r="P1514" s="12" t="s">
        <v>269</v>
      </c>
      <c r="Q1514" s="7" t="str">
        <f t="shared" si="70"/>
        <v>(1986,9,'1986.03.01',26,39,64,71,87,0),</v>
      </c>
      <c r="R1514" s="7" t="str">
        <f t="shared" si="72"/>
        <v>(1986,9,'1986.03.01',26,39,64,71,87),</v>
      </c>
    </row>
    <row r="1515" spans="1:18" x14ac:dyDescent="0.25">
      <c r="A1515" s="7" t="s">
        <v>5851</v>
      </c>
      <c r="B1515" s="8" t="s">
        <v>62</v>
      </c>
      <c r="C1515" s="10">
        <f t="shared" si="71"/>
        <v>31479</v>
      </c>
      <c r="D1515" t="s">
        <v>11</v>
      </c>
      <c r="E1515" t="s">
        <v>12</v>
      </c>
      <c r="F1515" t="s">
        <v>11</v>
      </c>
      <c r="G1515" t="s">
        <v>12</v>
      </c>
      <c r="H1515" t="s">
        <v>11</v>
      </c>
      <c r="I1515" t="s">
        <v>12</v>
      </c>
      <c r="J1515" t="s">
        <v>11</v>
      </c>
      <c r="K1515" t="s">
        <v>12</v>
      </c>
      <c r="L1515" s="12" t="s">
        <v>163</v>
      </c>
      <c r="M1515" s="12" t="s">
        <v>20</v>
      </c>
      <c r="N1515" s="12" t="s">
        <v>122</v>
      </c>
      <c r="O1515" s="12" t="s">
        <v>245</v>
      </c>
      <c r="P1515" s="12" t="s">
        <v>301</v>
      </c>
      <c r="Q1515" s="7" t="str">
        <f t="shared" si="70"/>
        <v>(1986,10,'1986.03.08',23,33,51,74,80,0),</v>
      </c>
      <c r="R1515" s="7" t="str">
        <f t="shared" si="72"/>
        <v>(1986,10,'1986.03.08',23,33,51,74,80),</v>
      </c>
    </row>
    <row r="1516" spans="1:18" x14ac:dyDescent="0.25">
      <c r="A1516" s="7" t="s">
        <v>5851</v>
      </c>
      <c r="B1516" s="8" t="s">
        <v>83</v>
      </c>
      <c r="C1516" s="10">
        <f t="shared" si="71"/>
        <v>31486</v>
      </c>
      <c r="D1516" t="s">
        <v>11</v>
      </c>
      <c r="E1516" t="s">
        <v>12</v>
      </c>
      <c r="F1516" t="s">
        <v>11</v>
      </c>
      <c r="G1516" t="s">
        <v>12</v>
      </c>
      <c r="H1516" t="s">
        <v>11</v>
      </c>
      <c r="I1516" t="s">
        <v>12</v>
      </c>
      <c r="J1516" t="s">
        <v>11</v>
      </c>
      <c r="K1516" t="s">
        <v>12</v>
      </c>
      <c r="L1516" s="12" t="s">
        <v>98</v>
      </c>
      <c r="M1516" s="12" t="s">
        <v>105</v>
      </c>
      <c r="N1516" s="12" t="s">
        <v>169</v>
      </c>
      <c r="O1516" s="12" t="s">
        <v>245</v>
      </c>
      <c r="P1516" s="12" t="s">
        <v>73</v>
      </c>
      <c r="Q1516" s="7" t="str">
        <f t="shared" si="70"/>
        <v>(1986,11,'1986.03.15',42,50,58,74,76,0),</v>
      </c>
      <c r="R1516" s="7" t="str">
        <f t="shared" si="72"/>
        <v>(1986,11,'1986.03.15',42,50,58,74,76),</v>
      </c>
    </row>
    <row r="1517" spans="1:18" x14ac:dyDescent="0.25">
      <c r="A1517" s="7" t="s">
        <v>5851</v>
      </c>
      <c r="B1517" s="8" t="s">
        <v>31</v>
      </c>
      <c r="C1517" s="10">
        <f t="shared" si="71"/>
        <v>31493</v>
      </c>
      <c r="D1517" t="s">
        <v>11</v>
      </c>
      <c r="E1517" t="s">
        <v>12</v>
      </c>
      <c r="F1517" t="s">
        <v>11</v>
      </c>
      <c r="G1517" t="s">
        <v>12</v>
      </c>
      <c r="H1517" t="s">
        <v>11</v>
      </c>
      <c r="I1517" t="s">
        <v>12</v>
      </c>
      <c r="J1517" t="s">
        <v>11</v>
      </c>
      <c r="K1517" t="s">
        <v>12</v>
      </c>
      <c r="L1517" s="12" t="s">
        <v>54</v>
      </c>
      <c r="M1517" s="12" t="s">
        <v>19</v>
      </c>
      <c r="N1517" s="12" t="s">
        <v>135</v>
      </c>
      <c r="O1517" s="12" t="s">
        <v>36</v>
      </c>
      <c r="P1517" s="12" t="s">
        <v>215</v>
      </c>
      <c r="Q1517" s="7" t="str">
        <f t="shared" si="70"/>
        <v>(1986,12,'1986.03.22',15,18,27,38,81,0),</v>
      </c>
      <c r="R1517" s="7" t="str">
        <f t="shared" si="72"/>
        <v>(1986,12,'1986.03.22',15,18,27,38,81),</v>
      </c>
    </row>
    <row r="1518" spans="1:18" x14ac:dyDescent="0.25">
      <c r="A1518" s="7" t="s">
        <v>5851</v>
      </c>
      <c r="B1518" s="8" t="s">
        <v>65</v>
      </c>
      <c r="C1518" s="10">
        <f t="shared" si="71"/>
        <v>31500</v>
      </c>
      <c r="D1518" t="s">
        <v>11</v>
      </c>
      <c r="E1518" t="s">
        <v>12</v>
      </c>
      <c r="F1518" t="s">
        <v>11</v>
      </c>
      <c r="G1518" t="s">
        <v>12</v>
      </c>
      <c r="H1518" t="s">
        <v>11</v>
      </c>
      <c r="I1518" t="s">
        <v>12</v>
      </c>
      <c r="J1518" t="s">
        <v>11</v>
      </c>
      <c r="K1518" t="s">
        <v>12</v>
      </c>
      <c r="L1518" s="12" t="s">
        <v>54</v>
      </c>
      <c r="M1518" s="12" t="s">
        <v>135</v>
      </c>
      <c r="N1518" s="12" t="s">
        <v>214</v>
      </c>
      <c r="O1518" s="12" t="s">
        <v>245</v>
      </c>
      <c r="P1518" s="12" t="s">
        <v>143</v>
      </c>
      <c r="Q1518" s="7" t="str">
        <f t="shared" si="70"/>
        <v>(1986,13,'1986.03.29',15,27,64,74,77,0),</v>
      </c>
      <c r="R1518" s="7" t="str">
        <f t="shared" si="72"/>
        <v>(1986,13,'1986.03.29',15,27,64,74,77),</v>
      </c>
    </row>
    <row r="1519" spans="1:18" x14ac:dyDescent="0.25">
      <c r="A1519" s="7" t="s">
        <v>5851</v>
      </c>
      <c r="B1519" s="8" t="s">
        <v>127</v>
      </c>
      <c r="C1519" s="10">
        <f t="shared" si="71"/>
        <v>31507</v>
      </c>
      <c r="D1519" t="s">
        <v>11</v>
      </c>
      <c r="E1519" t="s">
        <v>12</v>
      </c>
      <c r="F1519" t="s">
        <v>11</v>
      </c>
      <c r="G1519" t="s">
        <v>12</v>
      </c>
      <c r="H1519" t="s">
        <v>11</v>
      </c>
      <c r="I1519" t="s">
        <v>12</v>
      </c>
      <c r="J1519" t="s">
        <v>11</v>
      </c>
      <c r="K1519" t="s">
        <v>12</v>
      </c>
      <c r="L1519" s="12" t="s">
        <v>43</v>
      </c>
      <c r="M1519" s="12" t="s">
        <v>163</v>
      </c>
      <c r="N1519" s="12" t="s">
        <v>74</v>
      </c>
      <c r="O1519" s="12" t="s">
        <v>124</v>
      </c>
      <c r="P1519" s="12" t="s">
        <v>208</v>
      </c>
      <c r="Q1519" s="7" t="str">
        <f t="shared" si="70"/>
        <v>(1986,14,'1986.04.05',16,23,26,62,88,0),</v>
      </c>
      <c r="R1519" s="7" t="str">
        <f t="shared" si="72"/>
        <v>(1986,14,'1986.04.05',16,23,26,62,88),</v>
      </c>
    </row>
    <row r="1520" spans="1:18" x14ac:dyDescent="0.25">
      <c r="A1520" s="7" t="s">
        <v>5851</v>
      </c>
      <c r="B1520" s="8" t="s">
        <v>54</v>
      </c>
      <c r="C1520" s="10">
        <f t="shared" si="71"/>
        <v>31514</v>
      </c>
      <c r="D1520" t="s">
        <v>11</v>
      </c>
      <c r="E1520" t="s">
        <v>12</v>
      </c>
      <c r="F1520" t="s">
        <v>11</v>
      </c>
      <c r="G1520" t="s">
        <v>12</v>
      </c>
      <c r="H1520" t="s">
        <v>11</v>
      </c>
      <c r="I1520" t="s">
        <v>12</v>
      </c>
      <c r="J1520" t="s">
        <v>11</v>
      </c>
      <c r="K1520" t="s">
        <v>12</v>
      </c>
      <c r="L1520" s="12" t="s">
        <v>108</v>
      </c>
      <c r="M1520" s="12" t="s">
        <v>83</v>
      </c>
      <c r="N1520" s="12" t="s">
        <v>20</v>
      </c>
      <c r="O1520" s="12" t="s">
        <v>122</v>
      </c>
      <c r="P1520" s="12" t="s">
        <v>73</v>
      </c>
      <c r="Q1520" s="7" t="str">
        <f t="shared" si="70"/>
        <v>(1986,15,'1986.04.12',1,11,33,51,76,0),</v>
      </c>
      <c r="R1520" s="7" t="str">
        <f t="shared" si="72"/>
        <v>(1986,15,'1986.04.12',1,11,33,51,76),</v>
      </c>
    </row>
    <row r="1521" spans="1:18" x14ac:dyDescent="0.25">
      <c r="A1521" s="7" t="s">
        <v>5851</v>
      </c>
      <c r="B1521" s="8" t="s">
        <v>43</v>
      </c>
      <c r="C1521" s="10">
        <f t="shared" si="71"/>
        <v>31521</v>
      </c>
      <c r="D1521" t="s">
        <v>11</v>
      </c>
      <c r="E1521" t="s">
        <v>12</v>
      </c>
      <c r="F1521" t="s">
        <v>11</v>
      </c>
      <c r="G1521" t="s">
        <v>12</v>
      </c>
      <c r="H1521" t="s">
        <v>11</v>
      </c>
      <c r="I1521" t="s">
        <v>12</v>
      </c>
      <c r="J1521" t="s">
        <v>11</v>
      </c>
      <c r="K1521" t="s">
        <v>12</v>
      </c>
      <c r="L1521" s="12" t="s">
        <v>163</v>
      </c>
      <c r="M1521" s="12" t="s">
        <v>21</v>
      </c>
      <c r="N1521" s="12" t="s">
        <v>56</v>
      </c>
      <c r="O1521" s="12" t="s">
        <v>151</v>
      </c>
      <c r="P1521" s="12" t="s">
        <v>308</v>
      </c>
      <c r="Q1521" s="7" t="str">
        <f t="shared" si="70"/>
        <v>(1986,16,'1986.04.19',23,36,71,79,86,0),</v>
      </c>
      <c r="R1521" s="7" t="str">
        <f t="shared" si="72"/>
        <v>(1986,16,'1986.04.19',23,36,71,79,86),</v>
      </c>
    </row>
    <row r="1522" spans="1:18" x14ac:dyDescent="0.25">
      <c r="A1522" s="7" t="s">
        <v>5851</v>
      </c>
      <c r="B1522" s="8" t="s">
        <v>90</v>
      </c>
      <c r="C1522" s="10">
        <f t="shared" si="71"/>
        <v>31528</v>
      </c>
      <c r="D1522" t="s">
        <v>11</v>
      </c>
      <c r="E1522" t="s">
        <v>12</v>
      </c>
      <c r="F1522" t="s">
        <v>11</v>
      </c>
      <c r="G1522" t="s">
        <v>12</v>
      </c>
      <c r="H1522" t="s">
        <v>11</v>
      </c>
      <c r="I1522" t="s">
        <v>12</v>
      </c>
      <c r="J1522" t="s">
        <v>11</v>
      </c>
      <c r="K1522" t="s">
        <v>12</v>
      </c>
      <c r="L1522" s="12" t="s">
        <v>55</v>
      </c>
      <c r="M1522" s="12" t="s">
        <v>32</v>
      </c>
      <c r="N1522" s="12" t="s">
        <v>74</v>
      </c>
      <c r="O1522" s="12" t="s">
        <v>126</v>
      </c>
      <c r="P1522" s="12" t="s">
        <v>35</v>
      </c>
      <c r="Q1522" s="7" t="str">
        <f t="shared" si="70"/>
        <v>(1986,17,'1986.04.26',19,22,26,28,65,0),</v>
      </c>
      <c r="R1522" s="7" t="str">
        <f t="shared" si="72"/>
        <v>(1986,17,'1986.04.26',19,22,26,28,65),</v>
      </c>
    </row>
    <row r="1523" spans="1:18" x14ac:dyDescent="0.25">
      <c r="A1523" s="7" t="s">
        <v>5851</v>
      </c>
      <c r="B1523" s="8" t="s">
        <v>19</v>
      </c>
      <c r="C1523" s="10">
        <f t="shared" si="71"/>
        <v>31535</v>
      </c>
      <c r="D1523" t="s">
        <v>11</v>
      </c>
      <c r="E1523" t="s">
        <v>12</v>
      </c>
      <c r="F1523" t="s">
        <v>11</v>
      </c>
      <c r="G1523" t="s">
        <v>12</v>
      </c>
      <c r="H1523" t="s">
        <v>11</v>
      </c>
      <c r="I1523" t="s">
        <v>12</v>
      </c>
      <c r="J1523" t="s">
        <v>11</v>
      </c>
      <c r="K1523" t="s">
        <v>12</v>
      </c>
      <c r="L1523" s="12" t="s">
        <v>168</v>
      </c>
      <c r="M1523" s="12" t="s">
        <v>232</v>
      </c>
      <c r="N1523" s="12" t="s">
        <v>54</v>
      </c>
      <c r="O1523" s="12" t="s">
        <v>214</v>
      </c>
      <c r="P1523" s="12" t="s">
        <v>622</v>
      </c>
      <c r="Q1523" s="7" t="str">
        <f t="shared" si="70"/>
        <v>(1986,18,'1986.05.03',4,8,15,64,82,0),</v>
      </c>
      <c r="R1523" s="7" t="str">
        <f t="shared" si="72"/>
        <v>(1986,18,'1986.05.03',4,8,15,64,82),</v>
      </c>
    </row>
    <row r="1524" spans="1:18" x14ac:dyDescent="0.25">
      <c r="A1524" s="7" t="s">
        <v>5851</v>
      </c>
      <c r="B1524" s="8" t="s">
        <v>55</v>
      </c>
      <c r="C1524" s="10">
        <f t="shared" si="71"/>
        <v>31542</v>
      </c>
      <c r="D1524" t="s">
        <v>11</v>
      </c>
      <c r="E1524" t="s">
        <v>12</v>
      </c>
      <c r="F1524" t="s">
        <v>11</v>
      </c>
      <c r="G1524" t="s">
        <v>12</v>
      </c>
      <c r="H1524" t="s">
        <v>11</v>
      </c>
      <c r="I1524" t="s">
        <v>12</v>
      </c>
      <c r="J1524" t="s">
        <v>11</v>
      </c>
      <c r="K1524" t="s">
        <v>12</v>
      </c>
      <c r="L1524" s="12" t="s">
        <v>42</v>
      </c>
      <c r="M1524" s="12" t="s">
        <v>44</v>
      </c>
      <c r="N1524" s="12" t="s">
        <v>116</v>
      </c>
      <c r="O1524" s="12" t="s">
        <v>25</v>
      </c>
      <c r="P1524" s="12" t="s">
        <v>245</v>
      </c>
      <c r="Q1524" s="7" t="str">
        <f t="shared" si="70"/>
        <v>(1986,19,'1986.05.10',3,21,29,34,74,0),</v>
      </c>
      <c r="R1524" s="7" t="str">
        <f t="shared" si="72"/>
        <v>(1986,19,'1986.05.10',3,21,29,34,74),</v>
      </c>
    </row>
    <row r="1525" spans="1:18" x14ac:dyDescent="0.25">
      <c r="A1525" s="7" t="s">
        <v>5851</v>
      </c>
      <c r="B1525" s="8" t="s">
        <v>115</v>
      </c>
      <c r="C1525" s="10">
        <f t="shared" si="71"/>
        <v>31549</v>
      </c>
      <c r="D1525" t="s">
        <v>11</v>
      </c>
      <c r="E1525" t="s">
        <v>12</v>
      </c>
      <c r="F1525" t="s">
        <v>11</v>
      </c>
      <c r="G1525" t="s">
        <v>12</v>
      </c>
      <c r="H1525" t="s">
        <v>11</v>
      </c>
      <c r="I1525" t="s">
        <v>12</v>
      </c>
      <c r="J1525" t="s">
        <v>11</v>
      </c>
      <c r="K1525" t="s">
        <v>12</v>
      </c>
      <c r="L1525" s="12" t="s">
        <v>44</v>
      </c>
      <c r="M1525" s="12" t="s">
        <v>33</v>
      </c>
      <c r="N1525" s="12" t="s">
        <v>142</v>
      </c>
      <c r="O1525" s="12" t="s">
        <v>106</v>
      </c>
      <c r="P1525" s="12" t="s">
        <v>215</v>
      </c>
      <c r="Q1525" s="7" t="str">
        <f t="shared" si="70"/>
        <v>(1986,20,'1986.05.17',21,24,44,75,81,0),</v>
      </c>
      <c r="R1525" s="7" t="str">
        <f t="shared" si="72"/>
        <v>(1986,20,'1986.05.17',21,24,44,75,81),</v>
      </c>
    </row>
    <row r="1526" spans="1:18" x14ac:dyDescent="0.25">
      <c r="A1526" s="7" t="s">
        <v>5851</v>
      </c>
      <c r="B1526" s="8" t="s">
        <v>44</v>
      </c>
      <c r="C1526" s="10">
        <f t="shared" si="71"/>
        <v>31556</v>
      </c>
      <c r="D1526" t="s">
        <v>11</v>
      </c>
      <c r="E1526" t="s">
        <v>12</v>
      </c>
      <c r="F1526" t="s">
        <v>11</v>
      </c>
      <c r="G1526" t="s">
        <v>12</v>
      </c>
      <c r="H1526" t="s">
        <v>11</v>
      </c>
      <c r="I1526" t="s">
        <v>12</v>
      </c>
      <c r="J1526" t="s">
        <v>11</v>
      </c>
      <c r="K1526" t="s">
        <v>12</v>
      </c>
      <c r="L1526" s="12" t="s">
        <v>116</v>
      </c>
      <c r="M1526" s="12" t="s">
        <v>81</v>
      </c>
      <c r="N1526" s="12" t="s">
        <v>56</v>
      </c>
      <c r="O1526" s="12" t="s">
        <v>245</v>
      </c>
      <c r="P1526" s="12" t="s">
        <v>143</v>
      </c>
      <c r="Q1526" s="7" t="str">
        <f t="shared" si="70"/>
        <v>(1986,21,'1986.05.24',29,47,71,74,77,0),</v>
      </c>
      <c r="R1526" s="7" t="str">
        <f t="shared" si="72"/>
        <v>(1986,21,'1986.05.24',29,47,71,74,77),</v>
      </c>
    </row>
    <row r="1527" spans="1:18" x14ac:dyDescent="0.25">
      <c r="A1527" s="7" t="s">
        <v>5851</v>
      </c>
      <c r="B1527" s="8" t="s">
        <v>32</v>
      </c>
      <c r="C1527" s="10">
        <f t="shared" si="71"/>
        <v>31563</v>
      </c>
      <c r="D1527" t="s">
        <v>11</v>
      </c>
      <c r="E1527" t="s">
        <v>12</v>
      </c>
      <c r="F1527" t="s">
        <v>11</v>
      </c>
      <c r="G1527" t="s">
        <v>12</v>
      </c>
      <c r="H1527" t="s">
        <v>11</v>
      </c>
      <c r="I1527" t="s">
        <v>12</v>
      </c>
      <c r="J1527" t="s">
        <v>11</v>
      </c>
      <c r="K1527" t="s">
        <v>12</v>
      </c>
      <c r="L1527" s="12" t="s">
        <v>33</v>
      </c>
      <c r="M1527" s="12" t="s">
        <v>20</v>
      </c>
      <c r="N1527" s="12" t="s">
        <v>36</v>
      </c>
      <c r="O1527" s="12" t="s">
        <v>199</v>
      </c>
      <c r="P1527" s="12" t="s">
        <v>215</v>
      </c>
      <c r="Q1527" s="7" t="str">
        <f t="shared" si="70"/>
        <v>(1986,22,'1986.05.31',24,33,38,53,81,0),</v>
      </c>
      <c r="R1527" s="7" t="str">
        <f t="shared" si="72"/>
        <v>(1986,22,'1986.05.31',24,33,38,53,81),</v>
      </c>
    </row>
    <row r="1528" spans="1:18" x14ac:dyDescent="0.25">
      <c r="A1528" s="7" t="s">
        <v>5851</v>
      </c>
      <c r="B1528" s="8" t="s">
        <v>163</v>
      </c>
      <c r="C1528" s="10">
        <f t="shared" si="71"/>
        <v>31570</v>
      </c>
      <c r="D1528" t="s">
        <v>11</v>
      </c>
      <c r="E1528" t="s">
        <v>12</v>
      </c>
      <c r="F1528" t="s">
        <v>11</v>
      </c>
      <c r="G1528" t="s">
        <v>12</v>
      </c>
      <c r="H1528" t="s">
        <v>11</v>
      </c>
      <c r="I1528" t="s">
        <v>12</v>
      </c>
      <c r="J1528" t="s">
        <v>11</v>
      </c>
      <c r="K1528" t="s">
        <v>12</v>
      </c>
      <c r="L1528" s="12" t="s">
        <v>31</v>
      </c>
      <c r="M1528" s="12" t="s">
        <v>32</v>
      </c>
      <c r="N1528" s="12" t="s">
        <v>116</v>
      </c>
      <c r="O1528" s="12" t="s">
        <v>82</v>
      </c>
      <c r="P1528" s="12" t="s">
        <v>301</v>
      </c>
      <c r="Q1528" s="7" t="str">
        <f t="shared" si="70"/>
        <v>(1986,23,'1986.06.07',12,22,29,59,80,0),</v>
      </c>
      <c r="R1528" s="7" t="str">
        <f t="shared" si="72"/>
        <v>(1986,23,'1986.06.07',12,22,29,59,80),</v>
      </c>
    </row>
    <row r="1529" spans="1:18" x14ac:dyDescent="0.25">
      <c r="A1529" s="7" t="s">
        <v>5851</v>
      </c>
      <c r="B1529" s="8" t="s">
        <v>33</v>
      </c>
      <c r="C1529" s="10">
        <f t="shared" si="71"/>
        <v>31577</v>
      </c>
      <c r="D1529" t="s">
        <v>11</v>
      </c>
      <c r="E1529" t="s">
        <v>12</v>
      </c>
      <c r="F1529" t="s">
        <v>11</v>
      </c>
      <c r="G1529" t="s">
        <v>12</v>
      </c>
      <c r="H1529" t="s">
        <v>11</v>
      </c>
      <c r="I1529" t="s">
        <v>12</v>
      </c>
      <c r="J1529" t="s">
        <v>11</v>
      </c>
      <c r="K1529" t="s">
        <v>12</v>
      </c>
      <c r="L1529" s="12" t="s">
        <v>89</v>
      </c>
      <c r="M1529" s="12" t="s">
        <v>19</v>
      </c>
      <c r="N1529" s="12" t="s">
        <v>239</v>
      </c>
      <c r="O1529" s="12" t="s">
        <v>73</v>
      </c>
      <c r="P1529" s="12" t="s">
        <v>125</v>
      </c>
      <c r="Q1529" s="7" t="str">
        <f t="shared" si="70"/>
        <v>(1986,24,'1986.06.14',5,18,73,76,83,0),</v>
      </c>
      <c r="R1529" s="7" t="str">
        <f t="shared" si="72"/>
        <v>(1986,24,'1986.06.14',5,18,73,76,83),</v>
      </c>
    </row>
    <row r="1530" spans="1:18" x14ac:dyDescent="0.25">
      <c r="A1530" s="7" t="s">
        <v>5851</v>
      </c>
      <c r="B1530" s="8" t="s">
        <v>152</v>
      </c>
      <c r="C1530" s="10">
        <f t="shared" si="71"/>
        <v>31584</v>
      </c>
      <c r="D1530" t="s">
        <v>11</v>
      </c>
      <c r="E1530" t="s">
        <v>12</v>
      </c>
      <c r="F1530" t="s">
        <v>11</v>
      </c>
      <c r="G1530" t="s">
        <v>12</v>
      </c>
      <c r="H1530" t="s">
        <v>11</v>
      </c>
      <c r="I1530" t="s">
        <v>12</v>
      </c>
      <c r="J1530" t="s">
        <v>11</v>
      </c>
      <c r="K1530" t="s">
        <v>12</v>
      </c>
      <c r="L1530" s="12" t="s">
        <v>62</v>
      </c>
      <c r="M1530" s="12" t="s">
        <v>33</v>
      </c>
      <c r="N1530" s="12" t="s">
        <v>74</v>
      </c>
      <c r="O1530" s="12" t="s">
        <v>91</v>
      </c>
      <c r="P1530" s="12" t="s">
        <v>186</v>
      </c>
      <c r="Q1530" s="7" t="str">
        <f t="shared" si="70"/>
        <v>(1986,25,'1986.06.21',10,24,26,61,90,0),</v>
      </c>
      <c r="R1530" s="7" t="str">
        <f t="shared" si="72"/>
        <v>(1986,25,'1986.06.21',10,24,26,61,90),</v>
      </c>
    </row>
    <row r="1531" spans="1:18" x14ac:dyDescent="0.25">
      <c r="A1531" s="7" t="s">
        <v>5851</v>
      </c>
      <c r="B1531" s="8" t="s">
        <v>74</v>
      </c>
      <c r="C1531" s="10">
        <f t="shared" si="71"/>
        <v>31591</v>
      </c>
      <c r="D1531" t="s">
        <v>11</v>
      </c>
      <c r="E1531" t="s">
        <v>12</v>
      </c>
      <c r="F1531" t="s">
        <v>11</v>
      </c>
      <c r="G1531" t="s">
        <v>12</v>
      </c>
      <c r="H1531" t="s">
        <v>11</v>
      </c>
      <c r="I1531" t="s">
        <v>12</v>
      </c>
      <c r="J1531" t="s">
        <v>11</v>
      </c>
      <c r="K1531" t="s">
        <v>12</v>
      </c>
      <c r="L1531" s="12" t="s">
        <v>108</v>
      </c>
      <c r="M1531" s="12" t="s">
        <v>62</v>
      </c>
      <c r="N1531" s="12" t="s">
        <v>142</v>
      </c>
      <c r="O1531" s="12" t="s">
        <v>151</v>
      </c>
      <c r="P1531" s="12" t="s">
        <v>622</v>
      </c>
      <c r="Q1531" s="7" t="str">
        <f t="shared" si="70"/>
        <v>(1986,26,'1986.06.28',1,10,44,79,82,0),</v>
      </c>
      <c r="R1531" s="7" t="str">
        <f t="shared" si="72"/>
        <v>(1986,26,'1986.06.28',1,10,44,79,82),</v>
      </c>
    </row>
    <row r="1532" spans="1:18" x14ac:dyDescent="0.25">
      <c r="A1532" s="7" t="s">
        <v>5851</v>
      </c>
      <c r="B1532" s="8" t="s">
        <v>135</v>
      </c>
      <c r="C1532" s="10">
        <f t="shared" si="71"/>
        <v>31598</v>
      </c>
      <c r="D1532" t="s">
        <v>11</v>
      </c>
      <c r="E1532" t="s">
        <v>12</v>
      </c>
      <c r="F1532" t="s">
        <v>11</v>
      </c>
      <c r="G1532" t="s">
        <v>12</v>
      </c>
      <c r="H1532" t="s">
        <v>11</v>
      </c>
      <c r="I1532" t="s">
        <v>12</v>
      </c>
      <c r="J1532" t="s">
        <v>11</v>
      </c>
      <c r="K1532" t="s">
        <v>12</v>
      </c>
      <c r="L1532" s="12" t="s">
        <v>108</v>
      </c>
      <c r="M1532" s="12" t="s">
        <v>83</v>
      </c>
      <c r="N1532" s="12" t="s">
        <v>65</v>
      </c>
      <c r="O1532" s="12" t="s">
        <v>44</v>
      </c>
      <c r="P1532" s="12" t="s">
        <v>99</v>
      </c>
      <c r="Q1532" s="7" t="str">
        <f t="shared" si="70"/>
        <v>(1986,27,'1986.07.05',1,11,13,21,52,0),</v>
      </c>
      <c r="R1532" s="7" t="str">
        <f t="shared" si="72"/>
        <v>(1986,27,'1986.07.05',1,11,13,21,52),</v>
      </c>
    </row>
    <row r="1533" spans="1:18" x14ac:dyDescent="0.25">
      <c r="A1533" s="7" t="s">
        <v>5851</v>
      </c>
      <c r="B1533" s="8" t="s">
        <v>126</v>
      </c>
      <c r="C1533" s="10">
        <f t="shared" si="71"/>
        <v>31605</v>
      </c>
      <c r="D1533" t="s">
        <v>11</v>
      </c>
      <c r="E1533" t="s">
        <v>12</v>
      </c>
      <c r="F1533" t="s">
        <v>11</v>
      </c>
      <c r="G1533" t="s">
        <v>12</v>
      </c>
      <c r="H1533" t="s">
        <v>11</v>
      </c>
      <c r="I1533" t="s">
        <v>12</v>
      </c>
      <c r="J1533" t="s">
        <v>11</v>
      </c>
      <c r="K1533" t="s">
        <v>12</v>
      </c>
      <c r="L1533" s="12" t="s">
        <v>21</v>
      </c>
      <c r="M1533" s="12" t="s">
        <v>34</v>
      </c>
      <c r="N1533" s="12" t="s">
        <v>56</v>
      </c>
      <c r="O1533" s="12" t="s">
        <v>239</v>
      </c>
      <c r="P1533" s="12" t="s">
        <v>379</v>
      </c>
      <c r="Q1533" s="7" t="str">
        <f t="shared" si="70"/>
        <v>(1986,28,'1986.07.12',36,49,71,73,89,0),</v>
      </c>
      <c r="R1533" s="7" t="str">
        <f t="shared" si="72"/>
        <v>(1986,28,'1986.07.12',36,49,71,73,89),</v>
      </c>
    </row>
    <row r="1534" spans="1:18" x14ac:dyDescent="0.25">
      <c r="A1534" s="7" t="s">
        <v>5851</v>
      </c>
      <c r="B1534" s="8" t="s">
        <v>116</v>
      </c>
      <c r="C1534" s="10">
        <f t="shared" si="71"/>
        <v>31612</v>
      </c>
      <c r="D1534" t="s">
        <v>11</v>
      </c>
      <c r="E1534" t="s">
        <v>12</v>
      </c>
      <c r="F1534" t="s">
        <v>11</v>
      </c>
      <c r="G1534" t="s">
        <v>12</v>
      </c>
      <c r="H1534" t="s">
        <v>11</v>
      </c>
      <c r="I1534" t="s">
        <v>12</v>
      </c>
      <c r="J1534" t="s">
        <v>11</v>
      </c>
      <c r="K1534" t="s">
        <v>12</v>
      </c>
      <c r="L1534" s="12" t="s">
        <v>65</v>
      </c>
      <c r="M1534" s="12" t="s">
        <v>115</v>
      </c>
      <c r="N1534" s="12" t="s">
        <v>107</v>
      </c>
      <c r="O1534" s="12" t="s">
        <v>63</v>
      </c>
      <c r="P1534" s="12" t="s">
        <v>379</v>
      </c>
      <c r="Q1534" s="7" t="str">
        <f t="shared" si="70"/>
        <v>(1986,29,'1986.07.19',13,20,30,78,89,0),</v>
      </c>
      <c r="R1534" s="7" t="str">
        <f t="shared" si="72"/>
        <v>(1986,29,'1986.07.19',13,20,30,78,89),</v>
      </c>
    </row>
    <row r="1535" spans="1:18" x14ac:dyDescent="0.25">
      <c r="A1535" s="7" t="s">
        <v>5851</v>
      </c>
      <c r="B1535" s="8" t="s">
        <v>107</v>
      </c>
      <c r="C1535" s="10">
        <f t="shared" si="71"/>
        <v>31619</v>
      </c>
      <c r="D1535" t="s">
        <v>11</v>
      </c>
      <c r="E1535" t="s">
        <v>12</v>
      </c>
      <c r="F1535" t="s">
        <v>11</v>
      </c>
      <c r="G1535" t="s">
        <v>12</v>
      </c>
      <c r="H1535" t="s">
        <v>11</v>
      </c>
      <c r="I1535" t="s">
        <v>12</v>
      </c>
      <c r="J1535" t="s">
        <v>11</v>
      </c>
      <c r="K1535" t="s">
        <v>12</v>
      </c>
      <c r="L1535" s="12" t="s">
        <v>54</v>
      </c>
      <c r="M1535" s="12" t="s">
        <v>107</v>
      </c>
      <c r="N1535" s="12" t="s">
        <v>46</v>
      </c>
      <c r="O1535" s="12" t="s">
        <v>105</v>
      </c>
      <c r="P1535" s="12" t="s">
        <v>82</v>
      </c>
      <c r="Q1535" s="7" t="str">
        <f t="shared" si="70"/>
        <v>(1986,30,'1986.07.26',15,30,37,50,59,0),</v>
      </c>
      <c r="R1535" s="7" t="str">
        <f t="shared" si="72"/>
        <v>(1986,30,'1986.07.26',15,30,37,50,59),</v>
      </c>
    </row>
    <row r="1536" spans="1:18" x14ac:dyDescent="0.25">
      <c r="A1536" s="7" t="s">
        <v>5851</v>
      </c>
      <c r="B1536" s="8" t="s">
        <v>71</v>
      </c>
      <c r="C1536" s="10">
        <f t="shared" si="71"/>
        <v>31626</v>
      </c>
      <c r="D1536" t="s">
        <v>11</v>
      </c>
      <c r="E1536" t="s">
        <v>12</v>
      </c>
      <c r="F1536" t="s">
        <v>11</v>
      </c>
      <c r="G1536" t="s">
        <v>12</v>
      </c>
      <c r="H1536" t="s">
        <v>11</v>
      </c>
      <c r="I1536" t="s">
        <v>12</v>
      </c>
      <c r="J1536" t="s">
        <v>11</v>
      </c>
      <c r="K1536" t="s">
        <v>12</v>
      </c>
      <c r="L1536" s="12" t="s">
        <v>83</v>
      </c>
      <c r="M1536" s="12" t="s">
        <v>43</v>
      </c>
      <c r="N1536" s="12" t="s">
        <v>19</v>
      </c>
      <c r="O1536" s="12" t="s">
        <v>201</v>
      </c>
      <c r="P1536" s="12" t="s">
        <v>468</v>
      </c>
      <c r="Q1536" s="7" t="str">
        <f t="shared" si="70"/>
        <v>(1986,31,'1986.08.02',11,16,18,72,85,0),</v>
      </c>
      <c r="R1536" s="7" t="str">
        <f t="shared" si="72"/>
        <v>(1986,31,'1986.08.02',11,16,18,72,85),</v>
      </c>
    </row>
    <row r="1537" spans="1:18" x14ac:dyDescent="0.25">
      <c r="A1537" s="7" t="s">
        <v>5851</v>
      </c>
      <c r="B1537" s="8" t="s">
        <v>80</v>
      </c>
      <c r="C1537" s="10">
        <f t="shared" si="71"/>
        <v>31633</v>
      </c>
      <c r="D1537" t="s">
        <v>11</v>
      </c>
      <c r="E1537" t="s">
        <v>12</v>
      </c>
      <c r="F1537" t="s">
        <v>11</v>
      </c>
      <c r="G1537" t="s">
        <v>12</v>
      </c>
      <c r="H1537" t="s">
        <v>11</v>
      </c>
      <c r="I1537" t="s">
        <v>12</v>
      </c>
      <c r="J1537" t="s">
        <v>11</v>
      </c>
      <c r="K1537" t="s">
        <v>12</v>
      </c>
      <c r="L1537" s="12" t="s">
        <v>54</v>
      </c>
      <c r="M1537" s="12" t="s">
        <v>45</v>
      </c>
      <c r="N1537" s="12" t="s">
        <v>22</v>
      </c>
      <c r="O1537" s="12" t="s">
        <v>47</v>
      </c>
      <c r="P1537" s="12" t="s">
        <v>73</v>
      </c>
      <c r="Q1537" s="7" t="str">
        <f t="shared" si="70"/>
        <v>(1986,32,'1986.08.09',15,43,48,69,76,0),</v>
      </c>
      <c r="R1537" s="7" t="str">
        <f t="shared" si="72"/>
        <v>(1986,32,'1986.08.09',15,43,48,69,76),</v>
      </c>
    </row>
    <row r="1538" spans="1:18" x14ac:dyDescent="0.25">
      <c r="A1538" s="7" t="s">
        <v>5851</v>
      </c>
      <c r="B1538" s="8" t="s">
        <v>20</v>
      </c>
      <c r="C1538" s="10">
        <f t="shared" si="71"/>
        <v>31640</v>
      </c>
      <c r="D1538" t="s">
        <v>11</v>
      </c>
      <c r="E1538" t="s">
        <v>12</v>
      </c>
      <c r="F1538" t="s">
        <v>11</v>
      </c>
      <c r="G1538" t="s">
        <v>12</v>
      </c>
      <c r="H1538" t="s">
        <v>11</v>
      </c>
      <c r="I1538" t="s">
        <v>12</v>
      </c>
      <c r="J1538" t="s">
        <v>11</v>
      </c>
      <c r="K1538" t="s">
        <v>12</v>
      </c>
      <c r="L1538" s="12" t="s">
        <v>116</v>
      </c>
      <c r="M1538" s="12" t="s">
        <v>122</v>
      </c>
      <c r="N1538" s="12" t="s">
        <v>91</v>
      </c>
      <c r="O1538" s="12" t="s">
        <v>124</v>
      </c>
      <c r="P1538" s="12" t="s">
        <v>308</v>
      </c>
      <c r="Q1538" s="7" t="str">
        <f t="shared" ref="Q1538:Q1601" si="73">"("&amp;A1538&amp;","&amp;B1538&amp;",'"&amp;TEXT(C1538,"éééé.hh.nn")&amp;"',"&amp;L1538&amp;","&amp;M1538&amp;","&amp;N1538&amp;","&amp;O1538&amp;","&amp;P1538&amp;",0)"&amp;IF(P1539&lt;&gt;0,",","")</f>
        <v>(1986,33,'1986.08.16',29,51,61,62,86,0),</v>
      </c>
      <c r="R1538" s="7" t="str">
        <f t="shared" si="72"/>
        <v>(1986,33,'1986.08.16',29,51,61,62,86),</v>
      </c>
    </row>
    <row r="1539" spans="1:18" x14ac:dyDescent="0.25">
      <c r="A1539" s="7" t="s">
        <v>5851</v>
      </c>
      <c r="B1539" s="8" t="s">
        <v>25</v>
      </c>
      <c r="C1539" s="10">
        <f t="shared" ref="C1539:C1602" si="74">+C1538+7</f>
        <v>31647</v>
      </c>
      <c r="D1539" t="s">
        <v>11</v>
      </c>
      <c r="E1539" t="s">
        <v>12</v>
      </c>
      <c r="F1539" t="s">
        <v>11</v>
      </c>
      <c r="G1539" t="s">
        <v>12</v>
      </c>
      <c r="H1539" t="s">
        <v>11</v>
      </c>
      <c r="I1539" t="s">
        <v>12</v>
      </c>
      <c r="J1539" t="s">
        <v>11</v>
      </c>
      <c r="K1539" t="s">
        <v>12</v>
      </c>
      <c r="L1539" s="12" t="s">
        <v>270</v>
      </c>
      <c r="M1539" s="12" t="s">
        <v>53</v>
      </c>
      <c r="N1539" s="12" t="s">
        <v>54</v>
      </c>
      <c r="O1539" s="12" t="s">
        <v>43</v>
      </c>
      <c r="P1539" s="12" t="s">
        <v>143</v>
      </c>
      <c r="Q1539" s="7" t="str">
        <f t="shared" si="73"/>
        <v>(1986,34,'1986.08.23',6,7,15,16,77,0),</v>
      </c>
      <c r="R1539" s="7" t="str">
        <f t="shared" ref="R1539:R1602" si="75">IF(TRIM(P1539)="","","("&amp;A1539&amp;","&amp;B1539&amp;",'"&amp;TEXT(C1539,"éééé.hh.nn")&amp;"',"&amp;L1539&amp;","&amp;M1539&amp;","&amp;N1539&amp;","&amp;O1539&amp;","&amp;P1539&amp;")"&amp;IF(P1540=0,";",","))</f>
        <v>(1986,34,'1986.08.23',6,7,15,16,77),</v>
      </c>
    </row>
    <row r="1540" spans="1:18" x14ac:dyDescent="0.25">
      <c r="A1540" s="7" t="s">
        <v>5851</v>
      </c>
      <c r="B1540" s="8" t="s">
        <v>64</v>
      </c>
      <c r="C1540" s="10">
        <f t="shared" si="74"/>
        <v>31654</v>
      </c>
      <c r="D1540" t="s">
        <v>11</v>
      </c>
      <c r="E1540" t="s">
        <v>12</v>
      </c>
      <c r="F1540" t="s">
        <v>11</v>
      </c>
      <c r="G1540" t="s">
        <v>12</v>
      </c>
      <c r="H1540" t="s">
        <v>11</v>
      </c>
      <c r="I1540" t="s">
        <v>12</v>
      </c>
      <c r="J1540" t="s">
        <v>11</v>
      </c>
      <c r="K1540" t="s">
        <v>12</v>
      </c>
      <c r="L1540" s="12" t="s">
        <v>135</v>
      </c>
      <c r="M1540" s="12" t="s">
        <v>116</v>
      </c>
      <c r="N1540" s="12" t="s">
        <v>107</v>
      </c>
      <c r="O1540" s="12" t="s">
        <v>150</v>
      </c>
      <c r="P1540" s="12" t="s">
        <v>125</v>
      </c>
      <c r="Q1540" s="7" t="str">
        <f t="shared" si="73"/>
        <v>(1986,35,'1986.08.30',27,29,30,57,83,0),</v>
      </c>
      <c r="R1540" s="7" t="str">
        <f t="shared" si="75"/>
        <v>(1986,35,'1986.08.30',27,29,30,57,83),</v>
      </c>
    </row>
    <row r="1541" spans="1:18" x14ac:dyDescent="0.25">
      <c r="A1541" s="7" t="s">
        <v>5851</v>
      </c>
      <c r="B1541" s="8" t="s">
        <v>21</v>
      </c>
      <c r="C1541" s="10">
        <f t="shared" si="74"/>
        <v>31661</v>
      </c>
      <c r="D1541" t="s">
        <v>11</v>
      </c>
      <c r="E1541" t="s">
        <v>12</v>
      </c>
      <c r="F1541" t="s">
        <v>11</v>
      </c>
      <c r="G1541" t="s">
        <v>12</v>
      </c>
      <c r="H1541" t="s">
        <v>11</v>
      </c>
      <c r="I1541" t="s">
        <v>12</v>
      </c>
      <c r="J1541" t="s">
        <v>11</v>
      </c>
      <c r="K1541" t="s">
        <v>12</v>
      </c>
      <c r="L1541" s="12" t="s">
        <v>42</v>
      </c>
      <c r="M1541" s="12" t="s">
        <v>55</v>
      </c>
      <c r="N1541" s="12" t="s">
        <v>80</v>
      </c>
      <c r="O1541" s="12" t="s">
        <v>34</v>
      </c>
      <c r="P1541" s="12" t="s">
        <v>47</v>
      </c>
      <c r="Q1541" s="7" t="str">
        <f t="shared" si="73"/>
        <v>(1986,36,'1986.09.06',3,19,32,49,69,0),</v>
      </c>
      <c r="R1541" s="7" t="str">
        <f t="shared" si="75"/>
        <v>(1986,36,'1986.09.06',3,19,32,49,69),</v>
      </c>
    </row>
    <row r="1542" spans="1:18" x14ac:dyDescent="0.25">
      <c r="A1542" s="7" t="s">
        <v>5851</v>
      </c>
      <c r="B1542" s="8" t="s">
        <v>46</v>
      </c>
      <c r="C1542" s="10">
        <f t="shared" si="74"/>
        <v>31668</v>
      </c>
      <c r="D1542" t="s">
        <v>11</v>
      </c>
      <c r="E1542" t="s">
        <v>12</v>
      </c>
      <c r="F1542" t="s">
        <v>11</v>
      </c>
      <c r="G1542" t="s">
        <v>12</v>
      </c>
      <c r="H1542" t="s">
        <v>11</v>
      </c>
      <c r="I1542" t="s">
        <v>12</v>
      </c>
      <c r="J1542" t="s">
        <v>11</v>
      </c>
      <c r="K1542" t="s">
        <v>12</v>
      </c>
      <c r="L1542" s="12" t="s">
        <v>89</v>
      </c>
      <c r="M1542" s="12" t="s">
        <v>90</v>
      </c>
      <c r="N1542" s="12" t="s">
        <v>45</v>
      </c>
      <c r="O1542" s="12" t="s">
        <v>22</v>
      </c>
      <c r="P1542" s="12" t="s">
        <v>186</v>
      </c>
      <c r="Q1542" s="7" t="str">
        <f t="shared" si="73"/>
        <v>(1986,37,'1986.09.13',5,17,43,48,90,0),</v>
      </c>
      <c r="R1542" s="7" t="str">
        <f t="shared" si="75"/>
        <v>(1986,37,'1986.09.13',5,17,43,48,90),</v>
      </c>
    </row>
    <row r="1543" spans="1:18" x14ac:dyDescent="0.25">
      <c r="A1543" s="7" t="s">
        <v>5851</v>
      </c>
      <c r="B1543" s="8" t="s">
        <v>36</v>
      </c>
      <c r="C1543" s="10">
        <f t="shared" si="74"/>
        <v>31675</v>
      </c>
      <c r="D1543" t="s">
        <v>11</v>
      </c>
      <c r="E1543" t="s">
        <v>12</v>
      </c>
      <c r="F1543" t="s">
        <v>11</v>
      </c>
      <c r="G1543" t="s">
        <v>12</v>
      </c>
      <c r="H1543" t="s">
        <v>11</v>
      </c>
      <c r="I1543" t="s">
        <v>12</v>
      </c>
      <c r="J1543" t="s">
        <v>11</v>
      </c>
      <c r="K1543" t="s">
        <v>12</v>
      </c>
      <c r="L1543" s="12" t="s">
        <v>115</v>
      </c>
      <c r="M1543" s="12" t="s">
        <v>33</v>
      </c>
      <c r="N1543" s="12" t="s">
        <v>142</v>
      </c>
      <c r="O1543" s="12" t="s">
        <v>91</v>
      </c>
      <c r="P1543" s="12" t="s">
        <v>201</v>
      </c>
      <c r="Q1543" s="7" t="str">
        <f t="shared" si="73"/>
        <v>(1986,38,'1986.09.20',20,24,44,61,72,0),</v>
      </c>
      <c r="R1543" s="7" t="str">
        <f t="shared" si="75"/>
        <v>(1986,38,'1986.09.20',20,24,44,61,72),</v>
      </c>
    </row>
    <row r="1544" spans="1:18" x14ac:dyDescent="0.25">
      <c r="A1544" s="7" t="s">
        <v>5851</v>
      </c>
      <c r="B1544" s="8" t="s">
        <v>24</v>
      </c>
      <c r="C1544" s="10">
        <f t="shared" si="74"/>
        <v>31682</v>
      </c>
      <c r="D1544" t="s">
        <v>11</v>
      </c>
      <c r="E1544" t="s">
        <v>12</v>
      </c>
      <c r="F1544" t="s">
        <v>11</v>
      </c>
      <c r="G1544" t="s">
        <v>12</v>
      </c>
      <c r="H1544" t="s">
        <v>11</v>
      </c>
      <c r="I1544" t="s">
        <v>12</v>
      </c>
      <c r="J1544" t="s">
        <v>11</v>
      </c>
      <c r="K1544" t="s">
        <v>12</v>
      </c>
      <c r="L1544" s="12" t="s">
        <v>168</v>
      </c>
      <c r="M1544" s="12" t="s">
        <v>10</v>
      </c>
      <c r="N1544" s="12" t="s">
        <v>45</v>
      </c>
      <c r="O1544" s="12" t="s">
        <v>150</v>
      </c>
      <c r="P1544" s="12" t="s">
        <v>468</v>
      </c>
      <c r="Q1544" s="7" t="str">
        <f t="shared" si="73"/>
        <v>(1986,39,'1986.09.27',4,40,43,57,85,0),</v>
      </c>
      <c r="R1544" s="7" t="str">
        <f t="shared" si="75"/>
        <v>(1986,39,'1986.09.27',4,40,43,57,85),</v>
      </c>
    </row>
    <row r="1545" spans="1:18" x14ac:dyDescent="0.25">
      <c r="A1545" s="7" t="s">
        <v>5851</v>
      </c>
      <c r="B1545" s="8" t="s">
        <v>10</v>
      </c>
      <c r="C1545" s="10">
        <f t="shared" si="74"/>
        <v>31689</v>
      </c>
      <c r="D1545" t="s">
        <v>11</v>
      </c>
      <c r="E1545" t="s">
        <v>12</v>
      </c>
      <c r="F1545" t="s">
        <v>11</v>
      </c>
      <c r="G1545" t="s">
        <v>12</v>
      </c>
      <c r="H1545" t="s">
        <v>11</v>
      </c>
      <c r="I1545" t="s">
        <v>12</v>
      </c>
      <c r="J1545" t="s">
        <v>11</v>
      </c>
      <c r="K1545" t="s">
        <v>12</v>
      </c>
      <c r="L1545" s="12" t="s">
        <v>31</v>
      </c>
      <c r="M1545" s="12" t="s">
        <v>90</v>
      </c>
      <c r="N1545" s="12" t="s">
        <v>56</v>
      </c>
      <c r="O1545" s="12" t="s">
        <v>201</v>
      </c>
      <c r="P1545" s="12" t="s">
        <v>239</v>
      </c>
      <c r="Q1545" s="7" t="str">
        <f t="shared" si="73"/>
        <v>(1986,40,'1986.10.04',12,17,71,72,73,0),</v>
      </c>
      <c r="R1545" s="7" t="str">
        <f t="shared" si="75"/>
        <v>(1986,40,'1986.10.04',12,17,71,72,73),</v>
      </c>
    </row>
    <row r="1546" spans="1:18" x14ac:dyDescent="0.25">
      <c r="A1546" s="7" t="s">
        <v>5851</v>
      </c>
      <c r="B1546" s="8" t="s">
        <v>13</v>
      </c>
      <c r="C1546" s="10">
        <f t="shared" si="74"/>
        <v>31696</v>
      </c>
      <c r="D1546" t="s">
        <v>11</v>
      </c>
      <c r="E1546" t="s">
        <v>12</v>
      </c>
      <c r="F1546" t="s">
        <v>11</v>
      </c>
      <c r="G1546" t="s">
        <v>12</v>
      </c>
      <c r="H1546" t="s">
        <v>11</v>
      </c>
      <c r="I1546" t="s">
        <v>12</v>
      </c>
      <c r="J1546" t="s">
        <v>11</v>
      </c>
      <c r="K1546" t="s">
        <v>12</v>
      </c>
      <c r="L1546" s="12" t="s">
        <v>168</v>
      </c>
      <c r="M1546" s="12" t="s">
        <v>19</v>
      </c>
      <c r="N1546" s="12" t="s">
        <v>107</v>
      </c>
      <c r="O1546" s="12" t="s">
        <v>122</v>
      </c>
      <c r="P1546" s="12" t="s">
        <v>123</v>
      </c>
      <c r="Q1546" s="7" t="str">
        <f t="shared" si="73"/>
        <v>(1986,41,'1986.10.11',4,18,30,51,54,0),</v>
      </c>
      <c r="R1546" s="7" t="str">
        <f t="shared" si="75"/>
        <v>(1986,41,'1986.10.11',4,18,30,51,54),</v>
      </c>
    </row>
    <row r="1547" spans="1:18" x14ac:dyDescent="0.25">
      <c r="A1547" s="7" t="s">
        <v>5851</v>
      </c>
      <c r="B1547" s="8" t="s">
        <v>98</v>
      </c>
      <c r="C1547" s="10">
        <f t="shared" si="74"/>
        <v>31703</v>
      </c>
      <c r="D1547" t="s">
        <v>11</v>
      </c>
      <c r="E1547" t="s">
        <v>12</v>
      </c>
      <c r="F1547" t="s">
        <v>11</v>
      </c>
      <c r="G1547" t="s">
        <v>12</v>
      </c>
      <c r="H1547" t="s">
        <v>11</v>
      </c>
      <c r="I1547" t="s">
        <v>12</v>
      </c>
      <c r="J1547" t="s">
        <v>11</v>
      </c>
      <c r="K1547" t="s">
        <v>12</v>
      </c>
      <c r="L1547" s="12" t="s">
        <v>135</v>
      </c>
      <c r="M1547" s="12" t="s">
        <v>21</v>
      </c>
      <c r="N1547" s="12" t="s">
        <v>192</v>
      </c>
      <c r="O1547" s="12" t="s">
        <v>72</v>
      </c>
      <c r="P1547" s="12" t="s">
        <v>468</v>
      </c>
      <c r="Q1547" s="7" t="str">
        <f t="shared" si="73"/>
        <v>(1986,42,'1986.10.18',27,36,46,67,85,0),</v>
      </c>
      <c r="R1547" s="7" t="str">
        <f t="shared" si="75"/>
        <v>(1986,42,'1986.10.18',27,36,46,67,85),</v>
      </c>
    </row>
    <row r="1548" spans="1:18" x14ac:dyDescent="0.25">
      <c r="A1548" s="7" t="s">
        <v>5851</v>
      </c>
      <c r="B1548" s="8" t="s">
        <v>45</v>
      </c>
      <c r="C1548" s="10">
        <f t="shared" si="74"/>
        <v>31710</v>
      </c>
      <c r="D1548" t="s">
        <v>11</v>
      </c>
      <c r="E1548" t="s">
        <v>12</v>
      </c>
      <c r="F1548" t="s">
        <v>11</v>
      </c>
      <c r="G1548" t="s">
        <v>12</v>
      </c>
      <c r="H1548" t="s">
        <v>11</v>
      </c>
      <c r="I1548" t="s">
        <v>12</v>
      </c>
      <c r="J1548" t="s">
        <v>11</v>
      </c>
      <c r="K1548" t="s">
        <v>12</v>
      </c>
      <c r="L1548" s="12" t="s">
        <v>46</v>
      </c>
      <c r="M1548" s="12" t="s">
        <v>98</v>
      </c>
      <c r="N1548" s="12" t="s">
        <v>248</v>
      </c>
      <c r="O1548" s="12" t="s">
        <v>143</v>
      </c>
      <c r="P1548" s="12" t="s">
        <v>125</v>
      </c>
      <c r="Q1548" s="7" t="str">
        <f t="shared" si="73"/>
        <v>(1986,43,'1986.10.25',37,42,63,77,83,0),</v>
      </c>
      <c r="R1548" s="7" t="str">
        <f t="shared" si="75"/>
        <v>(1986,43,'1986.10.25',37,42,63,77,83),</v>
      </c>
    </row>
    <row r="1549" spans="1:18" x14ac:dyDescent="0.25">
      <c r="A1549" s="7" t="s">
        <v>5851</v>
      </c>
      <c r="B1549" s="8" t="s">
        <v>142</v>
      </c>
      <c r="C1549" s="10">
        <f t="shared" si="74"/>
        <v>31717</v>
      </c>
      <c r="D1549" t="s">
        <v>11</v>
      </c>
      <c r="E1549" t="s">
        <v>12</v>
      </c>
      <c r="F1549" t="s">
        <v>11</v>
      </c>
      <c r="G1549" t="s">
        <v>12</v>
      </c>
      <c r="H1549" t="s">
        <v>11</v>
      </c>
      <c r="I1549" t="s">
        <v>12</v>
      </c>
      <c r="J1549" t="s">
        <v>11</v>
      </c>
      <c r="K1549" t="s">
        <v>12</v>
      </c>
      <c r="L1549" s="12" t="s">
        <v>108</v>
      </c>
      <c r="M1549" s="12" t="s">
        <v>81</v>
      </c>
      <c r="N1549" s="12" t="s">
        <v>105</v>
      </c>
      <c r="O1549" s="12" t="s">
        <v>47</v>
      </c>
      <c r="P1549" s="12" t="s">
        <v>125</v>
      </c>
      <c r="Q1549" s="7" t="str">
        <f t="shared" si="73"/>
        <v>(1986,44,'1986.11.01',1,47,50,69,83,0),</v>
      </c>
      <c r="R1549" s="7" t="str">
        <f t="shared" si="75"/>
        <v>(1986,44,'1986.11.01',1,47,50,69,83),</v>
      </c>
    </row>
    <row r="1550" spans="1:18" x14ac:dyDescent="0.25">
      <c r="A1550" s="7" t="s">
        <v>5851</v>
      </c>
      <c r="B1550" s="8" t="s">
        <v>133</v>
      </c>
      <c r="C1550" s="10">
        <f t="shared" si="74"/>
        <v>31724</v>
      </c>
      <c r="D1550" t="s">
        <v>11</v>
      </c>
      <c r="E1550" t="s">
        <v>12</v>
      </c>
      <c r="F1550" t="s">
        <v>11</v>
      </c>
      <c r="G1550" t="s">
        <v>12</v>
      </c>
      <c r="H1550" t="s">
        <v>11</v>
      </c>
      <c r="I1550" t="s">
        <v>12</v>
      </c>
      <c r="J1550" t="s">
        <v>11</v>
      </c>
      <c r="K1550" t="s">
        <v>12</v>
      </c>
      <c r="L1550" s="12" t="s">
        <v>108</v>
      </c>
      <c r="M1550" s="12" t="s">
        <v>19</v>
      </c>
      <c r="N1550" s="12" t="s">
        <v>64</v>
      </c>
      <c r="O1550" s="12" t="s">
        <v>123</v>
      </c>
      <c r="P1550" s="12" t="s">
        <v>169</v>
      </c>
      <c r="Q1550" s="7" t="str">
        <f t="shared" si="73"/>
        <v>(1986,45,'1986.11.08',1,18,35,54,58,0),</v>
      </c>
      <c r="R1550" s="7" t="str">
        <f t="shared" si="75"/>
        <v>(1986,45,'1986.11.08',1,18,35,54,58),</v>
      </c>
    </row>
    <row r="1551" spans="1:18" x14ac:dyDescent="0.25">
      <c r="A1551" s="7" t="s">
        <v>5851</v>
      </c>
      <c r="B1551" s="8" t="s">
        <v>192</v>
      </c>
      <c r="C1551" s="10">
        <f t="shared" si="74"/>
        <v>31731</v>
      </c>
      <c r="D1551" t="s">
        <v>11</v>
      </c>
      <c r="E1551" t="s">
        <v>12</v>
      </c>
      <c r="F1551" t="s">
        <v>11</v>
      </c>
      <c r="G1551" t="s">
        <v>12</v>
      </c>
      <c r="H1551" t="s">
        <v>11</v>
      </c>
      <c r="I1551" t="s">
        <v>12</v>
      </c>
      <c r="J1551" t="s">
        <v>11</v>
      </c>
      <c r="K1551" t="s">
        <v>12</v>
      </c>
      <c r="L1551" s="12" t="s">
        <v>65</v>
      </c>
      <c r="M1551" s="12" t="s">
        <v>54</v>
      </c>
      <c r="N1551" s="12" t="s">
        <v>23</v>
      </c>
      <c r="O1551" s="12" t="s">
        <v>92</v>
      </c>
      <c r="P1551" s="12" t="s">
        <v>143</v>
      </c>
      <c r="Q1551" s="7" t="str">
        <f t="shared" si="73"/>
        <v>(1986,46,'1986.11.15',13,15,60,68,77,0),</v>
      </c>
      <c r="R1551" s="7" t="str">
        <f t="shared" si="75"/>
        <v>(1986,46,'1986.11.15',13,15,60,68,77),</v>
      </c>
    </row>
    <row r="1552" spans="1:18" x14ac:dyDescent="0.25">
      <c r="A1552" s="7" t="s">
        <v>5851</v>
      </c>
      <c r="B1552" s="8" t="s">
        <v>81</v>
      </c>
      <c r="C1552" s="10">
        <f t="shared" si="74"/>
        <v>31738</v>
      </c>
      <c r="D1552" t="s">
        <v>11</v>
      </c>
      <c r="E1552" t="s">
        <v>12</v>
      </c>
      <c r="F1552" t="s">
        <v>11</v>
      </c>
      <c r="G1552" t="s">
        <v>12</v>
      </c>
      <c r="H1552" t="s">
        <v>11</v>
      </c>
      <c r="I1552" t="s">
        <v>12</v>
      </c>
      <c r="J1552" t="s">
        <v>11</v>
      </c>
      <c r="K1552" t="s">
        <v>12</v>
      </c>
      <c r="L1552" s="12" t="s">
        <v>270</v>
      </c>
      <c r="M1552" s="12" t="s">
        <v>115</v>
      </c>
      <c r="N1552" s="12" t="s">
        <v>23</v>
      </c>
      <c r="O1552" s="12" t="s">
        <v>91</v>
      </c>
      <c r="P1552" s="12" t="s">
        <v>239</v>
      </c>
      <c r="Q1552" s="7" t="str">
        <f t="shared" si="73"/>
        <v>(1986,47,'1986.11.22',6,20,60,61,73,0),</v>
      </c>
      <c r="R1552" s="7" t="str">
        <f t="shared" si="75"/>
        <v>(1986,47,'1986.11.22',6,20,60,61,73),</v>
      </c>
    </row>
    <row r="1553" spans="1:18" x14ac:dyDescent="0.25">
      <c r="A1553" s="7" t="s">
        <v>5851</v>
      </c>
      <c r="B1553" s="8" t="s">
        <v>22</v>
      </c>
      <c r="C1553" s="10">
        <f t="shared" si="74"/>
        <v>31745</v>
      </c>
      <c r="D1553" t="s">
        <v>11</v>
      </c>
      <c r="E1553" t="s">
        <v>12</v>
      </c>
      <c r="F1553" t="s">
        <v>11</v>
      </c>
      <c r="G1553" t="s">
        <v>12</v>
      </c>
      <c r="H1553" t="s">
        <v>11</v>
      </c>
      <c r="I1553" t="s">
        <v>12</v>
      </c>
      <c r="J1553" t="s">
        <v>11</v>
      </c>
      <c r="K1553" t="s">
        <v>12</v>
      </c>
      <c r="L1553" s="12" t="s">
        <v>19</v>
      </c>
      <c r="M1553" s="12" t="s">
        <v>55</v>
      </c>
      <c r="N1553" s="12" t="s">
        <v>175</v>
      </c>
      <c r="O1553" s="12" t="s">
        <v>233</v>
      </c>
      <c r="P1553" s="12" t="s">
        <v>92</v>
      </c>
      <c r="Q1553" s="7" t="str">
        <f t="shared" si="73"/>
        <v>(1986,48,'1986.11.29',18,19,55,66,68,0),</v>
      </c>
      <c r="R1553" s="7" t="str">
        <f t="shared" si="75"/>
        <v>(1986,48,'1986.11.29',18,19,55,66,68),</v>
      </c>
    </row>
    <row r="1554" spans="1:18" x14ac:dyDescent="0.25">
      <c r="A1554" s="7" t="s">
        <v>5851</v>
      </c>
      <c r="B1554" s="8" t="s">
        <v>34</v>
      </c>
      <c r="C1554" s="10">
        <f t="shared" si="74"/>
        <v>31752</v>
      </c>
      <c r="D1554" t="s">
        <v>11</v>
      </c>
      <c r="E1554" t="s">
        <v>12</v>
      </c>
      <c r="F1554" t="s">
        <v>11</v>
      </c>
      <c r="G1554" t="s">
        <v>12</v>
      </c>
      <c r="H1554" t="s">
        <v>11</v>
      </c>
      <c r="I1554" t="s">
        <v>12</v>
      </c>
      <c r="J1554" t="s">
        <v>11</v>
      </c>
      <c r="K1554" t="s">
        <v>12</v>
      </c>
      <c r="L1554" s="12" t="s">
        <v>232</v>
      </c>
      <c r="M1554" s="12" t="s">
        <v>62</v>
      </c>
      <c r="N1554" s="12" t="s">
        <v>175</v>
      </c>
      <c r="O1554" s="12" t="s">
        <v>150</v>
      </c>
      <c r="P1554" s="12" t="s">
        <v>186</v>
      </c>
      <c r="Q1554" s="7" t="str">
        <f t="shared" si="73"/>
        <v>(1986,49,'1986.12.06',8,10,55,57,90,0),</v>
      </c>
      <c r="R1554" s="7" t="str">
        <f t="shared" si="75"/>
        <v>(1986,49,'1986.12.06',8,10,55,57,90),</v>
      </c>
    </row>
    <row r="1555" spans="1:18" x14ac:dyDescent="0.25">
      <c r="A1555" s="7" t="s">
        <v>5851</v>
      </c>
      <c r="B1555" s="8" t="s">
        <v>105</v>
      </c>
      <c r="C1555" s="10">
        <f t="shared" si="74"/>
        <v>31759</v>
      </c>
      <c r="D1555" t="s">
        <v>11</v>
      </c>
      <c r="E1555" t="s">
        <v>12</v>
      </c>
      <c r="F1555" t="s">
        <v>11</v>
      </c>
      <c r="G1555" t="s">
        <v>12</v>
      </c>
      <c r="H1555" t="s">
        <v>11</v>
      </c>
      <c r="I1555" t="s">
        <v>12</v>
      </c>
      <c r="J1555" t="s">
        <v>11</v>
      </c>
      <c r="K1555" t="s">
        <v>12</v>
      </c>
      <c r="L1555" s="12" t="s">
        <v>62</v>
      </c>
      <c r="M1555" s="12" t="s">
        <v>46</v>
      </c>
      <c r="N1555" s="12" t="s">
        <v>122</v>
      </c>
      <c r="O1555" s="12" t="s">
        <v>246</v>
      </c>
      <c r="P1555" s="12" t="s">
        <v>186</v>
      </c>
      <c r="Q1555" s="7" t="str">
        <f t="shared" si="73"/>
        <v>(1986,50,'1986.12.13',10,37,51,84,90,0),</v>
      </c>
      <c r="R1555" s="7" t="str">
        <f t="shared" si="75"/>
        <v>(1986,50,'1986.12.13',10,37,51,84,90),</v>
      </c>
    </row>
    <row r="1556" spans="1:18" x14ac:dyDescent="0.25">
      <c r="A1556" s="7" t="s">
        <v>5851</v>
      </c>
      <c r="B1556" s="8" t="s">
        <v>122</v>
      </c>
      <c r="C1556" s="10">
        <f t="shared" si="74"/>
        <v>31766</v>
      </c>
      <c r="D1556" t="s">
        <v>11</v>
      </c>
      <c r="E1556" t="s">
        <v>12</v>
      </c>
      <c r="F1556" t="s">
        <v>11</v>
      </c>
      <c r="G1556" t="s">
        <v>12</v>
      </c>
      <c r="H1556" t="s">
        <v>11</v>
      </c>
      <c r="I1556" t="s">
        <v>12</v>
      </c>
      <c r="J1556" t="s">
        <v>11</v>
      </c>
      <c r="K1556" t="s">
        <v>12</v>
      </c>
      <c r="L1556" s="12" t="s">
        <v>31</v>
      </c>
      <c r="M1556" s="12" t="s">
        <v>25</v>
      </c>
      <c r="N1556" s="12" t="s">
        <v>36</v>
      </c>
      <c r="O1556" s="12" t="s">
        <v>35</v>
      </c>
      <c r="P1556" s="12" t="s">
        <v>143</v>
      </c>
      <c r="Q1556" s="7" t="str">
        <f t="shared" si="73"/>
        <v>(1986,51,'1986.12.20',12,34,38,65,77,0),</v>
      </c>
      <c r="R1556" s="7" t="str">
        <f t="shared" si="75"/>
        <v>(1986,51,'1986.12.20',12,34,38,65,77),</v>
      </c>
    </row>
    <row r="1557" spans="1:18" x14ac:dyDescent="0.25">
      <c r="A1557" s="7" t="s">
        <v>5851</v>
      </c>
      <c r="B1557" s="8" t="s">
        <v>99</v>
      </c>
      <c r="C1557" s="10">
        <f t="shared" si="74"/>
        <v>31773</v>
      </c>
      <c r="D1557" t="s">
        <v>11</v>
      </c>
      <c r="E1557" t="s">
        <v>12</v>
      </c>
      <c r="F1557" t="s">
        <v>11</v>
      </c>
      <c r="G1557" t="s">
        <v>12</v>
      </c>
      <c r="H1557" t="s">
        <v>11</v>
      </c>
      <c r="I1557" t="s">
        <v>12</v>
      </c>
      <c r="J1557" t="s">
        <v>11</v>
      </c>
      <c r="K1557" t="s">
        <v>12</v>
      </c>
      <c r="L1557" s="12" t="s">
        <v>198</v>
      </c>
      <c r="M1557" s="12" t="s">
        <v>20</v>
      </c>
      <c r="N1557" s="12" t="s">
        <v>24</v>
      </c>
      <c r="O1557" s="12" t="s">
        <v>98</v>
      </c>
      <c r="P1557" s="12" t="s">
        <v>175</v>
      </c>
      <c r="Q1557" s="7" t="str">
        <f t="shared" si="73"/>
        <v>(1986,52,'1986.12.27',9,33,39,42,55,0),</v>
      </c>
      <c r="R1557" s="7" t="str">
        <f t="shared" si="75"/>
        <v>(1986,52,'1986.12.27',9,33,39,42,55),</v>
      </c>
    </row>
    <row r="1558" spans="1:18" x14ac:dyDescent="0.25">
      <c r="A1558" s="7" t="s">
        <v>1592</v>
      </c>
      <c r="B1558" s="8" t="s">
        <v>108</v>
      </c>
      <c r="C1558" s="10">
        <f t="shared" si="74"/>
        <v>31780</v>
      </c>
      <c r="D1558" t="s">
        <v>11</v>
      </c>
      <c r="E1558" t="s">
        <v>12</v>
      </c>
      <c r="F1558" t="s">
        <v>11</v>
      </c>
      <c r="G1558" t="s">
        <v>12</v>
      </c>
      <c r="H1558" t="s">
        <v>11</v>
      </c>
      <c r="I1558" t="s">
        <v>12</v>
      </c>
      <c r="J1558" t="s">
        <v>11</v>
      </c>
      <c r="K1558" t="s">
        <v>12</v>
      </c>
      <c r="L1558" s="12" t="s">
        <v>83</v>
      </c>
      <c r="M1558" s="12" t="s">
        <v>150</v>
      </c>
      <c r="N1558" s="12" t="s">
        <v>169</v>
      </c>
      <c r="O1558" s="12" t="s">
        <v>92</v>
      </c>
      <c r="P1558" s="12" t="s">
        <v>73</v>
      </c>
      <c r="Q1558" s="7" t="str">
        <f t="shared" si="73"/>
        <v>(1987,1,'1987.01.03',11,57,58,68,76,0),</v>
      </c>
      <c r="R1558" s="7" t="str">
        <f t="shared" si="75"/>
        <v>(1987,1,'1987.01.03',11,57,58,68,76),</v>
      </c>
    </row>
    <row r="1559" spans="1:18" x14ac:dyDescent="0.25">
      <c r="A1559" s="7" t="s">
        <v>1592</v>
      </c>
      <c r="B1559" s="8" t="s">
        <v>207</v>
      </c>
      <c r="C1559" s="10">
        <f t="shared" si="74"/>
        <v>31787</v>
      </c>
      <c r="D1559" t="s">
        <v>11</v>
      </c>
      <c r="E1559" t="s">
        <v>12</v>
      </c>
      <c r="F1559" t="s">
        <v>11</v>
      </c>
      <c r="G1559" t="s">
        <v>12</v>
      </c>
      <c r="H1559" t="s">
        <v>11</v>
      </c>
      <c r="I1559" t="s">
        <v>12</v>
      </c>
      <c r="J1559" t="s">
        <v>11</v>
      </c>
      <c r="K1559" t="s">
        <v>12</v>
      </c>
      <c r="L1559" s="12" t="s">
        <v>83</v>
      </c>
      <c r="M1559" s="12" t="s">
        <v>13</v>
      </c>
      <c r="N1559" s="12" t="s">
        <v>91</v>
      </c>
      <c r="O1559" s="12" t="s">
        <v>92</v>
      </c>
      <c r="P1559" s="12" t="s">
        <v>73</v>
      </c>
      <c r="Q1559" s="7" t="str">
        <f t="shared" si="73"/>
        <v>(1987,2,'1987.01.10',11,41,61,68,76,0),</v>
      </c>
      <c r="R1559" s="7" t="str">
        <f t="shared" si="75"/>
        <v>(1987,2,'1987.01.10',11,41,61,68,76),</v>
      </c>
    </row>
    <row r="1560" spans="1:18" x14ac:dyDescent="0.25">
      <c r="A1560" s="7" t="s">
        <v>1592</v>
      </c>
      <c r="B1560" s="8" t="s">
        <v>42</v>
      </c>
      <c r="C1560" s="10">
        <f t="shared" si="74"/>
        <v>31794</v>
      </c>
      <c r="D1560" t="s">
        <v>11</v>
      </c>
      <c r="E1560" t="s">
        <v>12</v>
      </c>
      <c r="F1560" t="s">
        <v>11</v>
      </c>
      <c r="G1560" t="s">
        <v>12</v>
      </c>
      <c r="H1560" t="s">
        <v>11</v>
      </c>
      <c r="I1560" t="s">
        <v>12</v>
      </c>
      <c r="J1560" t="s">
        <v>11</v>
      </c>
      <c r="K1560" t="s">
        <v>12</v>
      </c>
      <c r="L1560" s="12" t="s">
        <v>83</v>
      </c>
      <c r="M1560" s="12" t="s">
        <v>123</v>
      </c>
      <c r="N1560" s="12" t="s">
        <v>175</v>
      </c>
      <c r="O1560" s="12" t="s">
        <v>151</v>
      </c>
      <c r="P1560" s="12" t="s">
        <v>246</v>
      </c>
      <c r="Q1560" s="7" t="str">
        <f t="shared" si="73"/>
        <v>(1987,3,'1987.01.17',11,54,55,79,84,0),</v>
      </c>
      <c r="R1560" s="7" t="str">
        <f t="shared" si="75"/>
        <v>(1987,3,'1987.01.17',11,54,55,79,84),</v>
      </c>
    </row>
    <row r="1561" spans="1:18" x14ac:dyDescent="0.25">
      <c r="A1561" s="7" t="s">
        <v>1592</v>
      </c>
      <c r="B1561" s="8" t="s">
        <v>168</v>
      </c>
      <c r="C1561" s="10">
        <f t="shared" si="74"/>
        <v>31801</v>
      </c>
      <c r="D1561" t="s">
        <v>11</v>
      </c>
      <c r="E1561" t="s">
        <v>12</v>
      </c>
      <c r="F1561" t="s">
        <v>11</v>
      </c>
      <c r="G1561" t="s">
        <v>12</v>
      </c>
      <c r="H1561" t="s">
        <v>11</v>
      </c>
      <c r="I1561" t="s">
        <v>12</v>
      </c>
      <c r="J1561" t="s">
        <v>11</v>
      </c>
      <c r="K1561" t="s">
        <v>12</v>
      </c>
      <c r="L1561" s="12" t="s">
        <v>168</v>
      </c>
      <c r="M1561" s="12" t="s">
        <v>54</v>
      </c>
      <c r="N1561" s="12" t="s">
        <v>116</v>
      </c>
      <c r="O1561" s="12" t="s">
        <v>36</v>
      </c>
      <c r="P1561" s="12" t="s">
        <v>92</v>
      </c>
      <c r="Q1561" s="7" t="str">
        <f t="shared" si="73"/>
        <v>(1987,4,'1987.01.24',4,15,29,38,68,0),</v>
      </c>
      <c r="R1561" s="7" t="str">
        <f t="shared" si="75"/>
        <v>(1987,4,'1987.01.24',4,15,29,38,68),</v>
      </c>
    </row>
    <row r="1562" spans="1:18" x14ac:dyDescent="0.25">
      <c r="A1562" s="7" t="s">
        <v>1592</v>
      </c>
      <c r="B1562" s="8" t="s">
        <v>89</v>
      </c>
      <c r="C1562" s="10">
        <f t="shared" si="74"/>
        <v>31808</v>
      </c>
      <c r="D1562" t="s">
        <v>11</v>
      </c>
      <c r="E1562" t="s">
        <v>12</v>
      </c>
      <c r="F1562" t="s">
        <v>11</v>
      </c>
      <c r="G1562" t="s">
        <v>12</v>
      </c>
      <c r="H1562" t="s">
        <v>11</v>
      </c>
      <c r="I1562" t="s">
        <v>12</v>
      </c>
      <c r="J1562" t="s">
        <v>11</v>
      </c>
      <c r="K1562" t="s">
        <v>12</v>
      </c>
      <c r="L1562" s="12" t="s">
        <v>20</v>
      </c>
      <c r="M1562" s="12" t="s">
        <v>46</v>
      </c>
      <c r="N1562" s="12" t="s">
        <v>105</v>
      </c>
      <c r="O1562" s="12" t="s">
        <v>199</v>
      </c>
      <c r="P1562" s="12" t="s">
        <v>233</v>
      </c>
      <c r="Q1562" s="7" t="str">
        <f t="shared" si="73"/>
        <v>(1987,5,'1987.01.31',33,37,50,53,66,0),</v>
      </c>
      <c r="R1562" s="7" t="str">
        <f t="shared" si="75"/>
        <v>(1987,5,'1987.01.31',33,37,50,53,66),</v>
      </c>
    </row>
    <row r="1563" spans="1:18" x14ac:dyDescent="0.25">
      <c r="A1563" s="7" t="s">
        <v>1592</v>
      </c>
      <c r="B1563" s="8" t="s">
        <v>270</v>
      </c>
      <c r="C1563" s="10">
        <f t="shared" si="74"/>
        <v>31815</v>
      </c>
      <c r="D1563" t="s">
        <v>11</v>
      </c>
      <c r="E1563" t="s">
        <v>12</v>
      </c>
      <c r="F1563" t="s">
        <v>11</v>
      </c>
      <c r="G1563" t="s">
        <v>12</v>
      </c>
      <c r="H1563" t="s">
        <v>11</v>
      </c>
      <c r="I1563" t="s">
        <v>12</v>
      </c>
      <c r="J1563" t="s">
        <v>11</v>
      </c>
      <c r="K1563" t="s">
        <v>12</v>
      </c>
      <c r="L1563" s="12" t="s">
        <v>108</v>
      </c>
      <c r="M1563" s="12" t="s">
        <v>44</v>
      </c>
      <c r="N1563" s="12" t="s">
        <v>248</v>
      </c>
      <c r="O1563" s="12" t="s">
        <v>201</v>
      </c>
      <c r="P1563" s="12" t="s">
        <v>301</v>
      </c>
      <c r="Q1563" s="7" t="str">
        <f t="shared" si="73"/>
        <v>(1987,6,'1987.02.07',1,21,63,72,80,0),</v>
      </c>
      <c r="R1563" s="7" t="str">
        <f t="shared" si="75"/>
        <v>(1987,6,'1987.02.07',1,21,63,72,80),</v>
      </c>
    </row>
    <row r="1564" spans="1:18" x14ac:dyDescent="0.25">
      <c r="A1564" s="7" t="s">
        <v>1592</v>
      </c>
      <c r="B1564" s="8" t="s">
        <v>53</v>
      </c>
      <c r="C1564" s="10">
        <f t="shared" si="74"/>
        <v>31822</v>
      </c>
      <c r="D1564" t="s">
        <v>11</v>
      </c>
      <c r="E1564" t="s">
        <v>12</v>
      </c>
      <c r="F1564" t="s">
        <v>11</v>
      </c>
      <c r="G1564" t="s">
        <v>12</v>
      </c>
      <c r="H1564" t="s">
        <v>11</v>
      </c>
      <c r="I1564" t="s">
        <v>12</v>
      </c>
      <c r="J1564" t="s">
        <v>11</v>
      </c>
      <c r="K1564" t="s">
        <v>12</v>
      </c>
      <c r="L1564" s="12" t="s">
        <v>53</v>
      </c>
      <c r="M1564" s="12" t="s">
        <v>127</v>
      </c>
      <c r="N1564" s="12" t="s">
        <v>34</v>
      </c>
      <c r="O1564" s="12" t="s">
        <v>199</v>
      </c>
      <c r="P1564" s="12" t="s">
        <v>301</v>
      </c>
      <c r="Q1564" s="7" t="str">
        <f t="shared" si="73"/>
        <v>(1987,7,'1987.02.14',7,14,49,53,80,0),</v>
      </c>
      <c r="R1564" s="7" t="str">
        <f t="shared" si="75"/>
        <v>(1987,7,'1987.02.14',7,14,49,53,80),</v>
      </c>
    </row>
    <row r="1565" spans="1:18" x14ac:dyDescent="0.25">
      <c r="A1565" s="7" t="s">
        <v>1592</v>
      </c>
      <c r="B1565" s="8" t="s">
        <v>232</v>
      </c>
      <c r="C1565" s="10">
        <f t="shared" si="74"/>
        <v>31829</v>
      </c>
      <c r="D1565" t="s">
        <v>11</v>
      </c>
      <c r="E1565" t="s">
        <v>12</v>
      </c>
      <c r="F1565" t="s">
        <v>11</v>
      </c>
      <c r="G1565" t="s">
        <v>12</v>
      </c>
      <c r="H1565" t="s">
        <v>11</v>
      </c>
      <c r="I1565" t="s">
        <v>12</v>
      </c>
      <c r="J1565" t="s">
        <v>11</v>
      </c>
      <c r="K1565" t="s">
        <v>12</v>
      </c>
      <c r="L1565" s="12" t="s">
        <v>198</v>
      </c>
      <c r="M1565" s="12" t="s">
        <v>31</v>
      </c>
      <c r="N1565" s="12" t="s">
        <v>152</v>
      </c>
      <c r="O1565" s="12" t="s">
        <v>23</v>
      </c>
      <c r="P1565" s="12" t="s">
        <v>106</v>
      </c>
      <c r="Q1565" s="7" t="str">
        <f t="shared" si="73"/>
        <v>(1987,8,'1987.02.21',9,12,25,60,75,0),</v>
      </c>
      <c r="R1565" s="7" t="str">
        <f t="shared" si="75"/>
        <v>(1987,8,'1987.02.21',9,12,25,60,75),</v>
      </c>
    </row>
    <row r="1566" spans="1:18" x14ac:dyDescent="0.25">
      <c r="A1566" s="7" t="s">
        <v>1592</v>
      </c>
      <c r="B1566" s="8" t="s">
        <v>198</v>
      </c>
      <c r="C1566" s="10">
        <f t="shared" si="74"/>
        <v>31836</v>
      </c>
      <c r="D1566" t="s">
        <v>11</v>
      </c>
      <c r="E1566" t="s">
        <v>12</v>
      </c>
      <c r="F1566" t="s">
        <v>11</v>
      </c>
      <c r="G1566" t="s">
        <v>12</v>
      </c>
      <c r="H1566" t="s">
        <v>11</v>
      </c>
      <c r="I1566" t="s">
        <v>12</v>
      </c>
      <c r="J1566" t="s">
        <v>11</v>
      </c>
      <c r="K1566" t="s">
        <v>12</v>
      </c>
      <c r="L1566" s="12" t="s">
        <v>43</v>
      </c>
      <c r="M1566" s="12" t="s">
        <v>74</v>
      </c>
      <c r="N1566" s="12" t="s">
        <v>45</v>
      </c>
      <c r="O1566" s="12" t="s">
        <v>35</v>
      </c>
      <c r="P1566" s="12" t="s">
        <v>143</v>
      </c>
      <c r="Q1566" s="7" t="str">
        <f t="shared" si="73"/>
        <v>(1987,9,'1987.02.28',16,26,43,65,77,0),</v>
      </c>
      <c r="R1566" s="7" t="str">
        <f t="shared" si="75"/>
        <v>(1987,9,'1987.02.28',16,26,43,65,77),</v>
      </c>
    </row>
    <row r="1567" spans="1:18" x14ac:dyDescent="0.25">
      <c r="A1567" s="7" t="s">
        <v>1592</v>
      </c>
      <c r="B1567" s="8" t="s">
        <v>62</v>
      </c>
      <c r="C1567" s="10">
        <f t="shared" si="74"/>
        <v>31843</v>
      </c>
      <c r="D1567" t="s">
        <v>11</v>
      </c>
      <c r="E1567" t="s">
        <v>12</v>
      </c>
      <c r="F1567" t="s">
        <v>11</v>
      </c>
      <c r="G1567" t="s">
        <v>12</v>
      </c>
      <c r="H1567" t="s">
        <v>11</v>
      </c>
      <c r="I1567" t="s">
        <v>12</v>
      </c>
      <c r="J1567" t="s">
        <v>11</v>
      </c>
      <c r="K1567" t="s">
        <v>12</v>
      </c>
      <c r="L1567" s="12" t="s">
        <v>107</v>
      </c>
      <c r="M1567" s="12" t="s">
        <v>71</v>
      </c>
      <c r="N1567" s="12" t="s">
        <v>22</v>
      </c>
      <c r="O1567" s="12" t="s">
        <v>199</v>
      </c>
      <c r="P1567" s="12" t="s">
        <v>106</v>
      </c>
      <c r="Q1567" s="7" t="str">
        <f t="shared" si="73"/>
        <v>(1987,10,'1987.03.07',30,31,48,53,75,0),</v>
      </c>
      <c r="R1567" s="7" t="str">
        <f t="shared" si="75"/>
        <v>(1987,10,'1987.03.07',30,31,48,53,75),</v>
      </c>
    </row>
    <row r="1568" spans="1:18" x14ac:dyDescent="0.25">
      <c r="A1568" s="7" t="s">
        <v>1592</v>
      </c>
      <c r="B1568" s="8" t="s">
        <v>83</v>
      </c>
      <c r="C1568" s="10">
        <f t="shared" si="74"/>
        <v>31850</v>
      </c>
      <c r="D1568" t="s">
        <v>11</v>
      </c>
      <c r="E1568" t="s">
        <v>12</v>
      </c>
      <c r="F1568" t="s">
        <v>11</v>
      </c>
      <c r="G1568" t="s">
        <v>12</v>
      </c>
      <c r="H1568" t="s">
        <v>11</v>
      </c>
      <c r="I1568" t="s">
        <v>12</v>
      </c>
      <c r="J1568" t="s">
        <v>11</v>
      </c>
      <c r="K1568" t="s">
        <v>12</v>
      </c>
      <c r="L1568" s="12" t="s">
        <v>24</v>
      </c>
      <c r="M1568" s="12" t="s">
        <v>192</v>
      </c>
      <c r="N1568" s="12" t="s">
        <v>34</v>
      </c>
      <c r="O1568" s="12" t="s">
        <v>82</v>
      </c>
      <c r="P1568" s="12" t="s">
        <v>201</v>
      </c>
      <c r="Q1568" s="7" t="str">
        <f t="shared" si="73"/>
        <v>(1987,11,'1987.03.14',39,46,49,59,72,0),</v>
      </c>
      <c r="R1568" s="7" t="str">
        <f t="shared" si="75"/>
        <v>(1987,11,'1987.03.14',39,46,49,59,72),</v>
      </c>
    </row>
    <row r="1569" spans="1:18" x14ac:dyDescent="0.25">
      <c r="A1569" s="7" t="s">
        <v>1592</v>
      </c>
      <c r="B1569" s="8" t="s">
        <v>31</v>
      </c>
      <c r="C1569" s="10">
        <f t="shared" si="74"/>
        <v>31857</v>
      </c>
      <c r="D1569" t="s">
        <v>11</v>
      </c>
      <c r="E1569" t="s">
        <v>12</v>
      </c>
      <c r="F1569" t="s">
        <v>11</v>
      </c>
      <c r="G1569" t="s">
        <v>12</v>
      </c>
      <c r="H1569" t="s">
        <v>11</v>
      </c>
      <c r="I1569" t="s">
        <v>12</v>
      </c>
      <c r="J1569" t="s">
        <v>11</v>
      </c>
      <c r="K1569" t="s">
        <v>12</v>
      </c>
      <c r="L1569" s="12" t="s">
        <v>42</v>
      </c>
      <c r="M1569" s="12" t="s">
        <v>90</v>
      </c>
      <c r="N1569" s="12" t="s">
        <v>192</v>
      </c>
      <c r="O1569" s="12" t="s">
        <v>92</v>
      </c>
      <c r="P1569" s="12" t="s">
        <v>63</v>
      </c>
      <c r="Q1569" s="7" t="str">
        <f t="shared" si="73"/>
        <v>(1987,12,'1987.03.21',3,17,46,68,78,0),</v>
      </c>
      <c r="R1569" s="7" t="str">
        <f t="shared" si="75"/>
        <v>(1987,12,'1987.03.21',3,17,46,68,78),</v>
      </c>
    </row>
    <row r="1570" spans="1:18" x14ac:dyDescent="0.25">
      <c r="A1570" s="7" t="s">
        <v>1592</v>
      </c>
      <c r="B1570" s="8" t="s">
        <v>65</v>
      </c>
      <c r="C1570" s="10">
        <f t="shared" si="74"/>
        <v>31864</v>
      </c>
      <c r="D1570" t="s">
        <v>11</v>
      </c>
      <c r="E1570" t="s">
        <v>12</v>
      </c>
      <c r="F1570" t="s">
        <v>11</v>
      </c>
      <c r="G1570" t="s">
        <v>12</v>
      </c>
      <c r="H1570" t="s">
        <v>11</v>
      </c>
      <c r="I1570" t="s">
        <v>12</v>
      </c>
      <c r="J1570" t="s">
        <v>11</v>
      </c>
      <c r="K1570" t="s">
        <v>12</v>
      </c>
      <c r="L1570" s="12" t="s">
        <v>62</v>
      </c>
      <c r="M1570" s="12" t="s">
        <v>152</v>
      </c>
      <c r="N1570" s="12" t="s">
        <v>126</v>
      </c>
      <c r="O1570" s="12" t="s">
        <v>35</v>
      </c>
      <c r="P1570" s="12" t="s">
        <v>468</v>
      </c>
      <c r="Q1570" s="7" t="str">
        <f t="shared" si="73"/>
        <v>(1987,13,'1987.03.28',10,25,28,65,85,0),</v>
      </c>
      <c r="R1570" s="7" t="str">
        <f t="shared" si="75"/>
        <v>(1987,13,'1987.03.28',10,25,28,65,85),</v>
      </c>
    </row>
    <row r="1571" spans="1:18" x14ac:dyDescent="0.25">
      <c r="A1571" s="7" t="s">
        <v>1592</v>
      </c>
      <c r="B1571" s="8" t="s">
        <v>127</v>
      </c>
      <c r="C1571" s="10">
        <f t="shared" si="74"/>
        <v>31871</v>
      </c>
      <c r="D1571" t="s">
        <v>11</v>
      </c>
      <c r="E1571" t="s">
        <v>12</v>
      </c>
      <c r="F1571" t="s">
        <v>11</v>
      </c>
      <c r="G1571" t="s">
        <v>12</v>
      </c>
      <c r="H1571" t="s">
        <v>11</v>
      </c>
      <c r="I1571" t="s">
        <v>12</v>
      </c>
      <c r="J1571" t="s">
        <v>11</v>
      </c>
      <c r="K1571" t="s">
        <v>12</v>
      </c>
      <c r="L1571" s="12" t="s">
        <v>25</v>
      </c>
      <c r="M1571" s="12" t="s">
        <v>81</v>
      </c>
      <c r="N1571" s="12" t="s">
        <v>175</v>
      </c>
      <c r="O1571" s="12" t="s">
        <v>35</v>
      </c>
      <c r="P1571" s="12" t="s">
        <v>186</v>
      </c>
      <c r="Q1571" s="7" t="str">
        <f t="shared" si="73"/>
        <v>(1987,14,'1987.04.04',34,47,55,65,90,0),</v>
      </c>
      <c r="R1571" s="7" t="str">
        <f t="shared" si="75"/>
        <v>(1987,14,'1987.04.04',34,47,55,65,90),</v>
      </c>
    </row>
    <row r="1572" spans="1:18" x14ac:dyDescent="0.25">
      <c r="A1572" s="7" t="s">
        <v>1592</v>
      </c>
      <c r="B1572" s="8" t="s">
        <v>54</v>
      </c>
      <c r="C1572" s="10">
        <f t="shared" si="74"/>
        <v>31878</v>
      </c>
      <c r="D1572" t="s">
        <v>11</v>
      </c>
      <c r="E1572" t="s">
        <v>12</v>
      </c>
      <c r="F1572" t="s">
        <v>11</v>
      </c>
      <c r="G1572" t="s">
        <v>12</v>
      </c>
      <c r="H1572" t="s">
        <v>11</v>
      </c>
      <c r="I1572" t="s">
        <v>12</v>
      </c>
      <c r="J1572" t="s">
        <v>11</v>
      </c>
      <c r="K1572" t="s">
        <v>12</v>
      </c>
      <c r="L1572" s="12" t="s">
        <v>127</v>
      </c>
      <c r="M1572" s="12" t="s">
        <v>32</v>
      </c>
      <c r="N1572" s="12" t="s">
        <v>107</v>
      </c>
      <c r="O1572" s="12" t="s">
        <v>123</v>
      </c>
      <c r="P1572" s="12" t="s">
        <v>106</v>
      </c>
      <c r="Q1572" s="7" t="str">
        <f t="shared" si="73"/>
        <v>(1987,15,'1987.04.11',14,22,30,54,75,0),</v>
      </c>
      <c r="R1572" s="7" t="str">
        <f t="shared" si="75"/>
        <v>(1987,15,'1987.04.11',14,22,30,54,75),</v>
      </c>
    </row>
    <row r="1573" spans="1:18" x14ac:dyDescent="0.25">
      <c r="A1573" s="7" t="s">
        <v>1592</v>
      </c>
      <c r="B1573" s="8" t="s">
        <v>43</v>
      </c>
      <c r="C1573" s="10">
        <f t="shared" si="74"/>
        <v>31885</v>
      </c>
      <c r="D1573" t="s">
        <v>11</v>
      </c>
      <c r="E1573" t="s">
        <v>12</v>
      </c>
      <c r="F1573" t="s">
        <v>11</v>
      </c>
      <c r="G1573" t="s">
        <v>12</v>
      </c>
      <c r="H1573" t="s">
        <v>11</v>
      </c>
      <c r="I1573" t="s">
        <v>12</v>
      </c>
      <c r="J1573" t="s">
        <v>11</v>
      </c>
      <c r="K1573" t="s">
        <v>12</v>
      </c>
      <c r="L1573" s="12" t="s">
        <v>33</v>
      </c>
      <c r="M1573" s="12" t="s">
        <v>192</v>
      </c>
      <c r="N1573" s="12" t="s">
        <v>124</v>
      </c>
      <c r="O1573" s="12" t="s">
        <v>214</v>
      </c>
      <c r="P1573" s="12" t="s">
        <v>301</v>
      </c>
      <c r="Q1573" s="7" t="str">
        <f t="shared" si="73"/>
        <v>(1987,16,'1987.04.18',24,46,62,64,80,0),</v>
      </c>
      <c r="R1573" s="7" t="str">
        <f t="shared" si="75"/>
        <v>(1987,16,'1987.04.18',24,46,62,64,80),</v>
      </c>
    </row>
    <row r="1574" spans="1:18" x14ac:dyDescent="0.25">
      <c r="A1574" s="7" t="s">
        <v>1592</v>
      </c>
      <c r="B1574" s="8" t="s">
        <v>90</v>
      </c>
      <c r="C1574" s="10">
        <f t="shared" si="74"/>
        <v>31892</v>
      </c>
      <c r="D1574" t="s">
        <v>11</v>
      </c>
      <c r="E1574" t="s">
        <v>12</v>
      </c>
      <c r="F1574" t="s">
        <v>11</v>
      </c>
      <c r="G1574" t="s">
        <v>12</v>
      </c>
      <c r="H1574" t="s">
        <v>11</v>
      </c>
      <c r="I1574" t="s">
        <v>12</v>
      </c>
      <c r="J1574" t="s">
        <v>11</v>
      </c>
      <c r="K1574" t="s">
        <v>12</v>
      </c>
      <c r="L1574" s="12" t="s">
        <v>62</v>
      </c>
      <c r="M1574" s="12" t="s">
        <v>31</v>
      </c>
      <c r="N1574" s="12" t="s">
        <v>126</v>
      </c>
      <c r="O1574" s="12" t="s">
        <v>91</v>
      </c>
      <c r="P1574" s="12" t="s">
        <v>208</v>
      </c>
      <c r="Q1574" s="7" t="str">
        <f t="shared" si="73"/>
        <v>(1987,17,'1987.04.25',10,12,28,61,88,0),</v>
      </c>
      <c r="R1574" s="7" t="str">
        <f t="shared" si="75"/>
        <v>(1987,17,'1987.04.25',10,12,28,61,88),</v>
      </c>
    </row>
    <row r="1575" spans="1:18" x14ac:dyDescent="0.25">
      <c r="A1575" s="7" t="s">
        <v>1592</v>
      </c>
      <c r="B1575" s="8" t="s">
        <v>19</v>
      </c>
      <c r="C1575" s="10">
        <f t="shared" si="74"/>
        <v>31899</v>
      </c>
      <c r="D1575" t="s">
        <v>11</v>
      </c>
      <c r="E1575" t="s">
        <v>12</v>
      </c>
      <c r="F1575" t="s">
        <v>11</v>
      </c>
      <c r="G1575" t="s">
        <v>12</v>
      </c>
      <c r="H1575" t="s">
        <v>11</v>
      </c>
      <c r="I1575" t="s">
        <v>12</v>
      </c>
      <c r="J1575" t="s">
        <v>11</v>
      </c>
      <c r="K1575" t="s">
        <v>12</v>
      </c>
      <c r="L1575" s="12" t="s">
        <v>10</v>
      </c>
      <c r="M1575" s="12" t="s">
        <v>82</v>
      </c>
      <c r="N1575" s="12" t="s">
        <v>35</v>
      </c>
      <c r="O1575" s="12" t="s">
        <v>73</v>
      </c>
      <c r="P1575" s="12" t="s">
        <v>269</v>
      </c>
      <c r="Q1575" s="7" t="str">
        <f t="shared" si="73"/>
        <v>(1987,18,'1987.05.02',40,59,65,76,87,0),</v>
      </c>
      <c r="R1575" s="7" t="str">
        <f t="shared" si="75"/>
        <v>(1987,18,'1987.05.02',40,59,65,76,87),</v>
      </c>
    </row>
    <row r="1576" spans="1:18" x14ac:dyDescent="0.25">
      <c r="A1576" s="7" t="s">
        <v>1592</v>
      </c>
      <c r="B1576" s="8" t="s">
        <v>55</v>
      </c>
      <c r="C1576" s="10">
        <f t="shared" si="74"/>
        <v>31906</v>
      </c>
      <c r="D1576" t="s">
        <v>11</v>
      </c>
      <c r="E1576" t="s">
        <v>12</v>
      </c>
      <c r="F1576" t="s">
        <v>11</v>
      </c>
      <c r="G1576" t="s">
        <v>12</v>
      </c>
      <c r="H1576" t="s">
        <v>11</v>
      </c>
      <c r="I1576" t="s">
        <v>12</v>
      </c>
      <c r="J1576" t="s">
        <v>11</v>
      </c>
      <c r="K1576" t="s">
        <v>12</v>
      </c>
      <c r="L1576" s="12" t="s">
        <v>115</v>
      </c>
      <c r="M1576" s="12" t="s">
        <v>32</v>
      </c>
      <c r="N1576" s="12" t="s">
        <v>105</v>
      </c>
      <c r="O1576" s="12" t="s">
        <v>199</v>
      </c>
      <c r="P1576" s="12" t="s">
        <v>151</v>
      </c>
      <c r="Q1576" s="7" t="str">
        <f t="shared" si="73"/>
        <v>(1987,19,'1987.05.09',20,22,50,53,79,0),</v>
      </c>
      <c r="R1576" s="7" t="str">
        <f t="shared" si="75"/>
        <v>(1987,19,'1987.05.09',20,22,50,53,79),</v>
      </c>
    </row>
    <row r="1577" spans="1:18" x14ac:dyDescent="0.25">
      <c r="A1577" s="7" t="s">
        <v>1592</v>
      </c>
      <c r="B1577" s="8" t="s">
        <v>115</v>
      </c>
      <c r="C1577" s="10">
        <f t="shared" si="74"/>
        <v>31913</v>
      </c>
      <c r="D1577" t="s">
        <v>11</v>
      </c>
      <c r="E1577" t="s">
        <v>12</v>
      </c>
      <c r="F1577" t="s">
        <v>11</v>
      </c>
      <c r="G1577" t="s">
        <v>12</v>
      </c>
      <c r="H1577" t="s">
        <v>11</v>
      </c>
      <c r="I1577" t="s">
        <v>12</v>
      </c>
      <c r="J1577" t="s">
        <v>11</v>
      </c>
      <c r="K1577" t="s">
        <v>12</v>
      </c>
      <c r="L1577" s="12" t="s">
        <v>83</v>
      </c>
      <c r="M1577" s="12" t="s">
        <v>65</v>
      </c>
      <c r="N1577" s="12" t="s">
        <v>32</v>
      </c>
      <c r="O1577" s="12" t="s">
        <v>23</v>
      </c>
      <c r="P1577" s="12" t="s">
        <v>35</v>
      </c>
      <c r="Q1577" s="7" t="str">
        <f t="shared" si="73"/>
        <v>(1987,20,'1987.05.16',11,13,22,60,65,0),</v>
      </c>
      <c r="R1577" s="7" t="str">
        <f t="shared" si="75"/>
        <v>(1987,20,'1987.05.16',11,13,22,60,65),</v>
      </c>
    </row>
    <row r="1578" spans="1:18" x14ac:dyDescent="0.25">
      <c r="A1578" s="7" t="s">
        <v>1592</v>
      </c>
      <c r="B1578" s="8" t="s">
        <v>44</v>
      </c>
      <c r="C1578" s="10">
        <f t="shared" si="74"/>
        <v>31920</v>
      </c>
      <c r="D1578" t="s">
        <v>11</v>
      </c>
      <c r="E1578" t="s">
        <v>12</v>
      </c>
      <c r="F1578" t="s">
        <v>11</v>
      </c>
      <c r="G1578" t="s">
        <v>12</v>
      </c>
      <c r="H1578" t="s">
        <v>11</v>
      </c>
      <c r="I1578" t="s">
        <v>12</v>
      </c>
      <c r="J1578" t="s">
        <v>11</v>
      </c>
      <c r="K1578" t="s">
        <v>12</v>
      </c>
      <c r="L1578" s="12" t="s">
        <v>83</v>
      </c>
      <c r="M1578" s="12" t="s">
        <v>135</v>
      </c>
      <c r="N1578" s="12" t="s">
        <v>133</v>
      </c>
      <c r="O1578" s="12" t="s">
        <v>123</v>
      </c>
      <c r="P1578" s="12" t="s">
        <v>215</v>
      </c>
      <c r="Q1578" s="7" t="str">
        <f t="shared" si="73"/>
        <v>(1987,21,'1987.05.23',11,27,45,54,81,0),</v>
      </c>
      <c r="R1578" s="7" t="str">
        <f t="shared" si="75"/>
        <v>(1987,21,'1987.05.23',11,27,45,54,81),</v>
      </c>
    </row>
    <row r="1579" spans="1:18" x14ac:dyDescent="0.25">
      <c r="A1579" s="7" t="s">
        <v>1592</v>
      </c>
      <c r="B1579" s="8" t="s">
        <v>32</v>
      </c>
      <c r="C1579" s="10">
        <f t="shared" si="74"/>
        <v>31927</v>
      </c>
      <c r="D1579" t="s">
        <v>11</v>
      </c>
      <c r="E1579" t="s">
        <v>12</v>
      </c>
      <c r="F1579" t="s">
        <v>11</v>
      </c>
      <c r="G1579" t="s">
        <v>12</v>
      </c>
      <c r="H1579" t="s">
        <v>11</v>
      </c>
      <c r="I1579" t="s">
        <v>12</v>
      </c>
      <c r="J1579" t="s">
        <v>11</v>
      </c>
      <c r="K1579" t="s">
        <v>12</v>
      </c>
      <c r="L1579" s="12" t="s">
        <v>53</v>
      </c>
      <c r="M1579" s="12" t="s">
        <v>25</v>
      </c>
      <c r="N1579" s="12" t="s">
        <v>192</v>
      </c>
      <c r="O1579" s="12" t="s">
        <v>239</v>
      </c>
      <c r="P1579" s="12" t="s">
        <v>208</v>
      </c>
      <c r="Q1579" s="7" t="str">
        <f t="shared" si="73"/>
        <v>(1987,22,'1987.05.30',7,34,46,73,88,0),</v>
      </c>
      <c r="R1579" s="7" t="str">
        <f t="shared" si="75"/>
        <v>(1987,22,'1987.05.30',7,34,46,73,88),</v>
      </c>
    </row>
    <row r="1580" spans="1:18" x14ac:dyDescent="0.25">
      <c r="A1580" s="7" t="s">
        <v>1592</v>
      </c>
      <c r="B1580" s="8" t="s">
        <v>163</v>
      </c>
      <c r="C1580" s="10">
        <f t="shared" si="74"/>
        <v>31934</v>
      </c>
      <c r="D1580" t="s">
        <v>11</v>
      </c>
      <c r="E1580" t="s">
        <v>12</v>
      </c>
      <c r="F1580" t="s">
        <v>11</v>
      </c>
      <c r="G1580" t="s">
        <v>12</v>
      </c>
      <c r="H1580" t="s">
        <v>11</v>
      </c>
      <c r="I1580" t="s">
        <v>12</v>
      </c>
      <c r="J1580" t="s">
        <v>11</v>
      </c>
      <c r="K1580" t="s">
        <v>12</v>
      </c>
      <c r="L1580" s="12" t="s">
        <v>83</v>
      </c>
      <c r="M1580" s="12" t="s">
        <v>116</v>
      </c>
      <c r="N1580" s="12" t="s">
        <v>13</v>
      </c>
      <c r="O1580" s="12" t="s">
        <v>35</v>
      </c>
      <c r="P1580" s="12" t="s">
        <v>63</v>
      </c>
      <c r="Q1580" s="7" t="str">
        <f t="shared" si="73"/>
        <v>(1987,23,'1987.06.06',11,29,41,65,78,0),</v>
      </c>
      <c r="R1580" s="7" t="str">
        <f t="shared" si="75"/>
        <v>(1987,23,'1987.06.06',11,29,41,65,78),</v>
      </c>
    </row>
    <row r="1581" spans="1:18" x14ac:dyDescent="0.25">
      <c r="A1581" s="7" t="s">
        <v>1592</v>
      </c>
      <c r="B1581" s="8" t="s">
        <v>33</v>
      </c>
      <c r="C1581" s="10">
        <f t="shared" si="74"/>
        <v>31941</v>
      </c>
      <c r="D1581" t="s">
        <v>11</v>
      </c>
      <c r="E1581" t="s">
        <v>12</v>
      </c>
      <c r="F1581" t="s">
        <v>11</v>
      </c>
      <c r="G1581" t="s">
        <v>12</v>
      </c>
      <c r="H1581" t="s">
        <v>11</v>
      </c>
      <c r="I1581" t="s">
        <v>12</v>
      </c>
      <c r="J1581" t="s">
        <v>11</v>
      </c>
      <c r="K1581" t="s">
        <v>12</v>
      </c>
      <c r="L1581" s="12" t="s">
        <v>270</v>
      </c>
      <c r="M1581" s="12" t="s">
        <v>43</v>
      </c>
      <c r="N1581" s="12" t="s">
        <v>152</v>
      </c>
      <c r="O1581" s="12" t="s">
        <v>98</v>
      </c>
      <c r="P1581" s="12" t="s">
        <v>246</v>
      </c>
      <c r="Q1581" s="7" t="str">
        <f t="shared" si="73"/>
        <v>(1987,24,'1987.06.13',6,16,25,42,84,0),</v>
      </c>
      <c r="R1581" s="7" t="str">
        <f t="shared" si="75"/>
        <v>(1987,24,'1987.06.13',6,16,25,42,84),</v>
      </c>
    </row>
    <row r="1582" spans="1:18" x14ac:dyDescent="0.25">
      <c r="A1582" s="7" t="s">
        <v>1592</v>
      </c>
      <c r="B1582" s="8" t="s">
        <v>152</v>
      </c>
      <c r="C1582" s="10">
        <f t="shared" si="74"/>
        <v>31948</v>
      </c>
      <c r="D1582" t="s">
        <v>11</v>
      </c>
      <c r="E1582" t="s">
        <v>12</v>
      </c>
      <c r="F1582" t="s">
        <v>11</v>
      </c>
      <c r="G1582" t="s">
        <v>12</v>
      </c>
      <c r="H1582" t="s">
        <v>11</v>
      </c>
      <c r="I1582" t="s">
        <v>12</v>
      </c>
      <c r="J1582" t="s">
        <v>11</v>
      </c>
      <c r="K1582" t="s">
        <v>12</v>
      </c>
      <c r="L1582" s="12" t="s">
        <v>135</v>
      </c>
      <c r="M1582" s="12" t="s">
        <v>25</v>
      </c>
      <c r="N1582" s="12" t="s">
        <v>199</v>
      </c>
      <c r="O1582" s="12" t="s">
        <v>175</v>
      </c>
      <c r="P1582" s="12" t="s">
        <v>308</v>
      </c>
      <c r="Q1582" s="7" t="str">
        <f t="shared" si="73"/>
        <v>(1987,25,'1987.06.20',27,34,53,55,86,0),</v>
      </c>
      <c r="R1582" s="7" t="str">
        <f t="shared" si="75"/>
        <v>(1987,25,'1987.06.20',27,34,53,55,86),</v>
      </c>
    </row>
    <row r="1583" spans="1:18" x14ac:dyDescent="0.25">
      <c r="A1583" s="7" t="s">
        <v>1592</v>
      </c>
      <c r="B1583" s="8" t="s">
        <v>74</v>
      </c>
      <c r="C1583" s="10">
        <f t="shared" si="74"/>
        <v>31955</v>
      </c>
      <c r="D1583" t="s">
        <v>11</v>
      </c>
      <c r="E1583" t="s">
        <v>12</v>
      </c>
      <c r="F1583" t="s">
        <v>11</v>
      </c>
      <c r="G1583" t="s">
        <v>12</v>
      </c>
      <c r="H1583" t="s">
        <v>11</v>
      </c>
      <c r="I1583" t="s">
        <v>12</v>
      </c>
      <c r="J1583" t="s">
        <v>11</v>
      </c>
      <c r="K1583" t="s">
        <v>12</v>
      </c>
      <c r="L1583" s="12" t="s">
        <v>152</v>
      </c>
      <c r="M1583" s="12" t="s">
        <v>45</v>
      </c>
      <c r="N1583" s="12" t="s">
        <v>124</v>
      </c>
      <c r="O1583" s="12" t="s">
        <v>248</v>
      </c>
      <c r="P1583" s="12" t="s">
        <v>246</v>
      </c>
      <c r="Q1583" s="7" t="str">
        <f t="shared" si="73"/>
        <v>(1987,26,'1987.06.27',25,43,62,63,84,0),</v>
      </c>
      <c r="R1583" s="7" t="str">
        <f t="shared" si="75"/>
        <v>(1987,26,'1987.06.27',25,43,62,63,84),</v>
      </c>
    </row>
    <row r="1584" spans="1:18" x14ac:dyDescent="0.25">
      <c r="A1584" s="7" t="s">
        <v>1592</v>
      </c>
      <c r="B1584" s="8" t="s">
        <v>135</v>
      </c>
      <c r="C1584" s="10">
        <f t="shared" si="74"/>
        <v>31962</v>
      </c>
      <c r="D1584" t="s">
        <v>11</v>
      </c>
      <c r="E1584" t="s">
        <v>12</v>
      </c>
      <c r="F1584" t="s">
        <v>11</v>
      </c>
      <c r="G1584" t="s">
        <v>12</v>
      </c>
      <c r="H1584" t="s">
        <v>11</v>
      </c>
      <c r="I1584" t="s">
        <v>12</v>
      </c>
      <c r="J1584" t="s">
        <v>11</v>
      </c>
      <c r="K1584" t="s">
        <v>12</v>
      </c>
      <c r="L1584" s="12" t="s">
        <v>98</v>
      </c>
      <c r="M1584" s="12" t="s">
        <v>192</v>
      </c>
      <c r="N1584" s="12" t="s">
        <v>169</v>
      </c>
      <c r="O1584" s="12" t="s">
        <v>92</v>
      </c>
      <c r="P1584" s="12" t="s">
        <v>301</v>
      </c>
      <c r="Q1584" s="7" t="str">
        <f t="shared" si="73"/>
        <v>(1987,27,'1987.07.04',42,46,58,68,80,0),</v>
      </c>
      <c r="R1584" s="7" t="str">
        <f t="shared" si="75"/>
        <v>(1987,27,'1987.07.04',42,46,58,68,80),</v>
      </c>
    </row>
    <row r="1585" spans="1:18" x14ac:dyDescent="0.25">
      <c r="A1585" s="7" t="s">
        <v>1592</v>
      </c>
      <c r="B1585" s="8" t="s">
        <v>126</v>
      </c>
      <c r="C1585" s="10">
        <f t="shared" si="74"/>
        <v>31969</v>
      </c>
      <c r="D1585" t="s">
        <v>11</v>
      </c>
      <c r="E1585" t="s">
        <v>12</v>
      </c>
      <c r="F1585" t="s">
        <v>11</v>
      </c>
      <c r="G1585" t="s">
        <v>12</v>
      </c>
      <c r="H1585" t="s">
        <v>11</v>
      </c>
      <c r="I1585" t="s">
        <v>12</v>
      </c>
      <c r="J1585" t="s">
        <v>11</v>
      </c>
      <c r="K1585" t="s">
        <v>12</v>
      </c>
      <c r="L1585" s="12" t="s">
        <v>83</v>
      </c>
      <c r="M1585" s="12" t="s">
        <v>33</v>
      </c>
      <c r="N1585" s="12" t="s">
        <v>46</v>
      </c>
      <c r="O1585" s="12" t="s">
        <v>99</v>
      </c>
      <c r="P1585" s="12" t="s">
        <v>91</v>
      </c>
      <c r="Q1585" s="7" t="str">
        <f t="shared" si="73"/>
        <v>(1987,28,'1987.07.11',11,24,37,52,61,0),</v>
      </c>
      <c r="R1585" s="7" t="str">
        <f t="shared" si="75"/>
        <v>(1987,28,'1987.07.11',11,24,37,52,61),</v>
      </c>
    </row>
    <row r="1586" spans="1:18" x14ac:dyDescent="0.25">
      <c r="A1586" s="7" t="s">
        <v>1592</v>
      </c>
      <c r="B1586" s="8" t="s">
        <v>116</v>
      </c>
      <c r="C1586" s="10">
        <f t="shared" si="74"/>
        <v>31976</v>
      </c>
      <c r="D1586" t="s">
        <v>11</v>
      </c>
      <c r="E1586" t="s">
        <v>12</v>
      </c>
      <c r="F1586" t="s">
        <v>11</v>
      </c>
      <c r="G1586" t="s">
        <v>12</v>
      </c>
      <c r="H1586" t="s">
        <v>11</v>
      </c>
      <c r="I1586" t="s">
        <v>12</v>
      </c>
      <c r="J1586" t="s">
        <v>11</v>
      </c>
      <c r="K1586" t="s">
        <v>12</v>
      </c>
      <c r="L1586" s="12" t="s">
        <v>42</v>
      </c>
      <c r="M1586" s="12" t="s">
        <v>198</v>
      </c>
      <c r="N1586" s="12" t="s">
        <v>192</v>
      </c>
      <c r="O1586" s="12" t="s">
        <v>214</v>
      </c>
      <c r="P1586" s="12" t="s">
        <v>245</v>
      </c>
      <c r="Q1586" s="7" t="str">
        <f t="shared" si="73"/>
        <v>(1987,29,'1987.07.18',3,9,46,64,74,0),</v>
      </c>
      <c r="R1586" s="7" t="str">
        <f t="shared" si="75"/>
        <v>(1987,29,'1987.07.18',3,9,46,64,74),</v>
      </c>
    </row>
    <row r="1587" spans="1:18" x14ac:dyDescent="0.25">
      <c r="A1587" s="7" t="s">
        <v>1592</v>
      </c>
      <c r="B1587" s="8" t="s">
        <v>107</v>
      </c>
      <c r="C1587" s="10">
        <f t="shared" si="74"/>
        <v>31983</v>
      </c>
      <c r="D1587" t="s">
        <v>11</v>
      </c>
      <c r="E1587" t="s">
        <v>12</v>
      </c>
      <c r="F1587" t="s">
        <v>11</v>
      </c>
      <c r="G1587" t="s">
        <v>12</v>
      </c>
      <c r="H1587" t="s">
        <v>11</v>
      </c>
      <c r="I1587" t="s">
        <v>12</v>
      </c>
      <c r="J1587" t="s">
        <v>11</v>
      </c>
      <c r="K1587" t="s">
        <v>12</v>
      </c>
      <c r="L1587" s="12" t="s">
        <v>108</v>
      </c>
      <c r="M1587" s="12" t="s">
        <v>33</v>
      </c>
      <c r="N1587" s="12" t="s">
        <v>116</v>
      </c>
      <c r="O1587" s="12" t="s">
        <v>21</v>
      </c>
      <c r="P1587" s="12" t="s">
        <v>134</v>
      </c>
      <c r="Q1587" s="7" t="str">
        <f t="shared" si="73"/>
        <v>(1987,30,'1987.07.25',1,24,29,36,56,0),</v>
      </c>
      <c r="R1587" s="7" t="str">
        <f t="shared" si="75"/>
        <v>(1987,30,'1987.07.25',1,24,29,36,56),</v>
      </c>
    </row>
    <row r="1588" spans="1:18" x14ac:dyDescent="0.25">
      <c r="A1588" s="7" t="s">
        <v>1592</v>
      </c>
      <c r="B1588" s="8" t="s">
        <v>71</v>
      </c>
      <c r="C1588" s="10">
        <f t="shared" si="74"/>
        <v>31990</v>
      </c>
      <c r="D1588" t="s">
        <v>11</v>
      </c>
      <c r="E1588" t="s">
        <v>12</v>
      </c>
      <c r="F1588" t="s">
        <v>11</v>
      </c>
      <c r="G1588" t="s">
        <v>12</v>
      </c>
      <c r="H1588" t="s">
        <v>11</v>
      </c>
      <c r="I1588" t="s">
        <v>12</v>
      </c>
      <c r="J1588" t="s">
        <v>11</v>
      </c>
      <c r="K1588" t="s">
        <v>12</v>
      </c>
      <c r="L1588" s="12" t="s">
        <v>207</v>
      </c>
      <c r="M1588" s="12" t="s">
        <v>54</v>
      </c>
      <c r="N1588" s="12" t="s">
        <v>34</v>
      </c>
      <c r="O1588" s="12" t="s">
        <v>99</v>
      </c>
      <c r="P1588" s="12" t="s">
        <v>134</v>
      </c>
      <c r="Q1588" s="7" t="str">
        <f t="shared" si="73"/>
        <v>(1987,31,'1987.08.01',2,15,49,52,56,0),</v>
      </c>
      <c r="R1588" s="7" t="str">
        <f t="shared" si="75"/>
        <v>(1987,31,'1987.08.01',2,15,49,52,56),</v>
      </c>
    </row>
    <row r="1589" spans="1:18" x14ac:dyDescent="0.25">
      <c r="A1589" s="7" t="s">
        <v>1592</v>
      </c>
      <c r="B1589" s="8" t="s">
        <v>80</v>
      </c>
      <c r="C1589" s="10">
        <f t="shared" si="74"/>
        <v>31997</v>
      </c>
      <c r="D1589" t="s">
        <v>11</v>
      </c>
      <c r="E1589" t="s">
        <v>12</v>
      </c>
      <c r="F1589" t="s">
        <v>11</v>
      </c>
      <c r="G1589" t="s">
        <v>12</v>
      </c>
      <c r="H1589" t="s">
        <v>11</v>
      </c>
      <c r="I1589" t="s">
        <v>12</v>
      </c>
      <c r="J1589" t="s">
        <v>11</v>
      </c>
      <c r="K1589" t="s">
        <v>12</v>
      </c>
      <c r="L1589" s="12" t="s">
        <v>42</v>
      </c>
      <c r="M1589" s="12" t="s">
        <v>54</v>
      </c>
      <c r="N1589" s="12" t="s">
        <v>80</v>
      </c>
      <c r="O1589" s="12" t="s">
        <v>25</v>
      </c>
      <c r="P1589" s="12" t="s">
        <v>269</v>
      </c>
      <c r="Q1589" s="7" t="str">
        <f t="shared" si="73"/>
        <v>(1987,32,'1987.08.08',3,15,32,34,87,0),</v>
      </c>
      <c r="R1589" s="7" t="str">
        <f t="shared" si="75"/>
        <v>(1987,32,'1987.08.08',3,15,32,34,87),</v>
      </c>
    </row>
    <row r="1590" spans="1:18" x14ac:dyDescent="0.25">
      <c r="A1590" s="7" t="s">
        <v>1592</v>
      </c>
      <c r="B1590" s="8" t="s">
        <v>20</v>
      </c>
      <c r="C1590" s="10">
        <f t="shared" si="74"/>
        <v>32004</v>
      </c>
      <c r="D1590" t="s">
        <v>11</v>
      </c>
      <c r="E1590" t="s">
        <v>12</v>
      </c>
      <c r="F1590" t="s">
        <v>11</v>
      </c>
      <c r="G1590" t="s">
        <v>12</v>
      </c>
      <c r="H1590" t="s">
        <v>11</v>
      </c>
      <c r="I1590" t="s">
        <v>12</v>
      </c>
      <c r="J1590" t="s">
        <v>11</v>
      </c>
      <c r="K1590" t="s">
        <v>12</v>
      </c>
      <c r="L1590" s="12" t="s">
        <v>42</v>
      </c>
      <c r="M1590" s="12" t="s">
        <v>65</v>
      </c>
      <c r="N1590" s="12" t="s">
        <v>126</v>
      </c>
      <c r="O1590" s="12" t="s">
        <v>36</v>
      </c>
      <c r="P1590" s="12" t="s">
        <v>201</v>
      </c>
      <c r="Q1590" s="7" t="str">
        <f t="shared" si="73"/>
        <v>(1987,33,'1987.08.15',3,13,28,38,72,0),</v>
      </c>
      <c r="R1590" s="7" t="str">
        <f t="shared" si="75"/>
        <v>(1987,33,'1987.08.15',3,13,28,38,72),</v>
      </c>
    </row>
    <row r="1591" spans="1:18" x14ac:dyDescent="0.25">
      <c r="A1591" s="7" t="s">
        <v>1592</v>
      </c>
      <c r="B1591" s="8" t="s">
        <v>25</v>
      </c>
      <c r="C1591" s="10">
        <f t="shared" si="74"/>
        <v>32011</v>
      </c>
      <c r="D1591" t="s">
        <v>11</v>
      </c>
      <c r="E1591" t="s">
        <v>12</v>
      </c>
      <c r="F1591" t="s">
        <v>11</v>
      </c>
      <c r="G1591" t="s">
        <v>12</v>
      </c>
      <c r="H1591" t="s">
        <v>11</v>
      </c>
      <c r="I1591" t="s">
        <v>12</v>
      </c>
      <c r="J1591" t="s">
        <v>11</v>
      </c>
      <c r="K1591" t="s">
        <v>12</v>
      </c>
      <c r="L1591" s="12" t="s">
        <v>42</v>
      </c>
      <c r="M1591" s="12" t="s">
        <v>53</v>
      </c>
      <c r="N1591" s="12" t="s">
        <v>65</v>
      </c>
      <c r="O1591" s="12" t="s">
        <v>44</v>
      </c>
      <c r="P1591" s="12" t="s">
        <v>82</v>
      </c>
      <c r="Q1591" s="7" t="str">
        <f t="shared" si="73"/>
        <v>(1987,34,'1987.08.22',3,7,13,21,59,0),</v>
      </c>
      <c r="R1591" s="7" t="str">
        <f t="shared" si="75"/>
        <v>(1987,34,'1987.08.22',3,7,13,21,59),</v>
      </c>
    </row>
    <row r="1592" spans="1:18" x14ac:dyDescent="0.25">
      <c r="A1592" s="7" t="s">
        <v>1592</v>
      </c>
      <c r="B1592" s="8" t="s">
        <v>64</v>
      </c>
      <c r="C1592" s="10">
        <f t="shared" si="74"/>
        <v>32018</v>
      </c>
      <c r="D1592" t="s">
        <v>11</v>
      </c>
      <c r="E1592" t="s">
        <v>12</v>
      </c>
      <c r="F1592" t="s">
        <v>11</v>
      </c>
      <c r="G1592" t="s">
        <v>12</v>
      </c>
      <c r="H1592" t="s">
        <v>11</v>
      </c>
      <c r="I1592" t="s">
        <v>12</v>
      </c>
      <c r="J1592" t="s">
        <v>11</v>
      </c>
      <c r="K1592" t="s">
        <v>12</v>
      </c>
      <c r="L1592" s="12" t="s">
        <v>90</v>
      </c>
      <c r="M1592" s="12" t="s">
        <v>134</v>
      </c>
      <c r="N1592" s="12" t="s">
        <v>35</v>
      </c>
      <c r="O1592" s="12" t="s">
        <v>151</v>
      </c>
      <c r="P1592" s="12" t="s">
        <v>379</v>
      </c>
      <c r="Q1592" s="7" t="str">
        <f t="shared" si="73"/>
        <v>(1987,35,'1987.08.29',17,56,65,79,89,0),</v>
      </c>
      <c r="R1592" s="7" t="str">
        <f t="shared" si="75"/>
        <v>(1987,35,'1987.08.29',17,56,65,79,89),</v>
      </c>
    </row>
    <row r="1593" spans="1:18" x14ac:dyDescent="0.25">
      <c r="A1593" s="7" t="s">
        <v>1592</v>
      </c>
      <c r="B1593" s="8" t="s">
        <v>21</v>
      </c>
      <c r="C1593" s="10">
        <f t="shared" si="74"/>
        <v>32025</v>
      </c>
      <c r="D1593" t="s">
        <v>11</v>
      </c>
      <c r="E1593" t="s">
        <v>12</v>
      </c>
      <c r="F1593" t="s">
        <v>11</v>
      </c>
      <c r="G1593" t="s">
        <v>12</v>
      </c>
      <c r="H1593" t="s">
        <v>11</v>
      </c>
      <c r="I1593" t="s">
        <v>12</v>
      </c>
      <c r="J1593" t="s">
        <v>11</v>
      </c>
      <c r="K1593" t="s">
        <v>12</v>
      </c>
      <c r="L1593" s="12" t="s">
        <v>116</v>
      </c>
      <c r="M1593" s="12" t="s">
        <v>10</v>
      </c>
      <c r="N1593" s="12" t="s">
        <v>47</v>
      </c>
      <c r="O1593" s="12" t="s">
        <v>151</v>
      </c>
      <c r="P1593" s="12" t="s">
        <v>186</v>
      </c>
      <c r="Q1593" s="7" t="str">
        <f t="shared" si="73"/>
        <v>(1987,36,'1987.09.05',29,40,69,79,90,0),</v>
      </c>
      <c r="R1593" s="7" t="str">
        <f t="shared" si="75"/>
        <v>(1987,36,'1987.09.05',29,40,69,79,90),</v>
      </c>
    </row>
    <row r="1594" spans="1:18" x14ac:dyDescent="0.25">
      <c r="A1594" s="7" t="s">
        <v>1592</v>
      </c>
      <c r="B1594" s="8" t="s">
        <v>46</v>
      </c>
      <c r="C1594" s="10">
        <f t="shared" si="74"/>
        <v>32032</v>
      </c>
      <c r="D1594" t="s">
        <v>11</v>
      </c>
      <c r="E1594" t="s">
        <v>12</v>
      </c>
      <c r="F1594" t="s">
        <v>11</v>
      </c>
      <c r="G1594" t="s">
        <v>12</v>
      </c>
      <c r="H1594" t="s">
        <v>11</v>
      </c>
      <c r="I1594" t="s">
        <v>12</v>
      </c>
      <c r="J1594" t="s">
        <v>11</v>
      </c>
      <c r="K1594" t="s">
        <v>12</v>
      </c>
      <c r="L1594" s="12" t="s">
        <v>163</v>
      </c>
      <c r="M1594" s="12" t="s">
        <v>135</v>
      </c>
      <c r="N1594" s="12" t="s">
        <v>116</v>
      </c>
      <c r="O1594" s="12" t="s">
        <v>63</v>
      </c>
      <c r="P1594" s="12" t="s">
        <v>215</v>
      </c>
      <c r="Q1594" s="7" t="str">
        <f t="shared" si="73"/>
        <v>(1987,37,'1987.09.12',23,27,29,78,81,0),</v>
      </c>
      <c r="R1594" s="7" t="str">
        <f t="shared" si="75"/>
        <v>(1987,37,'1987.09.12',23,27,29,78,81),</v>
      </c>
    </row>
    <row r="1595" spans="1:18" x14ac:dyDescent="0.25">
      <c r="A1595" s="7" t="s">
        <v>1592</v>
      </c>
      <c r="B1595" s="8" t="s">
        <v>36</v>
      </c>
      <c r="C1595" s="10">
        <f t="shared" si="74"/>
        <v>32039</v>
      </c>
      <c r="D1595" t="s">
        <v>11</v>
      </c>
      <c r="E1595" t="s">
        <v>12</v>
      </c>
      <c r="F1595" t="s">
        <v>11</v>
      </c>
      <c r="G1595" t="s">
        <v>12</v>
      </c>
      <c r="H1595" t="s">
        <v>11</v>
      </c>
      <c r="I1595" t="s">
        <v>12</v>
      </c>
      <c r="J1595" t="s">
        <v>11</v>
      </c>
      <c r="K1595" t="s">
        <v>12</v>
      </c>
      <c r="L1595" s="12" t="s">
        <v>116</v>
      </c>
      <c r="M1595" s="12" t="s">
        <v>106</v>
      </c>
      <c r="N1595" s="12" t="s">
        <v>215</v>
      </c>
      <c r="O1595" s="12" t="s">
        <v>622</v>
      </c>
      <c r="P1595" s="12" t="s">
        <v>308</v>
      </c>
      <c r="Q1595" s="7" t="str">
        <f t="shared" si="73"/>
        <v>(1987,38,'1987.09.19',29,75,81,82,86,0),</v>
      </c>
      <c r="R1595" s="7" t="str">
        <f t="shared" si="75"/>
        <v>(1987,38,'1987.09.19',29,75,81,82,86),</v>
      </c>
    </row>
    <row r="1596" spans="1:18" x14ac:dyDescent="0.25">
      <c r="A1596" s="7" t="s">
        <v>1592</v>
      </c>
      <c r="B1596" s="8" t="s">
        <v>24</v>
      </c>
      <c r="C1596" s="10">
        <f t="shared" si="74"/>
        <v>32046</v>
      </c>
      <c r="D1596" t="s">
        <v>11</v>
      </c>
      <c r="E1596" t="s">
        <v>12</v>
      </c>
      <c r="F1596" t="s">
        <v>11</v>
      </c>
      <c r="G1596" t="s">
        <v>12</v>
      </c>
      <c r="H1596" t="s">
        <v>11</v>
      </c>
      <c r="I1596" t="s">
        <v>12</v>
      </c>
      <c r="J1596" t="s">
        <v>11</v>
      </c>
      <c r="K1596" t="s">
        <v>12</v>
      </c>
      <c r="L1596" s="12" t="s">
        <v>53</v>
      </c>
      <c r="M1596" s="12" t="s">
        <v>90</v>
      </c>
      <c r="N1596" s="12" t="s">
        <v>55</v>
      </c>
      <c r="O1596" s="12" t="s">
        <v>116</v>
      </c>
      <c r="P1596" s="12" t="s">
        <v>73</v>
      </c>
      <c r="Q1596" s="7" t="str">
        <f t="shared" si="73"/>
        <v>(1987,39,'1987.09.26',7,17,19,29,76,0),</v>
      </c>
      <c r="R1596" s="7" t="str">
        <f t="shared" si="75"/>
        <v>(1987,39,'1987.09.26',7,17,19,29,76),</v>
      </c>
    </row>
    <row r="1597" spans="1:18" x14ac:dyDescent="0.25">
      <c r="A1597" s="7" t="s">
        <v>1592</v>
      </c>
      <c r="B1597" s="8" t="s">
        <v>10</v>
      </c>
      <c r="C1597" s="10">
        <f t="shared" si="74"/>
        <v>32053</v>
      </c>
      <c r="D1597" t="s">
        <v>11</v>
      </c>
      <c r="E1597" t="s">
        <v>12</v>
      </c>
      <c r="F1597" t="s">
        <v>11</v>
      </c>
      <c r="G1597" t="s">
        <v>12</v>
      </c>
      <c r="H1597" t="s">
        <v>11</v>
      </c>
      <c r="I1597" t="s">
        <v>12</v>
      </c>
      <c r="J1597" t="s">
        <v>11</v>
      </c>
      <c r="K1597" t="s">
        <v>12</v>
      </c>
      <c r="L1597" s="12" t="s">
        <v>44</v>
      </c>
      <c r="M1597" s="12" t="s">
        <v>21</v>
      </c>
      <c r="N1597" s="12" t="s">
        <v>36</v>
      </c>
      <c r="O1597" s="12" t="s">
        <v>215</v>
      </c>
      <c r="P1597" s="12" t="s">
        <v>468</v>
      </c>
      <c r="Q1597" s="7" t="str">
        <f t="shared" si="73"/>
        <v>(1987,40,'1987.10.03',21,36,38,81,85,0),</v>
      </c>
      <c r="R1597" s="7" t="str">
        <f t="shared" si="75"/>
        <v>(1987,40,'1987.10.03',21,36,38,81,85),</v>
      </c>
    </row>
    <row r="1598" spans="1:18" x14ac:dyDescent="0.25">
      <c r="A1598" s="7" t="s">
        <v>1592</v>
      </c>
      <c r="B1598" s="8" t="s">
        <v>13</v>
      </c>
      <c r="C1598" s="10">
        <f t="shared" si="74"/>
        <v>32060</v>
      </c>
      <c r="D1598" t="s">
        <v>11</v>
      </c>
      <c r="E1598" t="s">
        <v>12</v>
      </c>
      <c r="F1598" t="s">
        <v>11</v>
      </c>
      <c r="G1598" t="s">
        <v>12</v>
      </c>
      <c r="H1598" t="s">
        <v>11</v>
      </c>
      <c r="I1598" t="s">
        <v>12</v>
      </c>
      <c r="J1598" t="s">
        <v>11</v>
      </c>
      <c r="K1598" t="s">
        <v>12</v>
      </c>
      <c r="L1598" s="12" t="s">
        <v>207</v>
      </c>
      <c r="M1598" s="12" t="s">
        <v>163</v>
      </c>
      <c r="N1598" s="12" t="s">
        <v>33</v>
      </c>
      <c r="O1598" s="12" t="s">
        <v>301</v>
      </c>
      <c r="P1598" s="12" t="s">
        <v>186</v>
      </c>
      <c r="Q1598" s="7" t="str">
        <f t="shared" si="73"/>
        <v>(1987,41,'1987.10.10',2,23,24,80,90,0),</v>
      </c>
      <c r="R1598" s="7" t="str">
        <f t="shared" si="75"/>
        <v>(1987,41,'1987.10.10',2,23,24,80,90),</v>
      </c>
    </row>
    <row r="1599" spans="1:18" x14ac:dyDescent="0.25">
      <c r="A1599" s="7" t="s">
        <v>1592</v>
      </c>
      <c r="B1599" s="8" t="s">
        <v>98</v>
      </c>
      <c r="C1599" s="10">
        <f t="shared" si="74"/>
        <v>32067</v>
      </c>
      <c r="D1599" t="s">
        <v>11</v>
      </c>
      <c r="E1599" t="s">
        <v>12</v>
      </c>
      <c r="F1599" t="s">
        <v>11</v>
      </c>
      <c r="G1599" t="s">
        <v>12</v>
      </c>
      <c r="H1599" t="s">
        <v>11</v>
      </c>
      <c r="I1599" t="s">
        <v>12</v>
      </c>
      <c r="J1599" t="s">
        <v>11</v>
      </c>
      <c r="K1599" t="s">
        <v>12</v>
      </c>
      <c r="L1599" s="12" t="s">
        <v>31</v>
      </c>
      <c r="M1599" s="12" t="s">
        <v>20</v>
      </c>
      <c r="N1599" s="12" t="s">
        <v>46</v>
      </c>
      <c r="O1599" s="12" t="s">
        <v>92</v>
      </c>
      <c r="P1599" s="12" t="s">
        <v>208</v>
      </c>
      <c r="Q1599" s="7" t="str">
        <f t="shared" si="73"/>
        <v>(1987,42,'1987.10.17',12,33,37,68,88,0),</v>
      </c>
      <c r="R1599" s="7" t="str">
        <f t="shared" si="75"/>
        <v>(1987,42,'1987.10.17',12,33,37,68,88),</v>
      </c>
    </row>
    <row r="1600" spans="1:18" x14ac:dyDescent="0.25">
      <c r="A1600" s="7" t="s">
        <v>1592</v>
      </c>
      <c r="B1600" s="8" t="s">
        <v>45</v>
      </c>
      <c r="C1600" s="10">
        <f t="shared" si="74"/>
        <v>32074</v>
      </c>
      <c r="D1600" t="s">
        <v>11</v>
      </c>
      <c r="E1600" t="s">
        <v>12</v>
      </c>
      <c r="F1600" t="s">
        <v>11</v>
      </c>
      <c r="G1600" t="s">
        <v>12</v>
      </c>
      <c r="H1600" t="s">
        <v>11</v>
      </c>
      <c r="I1600" t="s">
        <v>12</v>
      </c>
      <c r="J1600" t="s">
        <v>11</v>
      </c>
      <c r="K1600" t="s">
        <v>12</v>
      </c>
      <c r="L1600" s="12" t="s">
        <v>232</v>
      </c>
      <c r="M1600" s="12" t="s">
        <v>82</v>
      </c>
      <c r="N1600" s="12" t="s">
        <v>124</v>
      </c>
      <c r="O1600" s="12" t="s">
        <v>73</v>
      </c>
      <c r="P1600" s="12" t="s">
        <v>215</v>
      </c>
      <c r="Q1600" s="7" t="str">
        <f t="shared" si="73"/>
        <v>(1987,43,'1987.10.24',8,59,62,76,81,0),</v>
      </c>
      <c r="R1600" s="7" t="str">
        <f t="shared" si="75"/>
        <v>(1987,43,'1987.10.24',8,59,62,76,81),</v>
      </c>
    </row>
    <row r="1601" spans="1:18" x14ac:dyDescent="0.25">
      <c r="A1601" s="7" t="s">
        <v>1592</v>
      </c>
      <c r="B1601" s="8" t="s">
        <v>142</v>
      </c>
      <c r="C1601" s="10">
        <f t="shared" si="74"/>
        <v>32081</v>
      </c>
      <c r="D1601" t="s">
        <v>11</v>
      </c>
      <c r="E1601" t="s">
        <v>12</v>
      </c>
      <c r="F1601" t="s">
        <v>11</v>
      </c>
      <c r="G1601" t="s">
        <v>12</v>
      </c>
      <c r="H1601" t="s">
        <v>11</v>
      </c>
      <c r="I1601" t="s">
        <v>12</v>
      </c>
      <c r="J1601" t="s">
        <v>11</v>
      </c>
      <c r="K1601" t="s">
        <v>12</v>
      </c>
      <c r="L1601" s="12" t="s">
        <v>55</v>
      </c>
      <c r="M1601" s="12" t="s">
        <v>107</v>
      </c>
      <c r="N1601" s="12" t="s">
        <v>45</v>
      </c>
      <c r="O1601" s="12" t="s">
        <v>82</v>
      </c>
      <c r="P1601" s="12" t="s">
        <v>125</v>
      </c>
      <c r="Q1601" s="7" t="str">
        <f t="shared" si="73"/>
        <v>(1987,44,'1987.10.31',19,30,43,59,83,0),</v>
      </c>
      <c r="R1601" s="7" t="str">
        <f t="shared" si="75"/>
        <v>(1987,44,'1987.10.31',19,30,43,59,83),</v>
      </c>
    </row>
    <row r="1602" spans="1:18" x14ac:dyDescent="0.25">
      <c r="A1602" s="7" t="s">
        <v>1592</v>
      </c>
      <c r="B1602" s="8" t="s">
        <v>133</v>
      </c>
      <c r="C1602" s="10">
        <f t="shared" si="74"/>
        <v>32088</v>
      </c>
      <c r="D1602" t="s">
        <v>11</v>
      </c>
      <c r="E1602" t="s">
        <v>12</v>
      </c>
      <c r="F1602" t="s">
        <v>11</v>
      </c>
      <c r="G1602" t="s">
        <v>12</v>
      </c>
      <c r="H1602" t="s">
        <v>11</v>
      </c>
      <c r="I1602" t="s">
        <v>12</v>
      </c>
      <c r="J1602" t="s">
        <v>11</v>
      </c>
      <c r="K1602" t="s">
        <v>12</v>
      </c>
      <c r="L1602" s="12" t="s">
        <v>116</v>
      </c>
      <c r="M1602" s="12" t="s">
        <v>107</v>
      </c>
      <c r="N1602" s="12" t="s">
        <v>64</v>
      </c>
      <c r="O1602" s="12" t="s">
        <v>98</v>
      </c>
      <c r="P1602" s="12" t="s">
        <v>106</v>
      </c>
      <c r="Q1602" s="7" t="str">
        <f t="shared" ref="Q1602:Q1665" si="76">"("&amp;A1602&amp;","&amp;B1602&amp;",'"&amp;TEXT(C1602,"éééé.hh.nn")&amp;"',"&amp;L1602&amp;","&amp;M1602&amp;","&amp;N1602&amp;","&amp;O1602&amp;","&amp;P1602&amp;",0)"&amp;IF(P1603&lt;&gt;0,",","")</f>
        <v>(1987,45,'1987.11.07',29,30,35,42,75,0),</v>
      </c>
      <c r="R1602" s="7" t="str">
        <f t="shared" si="75"/>
        <v>(1987,45,'1987.11.07',29,30,35,42,75),</v>
      </c>
    </row>
    <row r="1603" spans="1:18" x14ac:dyDescent="0.25">
      <c r="A1603" s="7" t="s">
        <v>1592</v>
      </c>
      <c r="B1603" s="8" t="s">
        <v>192</v>
      </c>
      <c r="C1603" s="10">
        <f t="shared" ref="C1603:C1666" si="77">+C1602+7</f>
        <v>32095</v>
      </c>
      <c r="D1603" t="s">
        <v>11</v>
      </c>
      <c r="E1603" t="s">
        <v>12</v>
      </c>
      <c r="F1603" t="s">
        <v>11</v>
      </c>
      <c r="G1603" t="s">
        <v>12</v>
      </c>
      <c r="H1603" t="s">
        <v>11</v>
      </c>
      <c r="I1603" t="s">
        <v>12</v>
      </c>
      <c r="J1603" t="s">
        <v>11</v>
      </c>
      <c r="K1603" t="s">
        <v>12</v>
      </c>
      <c r="L1603" s="12" t="s">
        <v>232</v>
      </c>
      <c r="M1603" s="12" t="s">
        <v>24</v>
      </c>
      <c r="N1603" s="12" t="s">
        <v>122</v>
      </c>
      <c r="O1603" s="12" t="s">
        <v>123</v>
      </c>
      <c r="P1603" s="12" t="s">
        <v>308</v>
      </c>
      <c r="Q1603" s="7" t="str">
        <f t="shared" si="76"/>
        <v>(1987,46,'1987.11.14',8,39,51,54,86,0),</v>
      </c>
      <c r="R1603" s="7" t="str">
        <f t="shared" ref="R1603:R1666" si="78">IF(TRIM(P1603)="","","("&amp;A1603&amp;","&amp;B1603&amp;",'"&amp;TEXT(C1603,"éééé.hh.nn")&amp;"',"&amp;L1603&amp;","&amp;M1603&amp;","&amp;N1603&amp;","&amp;O1603&amp;","&amp;P1603&amp;")"&amp;IF(P1604=0,";",","))</f>
        <v>(1987,46,'1987.11.14',8,39,51,54,86),</v>
      </c>
    </row>
    <row r="1604" spans="1:18" x14ac:dyDescent="0.25">
      <c r="A1604" s="7" t="s">
        <v>1592</v>
      </c>
      <c r="B1604" s="8" t="s">
        <v>81</v>
      </c>
      <c r="C1604" s="10">
        <f t="shared" si="77"/>
        <v>32102</v>
      </c>
      <c r="D1604" t="s">
        <v>11</v>
      </c>
      <c r="E1604" t="s">
        <v>12</v>
      </c>
      <c r="F1604" t="s">
        <v>11</v>
      </c>
      <c r="G1604" t="s">
        <v>12</v>
      </c>
      <c r="H1604" t="s">
        <v>11</v>
      </c>
      <c r="I1604" t="s">
        <v>12</v>
      </c>
      <c r="J1604" t="s">
        <v>11</v>
      </c>
      <c r="K1604" t="s">
        <v>12</v>
      </c>
      <c r="L1604" s="12" t="s">
        <v>53</v>
      </c>
      <c r="M1604" s="12" t="s">
        <v>232</v>
      </c>
      <c r="N1604" s="12" t="s">
        <v>62</v>
      </c>
      <c r="O1604" s="12" t="s">
        <v>32</v>
      </c>
      <c r="P1604" s="12" t="s">
        <v>47</v>
      </c>
      <c r="Q1604" s="7" t="str">
        <f t="shared" si="76"/>
        <v>(1987,47,'1987.11.21',7,8,10,22,69,0),</v>
      </c>
      <c r="R1604" s="7" t="str">
        <f t="shared" si="78"/>
        <v>(1987,47,'1987.11.21',7,8,10,22,69),</v>
      </c>
    </row>
    <row r="1605" spans="1:18" x14ac:dyDescent="0.25">
      <c r="A1605" s="7" t="s">
        <v>1592</v>
      </c>
      <c r="B1605" s="8" t="s">
        <v>22</v>
      </c>
      <c r="C1605" s="10">
        <f t="shared" si="77"/>
        <v>32109</v>
      </c>
      <c r="D1605" t="s">
        <v>11</v>
      </c>
      <c r="E1605" t="s">
        <v>12</v>
      </c>
      <c r="F1605" t="s">
        <v>11</v>
      </c>
      <c r="G1605" t="s">
        <v>12</v>
      </c>
      <c r="H1605" t="s">
        <v>11</v>
      </c>
      <c r="I1605" t="s">
        <v>12</v>
      </c>
      <c r="J1605" t="s">
        <v>11</v>
      </c>
      <c r="K1605" t="s">
        <v>12</v>
      </c>
      <c r="L1605" s="12" t="s">
        <v>142</v>
      </c>
      <c r="M1605" s="12" t="s">
        <v>124</v>
      </c>
      <c r="N1605" s="12" t="s">
        <v>248</v>
      </c>
      <c r="O1605" s="12" t="s">
        <v>622</v>
      </c>
      <c r="P1605" s="12" t="s">
        <v>246</v>
      </c>
      <c r="Q1605" s="7" t="str">
        <f t="shared" si="76"/>
        <v>(1987,48,'1987.11.28',44,62,63,82,84,0),</v>
      </c>
      <c r="R1605" s="7" t="str">
        <f t="shared" si="78"/>
        <v>(1987,48,'1987.11.28',44,62,63,82,84),</v>
      </c>
    </row>
    <row r="1606" spans="1:18" x14ac:dyDescent="0.25">
      <c r="A1606" s="7" t="s">
        <v>1592</v>
      </c>
      <c r="B1606" s="8" t="s">
        <v>34</v>
      </c>
      <c r="C1606" s="10">
        <f t="shared" si="77"/>
        <v>32116</v>
      </c>
      <c r="D1606" t="s">
        <v>11</v>
      </c>
      <c r="E1606" t="s">
        <v>12</v>
      </c>
      <c r="F1606" t="s">
        <v>11</v>
      </c>
      <c r="G1606" t="s">
        <v>12</v>
      </c>
      <c r="H1606" t="s">
        <v>11</v>
      </c>
      <c r="I1606" t="s">
        <v>12</v>
      </c>
      <c r="J1606" t="s">
        <v>11</v>
      </c>
      <c r="K1606" t="s">
        <v>12</v>
      </c>
      <c r="L1606" s="12" t="s">
        <v>62</v>
      </c>
      <c r="M1606" s="12" t="s">
        <v>105</v>
      </c>
      <c r="N1606" s="12" t="s">
        <v>106</v>
      </c>
      <c r="O1606" s="12" t="s">
        <v>308</v>
      </c>
      <c r="P1606" s="12" t="s">
        <v>269</v>
      </c>
      <c r="Q1606" s="7" t="str">
        <f t="shared" si="76"/>
        <v>(1987,49,'1987.12.05',10,50,75,86,87,0),</v>
      </c>
      <c r="R1606" s="7" t="str">
        <f t="shared" si="78"/>
        <v>(1987,49,'1987.12.05',10,50,75,86,87),</v>
      </c>
    </row>
    <row r="1607" spans="1:18" x14ac:dyDescent="0.25">
      <c r="A1607" s="7" t="s">
        <v>1592</v>
      </c>
      <c r="B1607" s="8" t="s">
        <v>105</v>
      </c>
      <c r="C1607" s="10">
        <f t="shared" si="77"/>
        <v>32123</v>
      </c>
      <c r="D1607" t="s">
        <v>11</v>
      </c>
      <c r="E1607" t="s">
        <v>12</v>
      </c>
      <c r="F1607" t="s">
        <v>11</v>
      </c>
      <c r="G1607" t="s">
        <v>12</v>
      </c>
      <c r="H1607" t="s">
        <v>11</v>
      </c>
      <c r="I1607" t="s">
        <v>12</v>
      </c>
      <c r="J1607" t="s">
        <v>11</v>
      </c>
      <c r="K1607" t="s">
        <v>12</v>
      </c>
      <c r="L1607" s="12" t="s">
        <v>108</v>
      </c>
      <c r="M1607" s="12" t="s">
        <v>89</v>
      </c>
      <c r="N1607" s="12" t="s">
        <v>152</v>
      </c>
      <c r="O1607" s="12" t="s">
        <v>46</v>
      </c>
      <c r="P1607" s="12" t="s">
        <v>10</v>
      </c>
      <c r="Q1607" s="7" t="str">
        <f t="shared" si="76"/>
        <v>(1987,50,'1987.12.12',1,5,25,37,40,0),</v>
      </c>
      <c r="R1607" s="7" t="str">
        <f t="shared" si="78"/>
        <v>(1987,50,'1987.12.12',1,5,25,37,40),</v>
      </c>
    </row>
    <row r="1608" spans="1:18" x14ac:dyDescent="0.25">
      <c r="A1608" s="7" t="s">
        <v>1592</v>
      </c>
      <c r="B1608" s="8" t="s">
        <v>122</v>
      </c>
      <c r="C1608" s="10">
        <f t="shared" si="77"/>
        <v>32130</v>
      </c>
      <c r="D1608" t="s">
        <v>11</v>
      </c>
      <c r="E1608" t="s">
        <v>12</v>
      </c>
      <c r="F1608" t="s">
        <v>11</v>
      </c>
      <c r="G1608" t="s">
        <v>12</v>
      </c>
      <c r="H1608" t="s">
        <v>11</v>
      </c>
      <c r="I1608" t="s">
        <v>12</v>
      </c>
      <c r="J1608" t="s">
        <v>11</v>
      </c>
      <c r="K1608" t="s">
        <v>12</v>
      </c>
      <c r="L1608" s="12" t="s">
        <v>168</v>
      </c>
      <c r="M1608" s="12" t="s">
        <v>32</v>
      </c>
      <c r="N1608" s="12" t="s">
        <v>122</v>
      </c>
      <c r="O1608" s="12" t="s">
        <v>91</v>
      </c>
      <c r="P1608" s="12" t="s">
        <v>124</v>
      </c>
      <c r="Q1608" s="7" t="str">
        <f t="shared" si="76"/>
        <v>(1987,51,'1987.12.19',4,22,51,61,62,0),</v>
      </c>
      <c r="R1608" s="7" t="str">
        <f t="shared" si="78"/>
        <v>(1987,51,'1987.12.19',4,22,51,61,62),</v>
      </c>
    </row>
    <row r="1609" spans="1:18" x14ac:dyDescent="0.25">
      <c r="A1609" s="7" t="s">
        <v>1592</v>
      </c>
      <c r="B1609" s="8" t="s">
        <v>99</v>
      </c>
      <c r="C1609" s="10">
        <f t="shared" si="77"/>
        <v>32137</v>
      </c>
      <c r="D1609" t="s">
        <v>11</v>
      </c>
      <c r="E1609" t="s">
        <v>12</v>
      </c>
      <c r="F1609" t="s">
        <v>11</v>
      </c>
      <c r="G1609" t="s">
        <v>12</v>
      </c>
      <c r="H1609" t="s">
        <v>11</v>
      </c>
      <c r="I1609" t="s">
        <v>12</v>
      </c>
      <c r="J1609" t="s">
        <v>11</v>
      </c>
      <c r="K1609" t="s">
        <v>12</v>
      </c>
      <c r="L1609" s="12" t="s">
        <v>126</v>
      </c>
      <c r="M1609" s="12" t="s">
        <v>21</v>
      </c>
      <c r="N1609" s="12" t="s">
        <v>92</v>
      </c>
      <c r="O1609" s="12" t="s">
        <v>245</v>
      </c>
      <c r="P1609" s="12" t="s">
        <v>301</v>
      </c>
      <c r="Q1609" s="7" t="str">
        <f t="shared" si="76"/>
        <v>(1987,52,'1987.12.26',28,36,68,74,80,0),</v>
      </c>
      <c r="R1609" s="7" t="str">
        <f t="shared" si="78"/>
        <v>(1987,52,'1987.12.26',28,36,68,74,80),</v>
      </c>
    </row>
    <row r="1610" spans="1:18" x14ac:dyDescent="0.25">
      <c r="A1610" s="7" t="s">
        <v>1592</v>
      </c>
      <c r="B1610" s="8" t="s">
        <v>199</v>
      </c>
      <c r="C1610" s="10">
        <f t="shared" si="77"/>
        <v>32144</v>
      </c>
      <c r="D1610" t="s">
        <v>11</v>
      </c>
      <c r="E1610" t="s">
        <v>12</v>
      </c>
      <c r="F1610" t="s">
        <v>11</v>
      </c>
      <c r="G1610" t="s">
        <v>12</v>
      </c>
      <c r="H1610" t="s">
        <v>11</v>
      </c>
      <c r="I1610" t="s">
        <v>12</v>
      </c>
      <c r="J1610" t="s">
        <v>11</v>
      </c>
      <c r="K1610" t="s">
        <v>12</v>
      </c>
      <c r="L1610" s="12" t="s">
        <v>44</v>
      </c>
      <c r="M1610" s="12" t="s">
        <v>32</v>
      </c>
      <c r="N1610" s="12" t="s">
        <v>135</v>
      </c>
      <c r="O1610" s="12" t="s">
        <v>71</v>
      </c>
      <c r="P1610" s="12" t="s">
        <v>308</v>
      </c>
      <c r="Q1610" s="7" t="str">
        <f t="shared" si="76"/>
        <v>(1987,53,'1988.01.02',21,22,27,31,86,0),</v>
      </c>
      <c r="R1610" s="7" t="str">
        <f t="shared" si="78"/>
        <v>(1987,53,'1988.01.02',21,22,27,31,86),</v>
      </c>
    </row>
    <row r="1611" spans="1:18" x14ac:dyDescent="0.25">
      <c r="A1611" s="7" t="s">
        <v>5850</v>
      </c>
      <c r="B1611" s="8" t="s">
        <v>108</v>
      </c>
      <c r="C1611" s="10">
        <f t="shared" si="77"/>
        <v>32151</v>
      </c>
      <c r="D1611" t="s">
        <v>11</v>
      </c>
      <c r="E1611" t="s">
        <v>12</v>
      </c>
      <c r="F1611" t="s">
        <v>11</v>
      </c>
      <c r="G1611" t="s">
        <v>12</v>
      </c>
      <c r="H1611" t="s">
        <v>11</v>
      </c>
      <c r="I1611" t="s">
        <v>12</v>
      </c>
      <c r="J1611" t="s">
        <v>11</v>
      </c>
      <c r="K1611" t="s">
        <v>12</v>
      </c>
      <c r="L1611" s="12" t="s">
        <v>55</v>
      </c>
      <c r="M1611" s="12" t="s">
        <v>21</v>
      </c>
      <c r="N1611" s="12" t="s">
        <v>142</v>
      </c>
      <c r="O1611" s="12" t="s">
        <v>123</v>
      </c>
      <c r="P1611" s="12" t="s">
        <v>200</v>
      </c>
      <c r="Q1611" s="7" t="str">
        <f t="shared" si="76"/>
        <v>(1988,1,'1988.01.09',19,36,44,54,70,0),</v>
      </c>
      <c r="R1611" s="7" t="str">
        <f t="shared" si="78"/>
        <v>(1988,1,'1988.01.09',19,36,44,54,70),</v>
      </c>
    </row>
    <row r="1612" spans="1:18" x14ac:dyDescent="0.25">
      <c r="A1612" s="7" t="s">
        <v>5850</v>
      </c>
      <c r="B1612" s="8" t="s">
        <v>207</v>
      </c>
      <c r="C1612" s="10">
        <f t="shared" si="77"/>
        <v>32158</v>
      </c>
      <c r="D1612" t="s">
        <v>11</v>
      </c>
      <c r="E1612" t="s">
        <v>12</v>
      </c>
      <c r="F1612" t="s">
        <v>11</v>
      </c>
      <c r="G1612" t="s">
        <v>12</v>
      </c>
      <c r="H1612" t="s">
        <v>11</v>
      </c>
      <c r="I1612" t="s">
        <v>12</v>
      </c>
      <c r="J1612" t="s">
        <v>11</v>
      </c>
      <c r="K1612" t="s">
        <v>12</v>
      </c>
      <c r="L1612" s="12" t="s">
        <v>105</v>
      </c>
      <c r="M1612" s="12" t="s">
        <v>169</v>
      </c>
      <c r="N1612" s="12" t="s">
        <v>239</v>
      </c>
      <c r="O1612" s="12" t="s">
        <v>73</v>
      </c>
      <c r="P1612" s="12" t="s">
        <v>468</v>
      </c>
      <c r="Q1612" s="7" t="str">
        <f t="shared" si="76"/>
        <v>(1988,2,'1988.01.16',50,58,73,76,85,0),</v>
      </c>
      <c r="R1612" s="7" t="str">
        <f t="shared" si="78"/>
        <v>(1988,2,'1988.01.16',50,58,73,76,85),</v>
      </c>
    </row>
    <row r="1613" spans="1:18" x14ac:dyDescent="0.25">
      <c r="A1613" s="7" t="s">
        <v>5850</v>
      </c>
      <c r="B1613" s="8" t="s">
        <v>42</v>
      </c>
      <c r="C1613" s="10">
        <f t="shared" si="77"/>
        <v>32165</v>
      </c>
      <c r="D1613" t="s">
        <v>11</v>
      </c>
      <c r="E1613" t="s">
        <v>12</v>
      </c>
      <c r="F1613" t="s">
        <v>11</v>
      </c>
      <c r="G1613" t="s">
        <v>12</v>
      </c>
      <c r="H1613" t="s">
        <v>11</v>
      </c>
      <c r="I1613" t="s">
        <v>12</v>
      </c>
      <c r="J1613" t="s">
        <v>11</v>
      </c>
      <c r="K1613" t="s">
        <v>12</v>
      </c>
      <c r="L1613" s="12" t="s">
        <v>89</v>
      </c>
      <c r="M1613" s="12" t="s">
        <v>31</v>
      </c>
      <c r="N1613" s="12" t="s">
        <v>135</v>
      </c>
      <c r="O1613" s="12" t="s">
        <v>47</v>
      </c>
      <c r="P1613" s="12" t="s">
        <v>106</v>
      </c>
      <c r="Q1613" s="7" t="str">
        <f t="shared" si="76"/>
        <v>(1988,3,'1988.01.23',5,12,27,69,75,0),</v>
      </c>
      <c r="R1613" s="7" t="str">
        <f t="shared" si="78"/>
        <v>(1988,3,'1988.01.23',5,12,27,69,75),</v>
      </c>
    </row>
    <row r="1614" spans="1:18" x14ac:dyDescent="0.25">
      <c r="A1614" s="7" t="s">
        <v>5850</v>
      </c>
      <c r="B1614" s="8" t="s">
        <v>168</v>
      </c>
      <c r="C1614" s="10">
        <f t="shared" si="77"/>
        <v>32172</v>
      </c>
      <c r="D1614" t="s">
        <v>11</v>
      </c>
      <c r="E1614" t="s">
        <v>12</v>
      </c>
      <c r="F1614" t="s">
        <v>11</v>
      </c>
      <c r="G1614" t="s">
        <v>12</v>
      </c>
      <c r="H1614" t="s">
        <v>11</v>
      </c>
      <c r="I1614" t="s">
        <v>12</v>
      </c>
      <c r="J1614" t="s">
        <v>11</v>
      </c>
      <c r="K1614" t="s">
        <v>12</v>
      </c>
      <c r="L1614" s="12" t="s">
        <v>207</v>
      </c>
      <c r="M1614" s="12" t="s">
        <v>42</v>
      </c>
      <c r="N1614" s="12" t="s">
        <v>201</v>
      </c>
      <c r="O1614" s="12" t="s">
        <v>468</v>
      </c>
      <c r="P1614" s="12" t="s">
        <v>379</v>
      </c>
      <c r="Q1614" s="7" t="str">
        <f t="shared" si="76"/>
        <v>(1988,4,'1988.01.30',2,3,72,85,89,0),</v>
      </c>
      <c r="R1614" s="7" t="str">
        <f t="shared" si="78"/>
        <v>(1988,4,'1988.01.30',2,3,72,85,89),</v>
      </c>
    </row>
    <row r="1615" spans="1:18" x14ac:dyDescent="0.25">
      <c r="A1615" s="7" t="s">
        <v>5850</v>
      </c>
      <c r="B1615" s="8" t="s">
        <v>89</v>
      </c>
      <c r="C1615" s="10">
        <f t="shared" si="77"/>
        <v>32179</v>
      </c>
      <c r="D1615" t="s">
        <v>11</v>
      </c>
      <c r="E1615" t="s">
        <v>12</v>
      </c>
      <c r="F1615" t="s">
        <v>11</v>
      </c>
      <c r="G1615" t="s">
        <v>12</v>
      </c>
      <c r="H1615" t="s">
        <v>11</v>
      </c>
      <c r="I1615" t="s">
        <v>12</v>
      </c>
      <c r="J1615" t="s">
        <v>11</v>
      </c>
      <c r="K1615" t="s">
        <v>12</v>
      </c>
      <c r="L1615" s="12" t="s">
        <v>62</v>
      </c>
      <c r="M1615" s="12" t="s">
        <v>36</v>
      </c>
      <c r="N1615" s="12" t="s">
        <v>13</v>
      </c>
      <c r="O1615" s="12" t="s">
        <v>169</v>
      </c>
      <c r="P1615" s="12" t="s">
        <v>143</v>
      </c>
      <c r="Q1615" s="7" t="str">
        <f t="shared" si="76"/>
        <v>(1988,5,'1988.02.06',10,38,41,58,77,0),</v>
      </c>
      <c r="R1615" s="7" t="str">
        <f t="shared" si="78"/>
        <v>(1988,5,'1988.02.06',10,38,41,58,77),</v>
      </c>
    </row>
    <row r="1616" spans="1:18" x14ac:dyDescent="0.25">
      <c r="A1616" s="7" t="s">
        <v>5850</v>
      </c>
      <c r="B1616" s="8" t="s">
        <v>270</v>
      </c>
      <c r="C1616" s="10">
        <f t="shared" si="77"/>
        <v>32186</v>
      </c>
      <c r="D1616" t="s">
        <v>11</v>
      </c>
      <c r="E1616" t="s">
        <v>12</v>
      </c>
      <c r="F1616" t="s">
        <v>11</v>
      </c>
      <c r="G1616" t="s">
        <v>12</v>
      </c>
      <c r="H1616" t="s">
        <v>11</v>
      </c>
      <c r="I1616" t="s">
        <v>12</v>
      </c>
      <c r="J1616" t="s">
        <v>11</v>
      </c>
      <c r="K1616" t="s">
        <v>12</v>
      </c>
      <c r="L1616" s="12" t="s">
        <v>232</v>
      </c>
      <c r="M1616" s="12" t="s">
        <v>126</v>
      </c>
      <c r="N1616" s="12" t="s">
        <v>107</v>
      </c>
      <c r="O1616" s="12" t="s">
        <v>71</v>
      </c>
      <c r="P1616" s="12" t="s">
        <v>63</v>
      </c>
      <c r="Q1616" s="7" t="str">
        <f t="shared" si="76"/>
        <v>(1988,6,'1988.02.13',8,28,30,31,78,0),</v>
      </c>
      <c r="R1616" s="7" t="str">
        <f t="shared" si="78"/>
        <v>(1988,6,'1988.02.13',8,28,30,31,78),</v>
      </c>
    </row>
    <row r="1617" spans="1:18" x14ac:dyDescent="0.25">
      <c r="A1617" s="7" t="s">
        <v>5850</v>
      </c>
      <c r="B1617" s="8" t="s">
        <v>53</v>
      </c>
      <c r="C1617" s="10">
        <f t="shared" si="77"/>
        <v>32193</v>
      </c>
      <c r="D1617" t="s">
        <v>11</v>
      </c>
      <c r="E1617" t="s">
        <v>12</v>
      </c>
      <c r="F1617" t="s">
        <v>11</v>
      </c>
      <c r="G1617" t="s">
        <v>12</v>
      </c>
      <c r="H1617" t="s">
        <v>11</v>
      </c>
      <c r="I1617" t="s">
        <v>12</v>
      </c>
      <c r="J1617" t="s">
        <v>11</v>
      </c>
      <c r="K1617" t="s">
        <v>12</v>
      </c>
      <c r="L1617" s="12" t="s">
        <v>89</v>
      </c>
      <c r="M1617" s="12" t="s">
        <v>99</v>
      </c>
      <c r="N1617" s="12" t="s">
        <v>199</v>
      </c>
      <c r="O1617" s="12" t="s">
        <v>143</v>
      </c>
      <c r="P1617" s="12" t="s">
        <v>215</v>
      </c>
      <c r="Q1617" s="7" t="str">
        <f t="shared" si="76"/>
        <v>(1988,7,'1988.02.20',5,52,53,77,81,0),</v>
      </c>
      <c r="R1617" s="7" t="str">
        <f t="shared" si="78"/>
        <v>(1988,7,'1988.02.20',5,52,53,77,81),</v>
      </c>
    </row>
    <row r="1618" spans="1:18" x14ac:dyDescent="0.25">
      <c r="A1618" s="7" t="s">
        <v>5850</v>
      </c>
      <c r="B1618" s="8" t="s">
        <v>232</v>
      </c>
      <c r="C1618" s="10">
        <f t="shared" si="77"/>
        <v>32200</v>
      </c>
      <c r="D1618" t="s">
        <v>11</v>
      </c>
      <c r="E1618" t="s">
        <v>12</v>
      </c>
      <c r="F1618" t="s">
        <v>11</v>
      </c>
      <c r="G1618" t="s">
        <v>12</v>
      </c>
      <c r="H1618" t="s">
        <v>11</v>
      </c>
      <c r="I1618" t="s">
        <v>12</v>
      </c>
      <c r="J1618" t="s">
        <v>11</v>
      </c>
      <c r="K1618" t="s">
        <v>12</v>
      </c>
      <c r="L1618" s="12" t="s">
        <v>107</v>
      </c>
      <c r="M1618" s="12" t="s">
        <v>20</v>
      </c>
      <c r="N1618" s="12" t="s">
        <v>239</v>
      </c>
      <c r="O1618" s="12" t="s">
        <v>622</v>
      </c>
      <c r="P1618" s="12" t="s">
        <v>246</v>
      </c>
      <c r="Q1618" s="7" t="str">
        <f t="shared" si="76"/>
        <v>(1988,8,'1988.02.27',30,33,73,82,84,0),</v>
      </c>
      <c r="R1618" s="7" t="str">
        <f t="shared" si="78"/>
        <v>(1988,8,'1988.02.27',30,33,73,82,84),</v>
      </c>
    </row>
    <row r="1619" spans="1:18" x14ac:dyDescent="0.25">
      <c r="A1619" s="7" t="s">
        <v>5850</v>
      </c>
      <c r="B1619" s="8" t="s">
        <v>198</v>
      </c>
      <c r="C1619" s="10">
        <f t="shared" si="77"/>
        <v>32207</v>
      </c>
      <c r="D1619" t="s">
        <v>11</v>
      </c>
      <c r="E1619" t="s">
        <v>12</v>
      </c>
      <c r="F1619" t="s">
        <v>11</v>
      </c>
      <c r="G1619" t="s">
        <v>12</v>
      </c>
      <c r="H1619" t="s">
        <v>11</v>
      </c>
      <c r="I1619" t="s">
        <v>12</v>
      </c>
      <c r="J1619" t="s">
        <v>11</v>
      </c>
      <c r="K1619" t="s">
        <v>12</v>
      </c>
      <c r="L1619" s="12" t="s">
        <v>64</v>
      </c>
      <c r="M1619" s="12" t="s">
        <v>81</v>
      </c>
      <c r="N1619" s="12" t="s">
        <v>105</v>
      </c>
      <c r="O1619" s="12" t="s">
        <v>175</v>
      </c>
      <c r="P1619" s="12" t="s">
        <v>215</v>
      </c>
      <c r="Q1619" s="7" t="str">
        <f t="shared" si="76"/>
        <v>(1988,9,'1988.03.05',35,47,50,55,81,0),</v>
      </c>
      <c r="R1619" s="7" t="str">
        <f t="shared" si="78"/>
        <v>(1988,9,'1988.03.05',35,47,50,55,81),</v>
      </c>
    </row>
    <row r="1620" spans="1:18" x14ac:dyDescent="0.25">
      <c r="A1620" s="7" t="s">
        <v>5850</v>
      </c>
      <c r="B1620" s="8" t="s">
        <v>62</v>
      </c>
      <c r="C1620" s="10">
        <f t="shared" si="77"/>
        <v>32214</v>
      </c>
      <c r="D1620" t="s">
        <v>11</v>
      </c>
      <c r="E1620" t="s">
        <v>12</v>
      </c>
      <c r="F1620" t="s">
        <v>11</v>
      </c>
      <c r="G1620" t="s">
        <v>12</v>
      </c>
      <c r="H1620" t="s">
        <v>11</v>
      </c>
      <c r="I1620" t="s">
        <v>12</v>
      </c>
      <c r="J1620" t="s">
        <v>11</v>
      </c>
      <c r="K1620" t="s">
        <v>12</v>
      </c>
      <c r="L1620" s="12" t="s">
        <v>43</v>
      </c>
      <c r="M1620" s="12" t="s">
        <v>81</v>
      </c>
      <c r="N1620" s="12" t="s">
        <v>82</v>
      </c>
      <c r="O1620" s="12" t="s">
        <v>124</v>
      </c>
      <c r="P1620" s="12" t="s">
        <v>301</v>
      </c>
      <c r="Q1620" s="7" t="str">
        <f t="shared" si="76"/>
        <v>(1988,10,'1988.03.12',16,47,59,62,80,0),</v>
      </c>
      <c r="R1620" s="7" t="str">
        <f t="shared" si="78"/>
        <v>(1988,10,'1988.03.12',16,47,59,62,80),</v>
      </c>
    </row>
    <row r="1621" spans="1:18" x14ac:dyDescent="0.25">
      <c r="A1621" s="7" t="s">
        <v>5850</v>
      </c>
      <c r="B1621" s="8" t="s">
        <v>83</v>
      </c>
      <c r="C1621" s="10">
        <f t="shared" si="77"/>
        <v>32221</v>
      </c>
      <c r="D1621" t="s">
        <v>11</v>
      </c>
      <c r="E1621" t="s">
        <v>12</v>
      </c>
      <c r="F1621" t="s">
        <v>11</v>
      </c>
      <c r="G1621" t="s">
        <v>12</v>
      </c>
      <c r="H1621" t="s">
        <v>11</v>
      </c>
      <c r="I1621" t="s">
        <v>12</v>
      </c>
      <c r="J1621" t="s">
        <v>11</v>
      </c>
      <c r="K1621" t="s">
        <v>12</v>
      </c>
      <c r="L1621" s="12" t="s">
        <v>33</v>
      </c>
      <c r="M1621" s="12" t="s">
        <v>135</v>
      </c>
      <c r="N1621" s="12" t="s">
        <v>133</v>
      </c>
      <c r="O1621" s="12" t="s">
        <v>22</v>
      </c>
      <c r="P1621" s="12" t="s">
        <v>35</v>
      </c>
      <c r="Q1621" s="7" t="str">
        <f t="shared" si="76"/>
        <v>(1988,11,'1988.03.19',24,27,45,48,65,0),</v>
      </c>
      <c r="R1621" s="7" t="str">
        <f t="shared" si="78"/>
        <v>(1988,11,'1988.03.19',24,27,45,48,65),</v>
      </c>
    </row>
    <row r="1622" spans="1:18" x14ac:dyDescent="0.25">
      <c r="A1622" s="7" t="s">
        <v>5850</v>
      </c>
      <c r="B1622" s="8" t="s">
        <v>31</v>
      </c>
      <c r="C1622" s="10">
        <f t="shared" si="77"/>
        <v>32228</v>
      </c>
      <c r="D1622" t="s">
        <v>11</v>
      </c>
      <c r="E1622" t="s">
        <v>12</v>
      </c>
      <c r="F1622" t="s">
        <v>11</v>
      </c>
      <c r="G1622" t="s">
        <v>12</v>
      </c>
      <c r="H1622" t="s">
        <v>11</v>
      </c>
      <c r="I1622" t="s">
        <v>12</v>
      </c>
      <c r="J1622" t="s">
        <v>11</v>
      </c>
      <c r="K1622" t="s">
        <v>12</v>
      </c>
      <c r="L1622" s="12" t="s">
        <v>33</v>
      </c>
      <c r="M1622" s="12" t="s">
        <v>152</v>
      </c>
      <c r="N1622" s="12" t="s">
        <v>135</v>
      </c>
      <c r="O1622" s="12" t="s">
        <v>71</v>
      </c>
      <c r="P1622" s="12" t="s">
        <v>200</v>
      </c>
      <c r="Q1622" s="7" t="str">
        <f t="shared" si="76"/>
        <v>(1988,12,'1988.03.26',24,25,27,31,70,0),</v>
      </c>
      <c r="R1622" s="7" t="str">
        <f t="shared" si="78"/>
        <v>(1988,12,'1988.03.26',24,25,27,31,70),</v>
      </c>
    </row>
    <row r="1623" spans="1:18" x14ac:dyDescent="0.25">
      <c r="A1623" s="7" t="s">
        <v>5850</v>
      </c>
      <c r="B1623" s="8" t="s">
        <v>65</v>
      </c>
      <c r="C1623" s="10">
        <f t="shared" si="77"/>
        <v>32235</v>
      </c>
      <c r="D1623" t="s">
        <v>11</v>
      </c>
      <c r="E1623" t="s">
        <v>12</v>
      </c>
      <c r="F1623" t="s">
        <v>11</v>
      </c>
      <c r="G1623" t="s">
        <v>12</v>
      </c>
      <c r="H1623" t="s">
        <v>11</v>
      </c>
      <c r="I1623" t="s">
        <v>12</v>
      </c>
      <c r="J1623" t="s">
        <v>11</v>
      </c>
      <c r="K1623" t="s">
        <v>12</v>
      </c>
      <c r="L1623" s="12" t="s">
        <v>127</v>
      </c>
      <c r="M1623" s="12" t="s">
        <v>107</v>
      </c>
      <c r="N1623" s="12" t="s">
        <v>13</v>
      </c>
      <c r="O1623" s="12" t="s">
        <v>91</v>
      </c>
      <c r="P1623" s="12" t="s">
        <v>124</v>
      </c>
      <c r="Q1623" s="7" t="str">
        <f t="shared" si="76"/>
        <v>(1988,13,'1988.04.02',14,30,41,61,62,0),</v>
      </c>
      <c r="R1623" s="7" t="str">
        <f t="shared" si="78"/>
        <v>(1988,13,'1988.04.02',14,30,41,61,62),</v>
      </c>
    </row>
    <row r="1624" spans="1:18" x14ac:dyDescent="0.25">
      <c r="A1624" s="7" t="s">
        <v>5850</v>
      </c>
      <c r="B1624" s="8" t="s">
        <v>127</v>
      </c>
      <c r="C1624" s="10">
        <f t="shared" si="77"/>
        <v>32242</v>
      </c>
      <c r="D1624" t="s">
        <v>11</v>
      </c>
      <c r="E1624" t="s">
        <v>12</v>
      </c>
      <c r="F1624" t="s">
        <v>11</v>
      </c>
      <c r="G1624" t="s">
        <v>12</v>
      </c>
      <c r="H1624" t="s">
        <v>11</v>
      </c>
      <c r="I1624" t="s">
        <v>12</v>
      </c>
      <c r="J1624" t="s">
        <v>11</v>
      </c>
      <c r="K1624" t="s">
        <v>12</v>
      </c>
      <c r="L1624" s="12" t="s">
        <v>65</v>
      </c>
      <c r="M1624" s="12" t="s">
        <v>135</v>
      </c>
      <c r="N1624" s="12" t="s">
        <v>21</v>
      </c>
      <c r="O1624" s="12" t="s">
        <v>123</v>
      </c>
      <c r="P1624" s="12" t="s">
        <v>91</v>
      </c>
      <c r="Q1624" s="7" t="str">
        <f t="shared" si="76"/>
        <v>(1988,14,'1988.04.09',13,27,36,54,61,0),</v>
      </c>
      <c r="R1624" s="7" t="str">
        <f t="shared" si="78"/>
        <v>(1988,14,'1988.04.09',13,27,36,54,61),</v>
      </c>
    </row>
    <row r="1625" spans="1:18" x14ac:dyDescent="0.25">
      <c r="A1625" s="7" t="s">
        <v>5850</v>
      </c>
      <c r="B1625" s="8" t="s">
        <v>54</v>
      </c>
      <c r="C1625" s="10">
        <f t="shared" si="77"/>
        <v>32249</v>
      </c>
      <c r="D1625" t="s">
        <v>11</v>
      </c>
      <c r="E1625" t="s">
        <v>12</v>
      </c>
      <c r="F1625" t="s">
        <v>11</v>
      </c>
      <c r="G1625" t="s">
        <v>12</v>
      </c>
      <c r="H1625" t="s">
        <v>11</v>
      </c>
      <c r="I1625" t="s">
        <v>12</v>
      </c>
      <c r="J1625" t="s">
        <v>11</v>
      </c>
      <c r="K1625" t="s">
        <v>12</v>
      </c>
      <c r="L1625" s="12" t="s">
        <v>43</v>
      </c>
      <c r="M1625" s="12" t="s">
        <v>90</v>
      </c>
      <c r="N1625" s="12" t="s">
        <v>135</v>
      </c>
      <c r="O1625" s="12" t="s">
        <v>13</v>
      </c>
      <c r="P1625" s="12" t="s">
        <v>175</v>
      </c>
      <c r="Q1625" s="7" t="str">
        <f t="shared" si="76"/>
        <v>(1988,15,'1988.04.16',16,17,27,41,55,0),</v>
      </c>
      <c r="R1625" s="7" t="str">
        <f t="shared" si="78"/>
        <v>(1988,15,'1988.04.16',16,17,27,41,55),</v>
      </c>
    </row>
    <row r="1626" spans="1:18" x14ac:dyDescent="0.25">
      <c r="A1626" s="7" t="s">
        <v>5850</v>
      </c>
      <c r="B1626" s="8" t="s">
        <v>43</v>
      </c>
      <c r="C1626" s="10">
        <f t="shared" si="77"/>
        <v>32256</v>
      </c>
      <c r="D1626" t="s">
        <v>11</v>
      </c>
      <c r="E1626" t="s">
        <v>12</v>
      </c>
      <c r="F1626" t="s">
        <v>11</v>
      </c>
      <c r="G1626" t="s">
        <v>12</v>
      </c>
      <c r="H1626" t="s">
        <v>11</v>
      </c>
      <c r="I1626" t="s">
        <v>12</v>
      </c>
      <c r="J1626" t="s">
        <v>11</v>
      </c>
      <c r="K1626" t="s">
        <v>12</v>
      </c>
      <c r="L1626" s="12" t="s">
        <v>74</v>
      </c>
      <c r="M1626" s="12" t="s">
        <v>126</v>
      </c>
      <c r="N1626" s="12" t="s">
        <v>81</v>
      </c>
      <c r="O1626" s="12" t="s">
        <v>169</v>
      </c>
      <c r="P1626" s="12" t="s">
        <v>308</v>
      </c>
      <c r="Q1626" s="7" t="str">
        <f t="shared" si="76"/>
        <v>(1988,16,'1988.04.23',26,28,47,58,86,0),</v>
      </c>
      <c r="R1626" s="7" t="str">
        <f t="shared" si="78"/>
        <v>(1988,16,'1988.04.23',26,28,47,58,86),</v>
      </c>
    </row>
    <row r="1627" spans="1:18" x14ac:dyDescent="0.25">
      <c r="A1627" s="7" t="s">
        <v>5850</v>
      </c>
      <c r="B1627" s="8" t="s">
        <v>90</v>
      </c>
      <c r="C1627" s="10">
        <f t="shared" si="77"/>
        <v>32263</v>
      </c>
      <c r="D1627" t="s">
        <v>11</v>
      </c>
      <c r="E1627" t="s">
        <v>12</v>
      </c>
      <c r="F1627" t="s">
        <v>11</v>
      </c>
      <c r="G1627" t="s">
        <v>12</v>
      </c>
      <c r="H1627" t="s">
        <v>11</v>
      </c>
      <c r="I1627" t="s">
        <v>12</v>
      </c>
      <c r="J1627" t="s">
        <v>11</v>
      </c>
      <c r="K1627" t="s">
        <v>12</v>
      </c>
      <c r="L1627" s="12" t="s">
        <v>21</v>
      </c>
      <c r="M1627" s="12" t="s">
        <v>122</v>
      </c>
      <c r="N1627" s="12" t="s">
        <v>91</v>
      </c>
      <c r="O1627" s="12" t="s">
        <v>35</v>
      </c>
      <c r="P1627" s="12" t="s">
        <v>239</v>
      </c>
      <c r="Q1627" s="7" t="str">
        <f t="shared" si="76"/>
        <v>(1988,17,'1988.04.30',36,51,61,65,73,0),</v>
      </c>
      <c r="R1627" s="7" t="str">
        <f t="shared" si="78"/>
        <v>(1988,17,'1988.04.30',36,51,61,65,73),</v>
      </c>
    </row>
    <row r="1628" spans="1:18" x14ac:dyDescent="0.25">
      <c r="A1628" s="7" t="s">
        <v>5850</v>
      </c>
      <c r="B1628" s="8" t="s">
        <v>19</v>
      </c>
      <c r="C1628" s="10">
        <f t="shared" si="77"/>
        <v>32270</v>
      </c>
      <c r="D1628" t="s">
        <v>11</v>
      </c>
      <c r="E1628" t="s">
        <v>12</v>
      </c>
      <c r="F1628" t="s">
        <v>11</v>
      </c>
      <c r="G1628" t="s">
        <v>12</v>
      </c>
      <c r="H1628" t="s">
        <v>11</v>
      </c>
      <c r="I1628" t="s">
        <v>12</v>
      </c>
      <c r="J1628" t="s">
        <v>11</v>
      </c>
      <c r="K1628" t="s">
        <v>12</v>
      </c>
      <c r="L1628" s="12" t="s">
        <v>55</v>
      </c>
      <c r="M1628" s="12" t="s">
        <v>44</v>
      </c>
      <c r="N1628" s="12" t="s">
        <v>116</v>
      </c>
      <c r="O1628" s="12" t="s">
        <v>169</v>
      </c>
      <c r="P1628" s="12" t="s">
        <v>151</v>
      </c>
      <c r="Q1628" s="7" t="str">
        <f t="shared" si="76"/>
        <v>(1988,18,'1988.05.07',19,21,29,58,79,0),</v>
      </c>
      <c r="R1628" s="7" t="str">
        <f t="shared" si="78"/>
        <v>(1988,18,'1988.05.07',19,21,29,58,79),</v>
      </c>
    </row>
    <row r="1629" spans="1:18" x14ac:dyDescent="0.25">
      <c r="A1629" s="7" t="s">
        <v>5850</v>
      </c>
      <c r="B1629" s="8" t="s">
        <v>55</v>
      </c>
      <c r="C1629" s="10">
        <f t="shared" si="77"/>
        <v>32277</v>
      </c>
      <c r="D1629" t="s">
        <v>11</v>
      </c>
      <c r="E1629" t="s">
        <v>12</v>
      </c>
      <c r="F1629" t="s">
        <v>11</v>
      </c>
      <c r="G1629" t="s">
        <v>12</v>
      </c>
      <c r="H1629" t="s">
        <v>11</v>
      </c>
      <c r="I1629" t="s">
        <v>12</v>
      </c>
      <c r="J1629" t="s">
        <v>11</v>
      </c>
      <c r="K1629" t="s">
        <v>12</v>
      </c>
      <c r="L1629" s="12" t="s">
        <v>168</v>
      </c>
      <c r="M1629" s="12" t="s">
        <v>53</v>
      </c>
      <c r="N1629" s="12" t="s">
        <v>192</v>
      </c>
      <c r="O1629" s="12" t="s">
        <v>214</v>
      </c>
      <c r="P1629" s="12" t="s">
        <v>301</v>
      </c>
      <c r="Q1629" s="7" t="str">
        <f t="shared" si="76"/>
        <v>(1988,19,'1988.05.14',4,7,46,64,80,0),</v>
      </c>
      <c r="R1629" s="7" t="str">
        <f t="shared" si="78"/>
        <v>(1988,19,'1988.05.14',4,7,46,64,80),</v>
      </c>
    </row>
    <row r="1630" spans="1:18" x14ac:dyDescent="0.25">
      <c r="A1630" s="7" t="s">
        <v>5850</v>
      </c>
      <c r="B1630" s="8" t="s">
        <v>115</v>
      </c>
      <c r="C1630" s="10">
        <f t="shared" si="77"/>
        <v>32284</v>
      </c>
      <c r="D1630" t="s">
        <v>11</v>
      </c>
      <c r="E1630" t="s">
        <v>12</v>
      </c>
      <c r="F1630" t="s">
        <v>11</v>
      </c>
      <c r="G1630" t="s">
        <v>12</v>
      </c>
      <c r="H1630" t="s">
        <v>11</v>
      </c>
      <c r="I1630" t="s">
        <v>12</v>
      </c>
      <c r="J1630" t="s">
        <v>11</v>
      </c>
      <c r="K1630" t="s">
        <v>12</v>
      </c>
      <c r="L1630" s="12" t="s">
        <v>83</v>
      </c>
      <c r="M1630" s="12" t="s">
        <v>33</v>
      </c>
      <c r="N1630" s="12" t="s">
        <v>46</v>
      </c>
      <c r="O1630" s="12" t="s">
        <v>99</v>
      </c>
      <c r="P1630" s="12" t="s">
        <v>123</v>
      </c>
      <c r="Q1630" s="7" t="str">
        <f t="shared" si="76"/>
        <v>(1988,20,'1988.05.21',11,24,37,52,54,0),</v>
      </c>
      <c r="R1630" s="7" t="str">
        <f t="shared" si="78"/>
        <v>(1988,20,'1988.05.21',11,24,37,52,54),</v>
      </c>
    </row>
    <row r="1631" spans="1:18" x14ac:dyDescent="0.25">
      <c r="A1631" s="7" t="s">
        <v>5850</v>
      </c>
      <c r="B1631" s="8" t="s">
        <v>44</v>
      </c>
      <c r="C1631" s="10">
        <f t="shared" si="77"/>
        <v>32291</v>
      </c>
      <c r="D1631" t="s">
        <v>11</v>
      </c>
      <c r="E1631" t="s">
        <v>12</v>
      </c>
      <c r="F1631" t="s">
        <v>11</v>
      </c>
      <c r="G1631" t="s">
        <v>12</v>
      </c>
      <c r="H1631" t="s">
        <v>11</v>
      </c>
      <c r="I1631" t="s">
        <v>12</v>
      </c>
      <c r="J1631" t="s">
        <v>11</v>
      </c>
      <c r="K1631" t="s">
        <v>12</v>
      </c>
      <c r="L1631" s="12" t="s">
        <v>74</v>
      </c>
      <c r="M1631" s="12" t="s">
        <v>24</v>
      </c>
      <c r="N1631" s="12" t="s">
        <v>98</v>
      </c>
      <c r="O1631" s="12" t="s">
        <v>123</v>
      </c>
      <c r="P1631" s="12" t="s">
        <v>35</v>
      </c>
      <c r="Q1631" s="7" t="str">
        <f t="shared" si="76"/>
        <v>(1988,21,'1988.05.28',26,39,42,54,65,0),</v>
      </c>
      <c r="R1631" s="7" t="str">
        <f t="shared" si="78"/>
        <v>(1988,21,'1988.05.28',26,39,42,54,65),</v>
      </c>
    </row>
    <row r="1632" spans="1:18" x14ac:dyDescent="0.25">
      <c r="A1632" s="7" t="s">
        <v>5850</v>
      </c>
      <c r="B1632" s="8" t="s">
        <v>32</v>
      </c>
      <c r="C1632" s="10">
        <f t="shared" si="77"/>
        <v>32298</v>
      </c>
      <c r="D1632" t="s">
        <v>11</v>
      </c>
      <c r="E1632" t="s">
        <v>12</v>
      </c>
      <c r="F1632" t="s">
        <v>11</v>
      </c>
      <c r="G1632" t="s">
        <v>12</v>
      </c>
      <c r="H1632" t="s">
        <v>11</v>
      </c>
      <c r="I1632" t="s">
        <v>12</v>
      </c>
      <c r="J1632" t="s">
        <v>11</v>
      </c>
      <c r="K1632" t="s">
        <v>12</v>
      </c>
      <c r="L1632" s="12" t="s">
        <v>207</v>
      </c>
      <c r="M1632" s="12" t="s">
        <v>74</v>
      </c>
      <c r="N1632" s="12" t="s">
        <v>25</v>
      </c>
      <c r="O1632" s="12" t="s">
        <v>192</v>
      </c>
      <c r="P1632" s="12" t="s">
        <v>23</v>
      </c>
      <c r="Q1632" s="7" t="str">
        <f t="shared" si="76"/>
        <v>(1988,22,'1988.06.04',2,26,34,46,60,0),</v>
      </c>
      <c r="R1632" s="7" t="str">
        <f t="shared" si="78"/>
        <v>(1988,22,'1988.06.04',2,26,34,46,60),</v>
      </c>
    </row>
    <row r="1633" spans="1:18" x14ac:dyDescent="0.25">
      <c r="A1633" s="7" t="s">
        <v>5850</v>
      </c>
      <c r="B1633" s="8" t="s">
        <v>163</v>
      </c>
      <c r="C1633" s="10">
        <f t="shared" si="77"/>
        <v>32305</v>
      </c>
      <c r="D1633" t="s">
        <v>11</v>
      </c>
      <c r="E1633" t="s">
        <v>12</v>
      </c>
      <c r="F1633" t="s">
        <v>11</v>
      </c>
      <c r="G1633" t="s">
        <v>12</v>
      </c>
      <c r="H1633" t="s">
        <v>11</v>
      </c>
      <c r="I1633" t="s">
        <v>12</v>
      </c>
      <c r="J1633" t="s">
        <v>11</v>
      </c>
      <c r="K1633" t="s">
        <v>12</v>
      </c>
      <c r="L1633" s="12" t="s">
        <v>83</v>
      </c>
      <c r="M1633" s="12" t="s">
        <v>91</v>
      </c>
      <c r="N1633" s="12" t="s">
        <v>151</v>
      </c>
      <c r="O1633" s="12" t="s">
        <v>379</v>
      </c>
      <c r="P1633" s="12" t="s">
        <v>186</v>
      </c>
      <c r="Q1633" s="7" t="str">
        <f t="shared" si="76"/>
        <v>(1988,23,'1988.06.11',11,61,79,89,90,0),</v>
      </c>
      <c r="R1633" s="7" t="str">
        <f t="shared" si="78"/>
        <v>(1988,23,'1988.06.11',11,61,79,89,90),</v>
      </c>
    </row>
    <row r="1634" spans="1:18" x14ac:dyDescent="0.25">
      <c r="A1634" s="7" t="s">
        <v>5850</v>
      </c>
      <c r="B1634" s="8" t="s">
        <v>33</v>
      </c>
      <c r="C1634" s="10">
        <f t="shared" si="77"/>
        <v>32312</v>
      </c>
      <c r="D1634" t="s">
        <v>11</v>
      </c>
      <c r="E1634" t="s">
        <v>12</v>
      </c>
      <c r="F1634" t="s">
        <v>11</v>
      </c>
      <c r="G1634" t="s">
        <v>12</v>
      </c>
      <c r="H1634" t="s">
        <v>11</v>
      </c>
      <c r="I1634" t="s">
        <v>12</v>
      </c>
      <c r="J1634" t="s">
        <v>11</v>
      </c>
      <c r="K1634" t="s">
        <v>12</v>
      </c>
      <c r="L1634" s="12" t="s">
        <v>90</v>
      </c>
      <c r="M1634" s="12" t="s">
        <v>74</v>
      </c>
      <c r="N1634" s="12" t="s">
        <v>98</v>
      </c>
      <c r="O1634" s="12" t="s">
        <v>124</v>
      </c>
      <c r="P1634" s="12" t="s">
        <v>73</v>
      </c>
      <c r="Q1634" s="7" t="str">
        <f t="shared" si="76"/>
        <v>(1988,24,'1988.06.18',17,26,42,62,76,0),</v>
      </c>
      <c r="R1634" s="7" t="str">
        <f t="shared" si="78"/>
        <v>(1988,24,'1988.06.18',17,26,42,62,76),</v>
      </c>
    </row>
    <row r="1635" spans="1:18" x14ac:dyDescent="0.25">
      <c r="A1635" s="7" t="s">
        <v>5850</v>
      </c>
      <c r="B1635" s="8" t="s">
        <v>152</v>
      </c>
      <c r="C1635" s="10">
        <f t="shared" si="77"/>
        <v>32319</v>
      </c>
      <c r="D1635" t="s">
        <v>11</v>
      </c>
      <c r="E1635" t="s">
        <v>12</v>
      </c>
      <c r="F1635" t="s">
        <v>11</v>
      </c>
      <c r="G1635" t="s">
        <v>12</v>
      </c>
      <c r="H1635" t="s">
        <v>11</v>
      </c>
      <c r="I1635" t="s">
        <v>12</v>
      </c>
      <c r="J1635" t="s">
        <v>11</v>
      </c>
      <c r="K1635" t="s">
        <v>12</v>
      </c>
      <c r="L1635" s="12" t="s">
        <v>65</v>
      </c>
      <c r="M1635" s="12" t="s">
        <v>19</v>
      </c>
      <c r="N1635" s="12" t="s">
        <v>36</v>
      </c>
      <c r="O1635" s="12" t="s">
        <v>142</v>
      </c>
      <c r="P1635" s="12" t="s">
        <v>72</v>
      </c>
      <c r="Q1635" s="7" t="str">
        <f t="shared" si="76"/>
        <v>(1988,25,'1988.06.25',13,18,38,44,67,0),</v>
      </c>
      <c r="R1635" s="7" t="str">
        <f t="shared" si="78"/>
        <v>(1988,25,'1988.06.25',13,18,38,44,67),</v>
      </c>
    </row>
    <row r="1636" spans="1:18" x14ac:dyDescent="0.25">
      <c r="A1636" s="7" t="s">
        <v>5850</v>
      </c>
      <c r="B1636" s="8" t="s">
        <v>74</v>
      </c>
      <c r="C1636" s="10">
        <f t="shared" si="77"/>
        <v>32326</v>
      </c>
      <c r="D1636" t="s">
        <v>11</v>
      </c>
      <c r="E1636" t="s">
        <v>12</v>
      </c>
      <c r="F1636" t="s">
        <v>11</v>
      </c>
      <c r="G1636" t="s">
        <v>12</v>
      </c>
      <c r="H1636" t="s">
        <v>11</v>
      </c>
      <c r="I1636" t="s">
        <v>12</v>
      </c>
      <c r="J1636" t="s">
        <v>11</v>
      </c>
      <c r="K1636" t="s">
        <v>12</v>
      </c>
      <c r="L1636" s="12" t="s">
        <v>198</v>
      </c>
      <c r="M1636" s="12" t="s">
        <v>62</v>
      </c>
      <c r="N1636" s="12" t="s">
        <v>54</v>
      </c>
      <c r="O1636" s="12" t="s">
        <v>25</v>
      </c>
      <c r="P1636" s="12" t="s">
        <v>308</v>
      </c>
      <c r="Q1636" s="7" t="str">
        <f t="shared" si="76"/>
        <v>(1988,26,'1988.07.02',9,10,15,34,86,0),</v>
      </c>
      <c r="R1636" s="7" t="str">
        <f t="shared" si="78"/>
        <v>(1988,26,'1988.07.02',9,10,15,34,86),</v>
      </c>
    </row>
    <row r="1637" spans="1:18" x14ac:dyDescent="0.25">
      <c r="A1637" s="7" t="s">
        <v>5850</v>
      </c>
      <c r="B1637" s="8" t="s">
        <v>135</v>
      </c>
      <c r="C1637" s="10">
        <f t="shared" si="77"/>
        <v>32333</v>
      </c>
      <c r="D1637" t="s">
        <v>11</v>
      </c>
      <c r="E1637" t="s">
        <v>12</v>
      </c>
      <c r="F1637" t="s">
        <v>11</v>
      </c>
      <c r="G1637" t="s">
        <v>12</v>
      </c>
      <c r="H1637" t="s">
        <v>11</v>
      </c>
      <c r="I1637" t="s">
        <v>12</v>
      </c>
      <c r="J1637" t="s">
        <v>11</v>
      </c>
      <c r="K1637" t="s">
        <v>12</v>
      </c>
      <c r="L1637" s="12" t="s">
        <v>90</v>
      </c>
      <c r="M1637" s="12" t="s">
        <v>19</v>
      </c>
      <c r="N1637" s="12" t="s">
        <v>192</v>
      </c>
      <c r="O1637" s="12" t="s">
        <v>35</v>
      </c>
      <c r="P1637" s="12" t="s">
        <v>269</v>
      </c>
      <c r="Q1637" s="7" t="str">
        <f t="shared" si="76"/>
        <v>(1988,27,'1988.07.09',17,18,46,65,87,0),</v>
      </c>
      <c r="R1637" s="7" t="str">
        <f t="shared" si="78"/>
        <v>(1988,27,'1988.07.09',17,18,46,65,87),</v>
      </c>
    </row>
    <row r="1638" spans="1:18" x14ac:dyDescent="0.25">
      <c r="A1638" s="7" t="s">
        <v>5850</v>
      </c>
      <c r="B1638" s="8" t="s">
        <v>126</v>
      </c>
      <c r="C1638" s="10">
        <f t="shared" si="77"/>
        <v>32340</v>
      </c>
      <c r="D1638" t="s">
        <v>11</v>
      </c>
      <c r="E1638" t="s">
        <v>12</v>
      </c>
      <c r="F1638" t="s">
        <v>11</v>
      </c>
      <c r="G1638" t="s">
        <v>12</v>
      </c>
      <c r="H1638" t="s">
        <v>11</v>
      </c>
      <c r="I1638" t="s">
        <v>12</v>
      </c>
      <c r="J1638" t="s">
        <v>11</v>
      </c>
      <c r="K1638" t="s">
        <v>12</v>
      </c>
      <c r="L1638" s="12" t="s">
        <v>53</v>
      </c>
      <c r="M1638" s="12" t="s">
        <v>116</v>
      </c>
      <c r="N1638" s="12" t="s">
        <v>142</v>
      </c>
      <c r="O1638" s="12" t="s">
        <v>81</v>
      </c>
      <c r="P1638" s="12" t="s">
        <v>622</v>
      </c>
      <c r="Q1638" s="7" t="str">
        <f t="shared" si="76"/>
        <v>(1988,28,'1988.07.16',7,29,44,47,82,0),</v>
      </c>
      <c r="R1638" s="7" t="str">
        <f t="shared" si="78"/>
        <v>(1988,28,'1988.07.16',7,29,44,47,82),</v>
      </c>
    </row>
    <row r="1639" spans="1:18" x14ac:dyDescent="0.25">
      <c r="A1639" s="7" t="s">
        <v>5850</v>
      </c>
      <c r="B1639" s="8" t="s">
        <v>116</v>
      </c>
      <c r="C1639" s="10">
        <f t="shared" si="77"/>
        <v>32347</v>
      </c>
      <c r="D1639" t="s">
        <v>11</v>
      </c>
      <c r="E1639" t="s">
        <v>12</v>
      </c>
      <c r="F1639" t="s">
        <v>11</v>
      </c>
      <c r="G1639" t="s">
        <v>12</v>
      </c>
      <c r="H1639" t="s">
        <v>11</v>
      </c>
      <c r="I1639" t="s">
        <v>12</v>
      </c>
      <c r="J1639" t="s">
        <v>11</v>
      </c>
      <c r="K1639" t="s">
        <v>12</v>
      </c>
      <c r="L1639" s="12" t="s">
        <v>108</v>
      </c>
      <c r="M1639" s="12" t="s">
        <v>232</v>
      </c>
      <c r="N1639" s="12" t="s">
        <v>24</v>
      </c>
      <c r="O1639" s="12" t="s">
        <v>142</v>
      </c>
      <c r="P1639" s="12" t="s">
        <v>99</v>
      </c>
      <c r="Q1639" s="7" t="str">
        <f t="shared" si="76"/>
        <v>(1988,29,'1988.07.23',1,8,39,44,52,0),</v>
      </c>
      <c r="R1639" s="7" t="str">
        <f t="shared" si="78"/>
        <v>(1988,29,'1988.07.23',1,8,39,44,52),</v>
      </c>
    </row>
    <row r="1640" spans="1:18" x14ac:dyDescent="0.25">
      <c r="A1640" s="7" t="s">
        <v>5850</v>
      </c>
      <c r="B1640" s="8" t="s">
        <v>107</v>
      </c>
      <c r="C1640" s="10">
        <f t="shared" si="77"/>
        <v>32354</v>
      </c>
      <c r="D1640" t="s">
        <v>11</v>
      </c>
      <c r="E1640" t="s">
        <v>12</v>
      </c>
      <c r="F1640" t="s">
        <v>11</v>
      </c>
      <c r="G1640" t="s">
        <v>12</v>
      </c>
      <c r="H1640" t="s">
        <v>11</v>
      </c>
      <c r="I1640" t="s">
        <v>12</v>
      </c>
      <c r="J1640" t="s">
        <v>11</v>
      </c>
      <c r="K1640" t="s">
        <v>12</v>
      </c>
      <c r="L1640" s="12" t="s">
        <v>22</v>
      </c>
      <c r="M1640" s="12" t="s">
        <v>200</v>
      </c>
      <c r="N1640" s="12" t="s">
        <v>239</v>
      </c>
      <c r="O1640" s="12" t="s">
        <v>63</v>
      </c>
      <c r="P1640" s="12" t="s">
        <v>622</v>
      </c>
      <c r="Q1640" s="7" t="str">
        <f t="shared" si="76"/>
        <v>(1988,30,'1988.07.30',48,70,73,78,82,0),</v>
      </c>
      <c r="R1640" s="7" t="str">
        <f t="shared" si="78"/>
        <v>(1988,30,'1988.07.30',48,70,73,78,82),</v>
      </c>
    </row>
    <row r="1641" spans="1:18" x14ac:dyDescent="0.25">
      <c r="A1641" s="7" t="s">
        <v>5850</v>
      </c>
      <c r="B1641" s="8" t="s">
        <v>71</v>
      </c>
      <c r="C1641" s="10">
        <f t="shared" si="77"/>
        <v>32361</v>
      </c>
      <c r="D1641" t="s">
        <v>11</v>
      </c>
      <c r="E1641" t="s">
        <v>12</v>
      </c>
      <c r="F1641" t="s">
        <v>11</v>
      </c>
      <c r="G1641" t="s">
        <v>12</v>
      </c>
      <c r="H1641" t="s">
        <v>11</v>
      </c>
      <c r="I1641" t="s">
        <v>12</v>
      </c>
      <c r="J1641" t="s">
        <v>11</v>
      </c>
      <c r="K1641" t="s">
        <v>12</v>
      </c>
      <c r="L1641" s="12" t="s">
        <v>126</v>
      </c>
      <c r="M1641" s="12" t="s">
        <v>20</v>
      </c>
      <c r="N1641" s="12" t="s">
        <v>22</v>
      </c>
      <c r="O1641" s="12" t="s">
        <v>34</v>
      </c>
      <c r="P1641" s="12" t="s">
        <v>169</v>
      </c>
      <c r="Q1641" s="7" t="str">
        <f t="shared" si="76"/>
        <v>(1988,31,'1988.08.06',28,33,48,49,58,0),</v>
      </c>
      <c r="R1641" s="7" t="str">
        <f t="shared" si="78"/>
        <v>(1988,31,'1988.08.06',28,33,48,49,58),</v>
      </c>
    </row>
    <row r="1642" spans="1:18" x14ac:dyDescent="0.25">
      <c r="A1642" s="7" t="s">
        <v>5850</v>
      </c>
      <c r="B1642" s="8" t="s">
        <v>80</v>
      </c>
      <c r="C1642" s="10">
        <f t="shared" si="77"/>
        <v>32368</v>
      </c>
      <c r="D1642" t="s">
        <v>11</v>
      </c>
      <c r="E1642" t="s">
        <v>12</v>
      </c>
      <c r="F1642" t="s">
        <v>11</v>
      </c>
      <c r="G1642" t="s">
        <v>12</v>
      </c>
      <c r="H1642" t="s">
        <v>11</v>
      </c>
      <c r="I1642" t="s">
        <v>12</v>
      </c>
      <c r="J1642" t="s">
        <v>11</v>
      </c>
      <c r="K1642" t="s">
        <v>12</v>
      </c>
      <c r="L1642" s="12" t="s">
        <v>198</v>
      </c>
      <c r="M1642" s="12" t="s">
        <v>33</v>
      </c>
      <c r="N1642" s="12" t="s">
        <v>116</v>
      </c>
      <c r="O1642" s="12" t="s">
        <v>82</v>
      </c>
      <c r="P1642" s="12" t="s">
        <v>248</v>
      </c>
      <c r="Q1642" s="7" t="str">
        <f t="shared" si="76"/>
        <v>(1988,32,'1988.08.13',9,24,29,59,63,0),</v>
      </c>
      <c r="R1642" s="7" t="str">
        <f t="shared" si="78"/>
        <v>(1988,32,'1988.08.13',9,24,29,59,63),</v>
      </c>
    </row>
    <row r="1643" spans="1:18" x14ac:dyDescent="0.25">
      <c r="A1643" s="7" t="s">
        <v>5850</v>
      </c>
      <c r="B1643" s="8" t="s">
        <v>20</v>
      </c>
      <c r="C1643" s="10">
        <f t="shared" si="77"/>
        <v>32375</v>
      </c>
      <c r="D1643" t="s">
        <v>11</v>
      </c>
      <c r="E1643" t="s">
        <v>12</v>
      </c>
      <c r="F1643" t="s">
        <v>11</v>
      </c>
      <c r="G1643" t="s">
        <v>12</v>
      </c>
      <c r="H1643" t="s">
        <v>11</v>
      </c>
      <c r="I1643" t="s">
        <v>12</v>
      </c>
      <c r="J1643" t="s">
        <v>11</v>
      </c>
      <c r="K1643" t="s">
        <v>12</v>
      </c>
      <c r="L1643" s="12" t="s">
        <v>207</v>
      </c>
      <c r="M1643" s="12" t="s">
        <v>90</v>
      </c>
      <c r="N1643" s="12" t="s">
        <v>64</v>
      </c>
      <c r="O1643" s="12" t="s">
        <v>92</v>
      </c>
      <c r="P1643" s="12" t="s">
        <v>308</v>
      </c>
      <c r="Q1643" s="7" t="str">
        <f t="shared" si="76"/>
        <v>(1988,33,'1988.08.20',2,17,35,68,86,0),</v>
      </c>
      <c r="R1643" s="7" t="str">
        <f t="shared" si="78"/>
        <v>(1988,33,'1988.08.20',2,17,35,68,86),</v>
      </c>
    </row>
    <row r="1644" spans="1:18" x14ac:dyDescent="0.25">
      <c r="A1644" s="7" t="s">
        <v>5850</v>
      </c>
      <c r="B1644" s="8" t="s">
        <v>25</v>
      </c>
      <c r="C1644" s="10">
        <f t="shared" si="77"/>
        <v>32382</v>
      </c>
      <c r="D1644" t="s">
        <v>11</v>
      </c>
      <c r="E1644" t="s">
        <v>12</v>
      </c>
      <c r="F1644" t="s">
        <v>11</v>
      </c>
      <c r="G1644" t="s">
        <v>12</v>
      </c>
      <c r="H1644" t="s">
        <v>11</v>
      </c>
      <c r="I1644" t="s">
        <v>12</v>
      </c>
      <c r="J1644" t="s">
        <v>11</v>
      </c>
      <c r="K1644" t="s">
        <v>12</v>
      </c>
      <c r="L1644" s="12" t="s">
        <v>108</v>
      </c>
      <c r="M1644" s="12" t="s">
        <v>36</v>
      </c>
      <c r="N1644" s="12" t="s">
        <v>56</v>
      </c>
      <c r="O1644" s="12" t="s">
        <v>106</v>
      </c>
      <c r="P1644" s="12" t="s">
        <v>301</v>
      </c>
      <c r="Q1644" s="7" t="str">
        <f t="shared" si="76"/>
        <v>(1988,34,'1988.08.27',1,38,71,75,80,0),</v>
      </c>
      <c r="R1644" s="7" t="str">
        <f t="shared" si="78"/>
        <v>(1988,34,'1988.08.27',1,38,71,75,80),</v>
      </c>
    </row>
    <row r="1645" spans="1:18" x14ac:dyDescent="0.25">
      <c r="A1645" s="7" t="s">
        <v>5850</v>
      </c>
      <c r="B1645" s="8" t="s">
        <v>64</v>
      </c>
      <c r="C1645" s="10">
        <f t="shared" si="77"/>
        <v>32389</v>
      </c>
      <c r="D1645" t="s">
        <v>11</v>
      </c>
      <c r="E1645" t="s">
        <v>12</v>
      </c>
      <c r="F1645" t="s">
        <v>11</v>
      </c>
      <c r="G1645" t="s">
        <v>12</v>
      </c>
      <c r="H1645" t="s">
        <v>11</v>
      </c>
      <c r="I1645" t="s">
        <v>12</v>
      </c>
      <c r="J1645" t="s">
        <v>11</v>
      </c>
      <c r="K1645" t="s">
        <v>12</v>
      </c>
      <c r="L1645" s="12" t="s">
        <v>33</v>
      </c>
      <c r="M1645" s="12" t="s">
        <v>80</v>
      </c>
      <c r="N1645" s="12" t="s">
        <v>106</v>
      </c>
      <c r="O1645" s="12" t="s">
        <v>143</v>
      </c>
      <c r="P1645" s="12" t="s">
        <v>301</v>
      </c>
      <c r="Q1645" s="7" t="str">
        <f t="shared" si="76"/>
        <v>(1988,35,'1988.09.03',24,32,75,77,80,0),</v>
      </c>
      <c r="R1645" s="7" t="str">
        <f t="shared" si="78"/>
        <v>(1988,35,'1988.09.03',24,32,75,77,80),</v>
      </c>
    </row>
    <row r="1646" spans="1:18" x14ac:dyDescent="0.25">
      <c r="A1646" s="7" t="s">
        <v>5850</v>
      </c>
      <c r="B1646" s="8" t="s">
        <v>21</v>
      </c>
      <c r="C1646" s="10">
        <f t="shared" si="77"/>
        <v>32396</v>
      </c>
      <c r="D1646" t="s">
        <v>11</v>
      </c>
      <c r="E1646" t="s">
        <v>12</v>
      </c>
      <c r="F1646" t="s">
        <v>11</v>
      </c>
      <c r="G1646" t="s">
        <v>12</v>
      </c>
      <c r="H1646" t="s">
        <v>11</v>
      </c>
      <c r="I1646" t="s">
        <v>12</v>
      </c>
      <c r="J1646" t="s">
        <v>11</v>
      </c>
      <c r="K1646" t="s">
        <v>12</v>
      </c>
      <c r="L1646" s="12" t="s">
        <v>21</v>
      </c>
      <c r="M1646" s="12" t="s">
        <v>122</v>
      </c>
      <c r="N1646" s="12" t="s">
        <v>23</v>
      </c>
      <c r="O1646" s="12" t="s">
        <v>72</v>
      </c>
      <c r="P1646" s="12" t="s">
        <v>47</v>
      </c>
      <c r="Q1646" s="7" t="str">
        <f t="shared" si="76"/>
        <v>(1988,36,'1988.09.10',36,51,60,67,69,0),</v>
      </c>
      <c r="R1646" s="7" t="str">
        <f t="shared" si="78"/>
        <v>(1988,36,'1988.09.10',36,51,60,67,69),</v>
      </c>
    </row>
    <row r="1647" spans="1:18" x14ac:dyDescent="0.25">
      <c r="A1647" s="7" t="s">
        <v>5850</v>
      </c>
      <c r="B1647" s="8" t="s">
        <v>46</v>
      </c>
      <c r="C1647" s="10">
        <f t="shared" si="77"/>
        <v>32403</v>
      </c>
      <c r="D1647" t="s">
        <v>11</v>
      </c>
      <c r="E1647" t="s">
        <v>12</v>
      </c>
      <c r="F1647" t="s">
        <v>11</v>
      </c>
      <c r="G1647" t="s">
        <v>12</v>
      </c>
      <c r="H1647" t="s">
        <v>11</v>
      </c>
      <c r="I1647" t="s">
        <v>12</v>
      </c>
      <c r="J1647" t="s">
        <v>11</v>
      </c>
      <c r="K1647" t="s">
        <v>12</v>
      </c>
      <c r="L1647" s="12" t="s">
        <v>54</v>
      </c>
      <c r="M1647" s="12" t="s">
        <v>90</v>
      </c>
      <c r="N1647" s="12" t="s">
        <v>46</v>
      </c>
      <c r="O1647" s="12" t="s">
        <v>122</v>
      </c>
      <c r="P1647" s="12" t="s">
        <v>215</v>
      </c>
      <c r="Q1647" s="7" t="str">
        <f t="shared" si="76"/>
        <v>(1988,37,'1988.09.17',15,17,37,51,81,0),</v>
      </c>
      <c r="R1647" s="7" t="str">
        <f t="shared" si="78"/>
        <v>(1988,37,'1988.09.17',15,17,37,51,81),</v>
      </c>
    </row>
    <row r="1648" spans="1:18" x14ac:dyDescent="0.25">
      <c r="A1648" s="7" t="s">
        <v>5850</v>
      </c>
      <c r="B1648" s="8" t="s">
        <v>36</v>
      </c>
      <c r="C1648" s="10">
        <f t="shared" si="77"/>
        <v>32410</v>
      </c>
      <c r="D1648" t="s">
        <v>11</v>
      </c>
      <c r="E1648" t="s">
        <v>12</v>
      </c>
      <c r="F1648" t="s">
        <v>11</v>
      </c>
      <c r="G1648" t="s">
        <v>12</v>
      </c>
      <c r="H1648" t="s">
        <v>11</v>
      </c>
      <c r="I1648" t="s">
        <v>12</v>
      </c>
      <c r="J1648" t="s">
        <v>11</v>
      </c>
      <c r="K1648" t="s">
        <v>12</v>
      </c>
      <c r="L1648" s="12" t="s">
        <v>65</v>
      </c>
      <c r="M1648" s="12" t="s">
        <v>115</v>
      </c>
      <c r="N1648" s="12" t="s">
        <v>21</v>
      </c>
      <c r="O1648" s="12" t="s">
        <v>91</v>
      </c>
      <c r="P1648" s="12" t="s">
        <v>143</v>
      </c>
      <c r="Q1648" s="7" t="str">
        <f t="shared" si="76"/>
        <v>(1988,38,'1988.09.24',13,20,36,61,77,0),</v>
      </c>
      <c r="R1648" s="7" t="str">
        <f t="shared" si="78"/>
        <v>(1988,38,'1988.09.24',13,20,36,61,77),</v>
      </c>
    </row>
    <row r="1649" spans="1:18" x14ac:dyDescent="0.25">
      <c r="A1649" s="7" t="s">
        <v>5850</v>
      </c>
      <c r="B1649" s="8" t="s">
        <v>24</v>
      </c>
      <c r="C1649" s="10">
        <f t="shared" si="77"/>
        <v>32417</v>
      </c>
      <c r="D1649" t="s">
        <v>11</v>
      </c>
      <c r="E1649" t="s">
        <v>12</v>
      </c>
      <c r="F1649" t="s">
        <v>11</v>
      </c>
      <c r="G1649" t="s">
        <v>12</v>
      </c>
      <c r="H1649" t="s">
        <v>11</v>
      </c>
      <c r="I1649" t="s">
        <v>12</v>
      </c>
      <c r="J1649" t="s">
        <v>11</v>
      </c>
      <c r="K1649" t="s">
        <v>12</v>
      </c>
      <c r="L1649" s="12" t="s">
        <v>108</v>
      </c>
      <c r="M1649" s="12" t="s">
        <v>90</v>
      </c>
      <c r="N1649" s="12" t="s">
        <v>55</v>
      </c>
      <c r="O1649" s="12" t="s">
        <v>175</v>
      </c>
      <c r="P1649" s="12" t="s">
        <v>233</v>
      </c>
      <c r="Q1649" s="7" t="str">
        <f t="shared" si="76"/>
        <v>(1988,39,'1988.10.01',1,17,19,55,66,0),</v>
      </c>
      <c r="R1649" s="7" t="str">
        <f t="shared" si="78"/>
        <v>(1988,39,'1988.10.01',1,17,19,55,66),</v>
      </c>
    </row>
    <row r="1650" spans="1:18" x14ac:dyDescent="0.25">
      <c r="A1650" s="7" t="s">
        <v>5850</v>
      </c>
      <c r="B1650" s="8" t="s">
        <v>10</v>
      </c>
      <c r="C1650" s="10">
        <f t="shared" si="77"/>
        <v>32424</v>
      </c>
      <c r="D1650" t="s">
        <v>11</v>
      </c>
      <c r="E1650" t="s">
        <v>12</v>
      </c>
      <c r="F1650" t="s">
        <v>11</v>
      </c>
      <c r="G1650" t="s">
        <v>12</v>
      </c>
      <c r="H1650" t="s">
        <v>11</v>
      </c>
      <c r="I1650" t="s">
        <v>12</v>
      </c>
      <c r="J1650" t="s">
        <v>11</v>
      </c>
      <c r="K1650" t="s">
        <v>12</v>
      </c>
      <c r="L1650" s="12" t="s">
        <v>44</v>
      </c>
      <c r="M1650" s="12" t="s">
        <v>74</v>
      </c>
      <c r="N1650" s="12" t="s">
        <v>135</v>
      </c>
      <c r="O1650" s="12" t="s">
        <v>20</v>
      </c>
      <c r="P1650" s="12" t="s">
        <v>208</v>
      </c>
      <c r="Q1650" s="7" t="str">
        <f t="shared" si="76"/>
        <v>(1988,40,'1988.10.08',21,26,27,33,88,0),</v>
      </c>
      <c r="R1650" s="7" t="str">
        <f t="shared" si="78"/>
        <v>(1988,40,'1988.10.08',21,26,27,33,88),</v>
      </c>
    </row>
    <row r="1651" spans="1:18" x14ac:dyDescent="0.25">
      <c r="A1651" s="7" t="s">
        <v>5850</v>
      </c>
      <c r="B1651" s="8" t="s">
        <v>13</v>
      </c>
      <c r="C1651" s="10">
        <f t="shared" si="77"/>
        <v>32431</v>
      </c>
      <c r="D1651" t="s">
        <v>11</v>
      </c>
      <c r="E1651" t="s">
        <v>12</v>
      </c>
      <c r="F1651" t="s">
        <v>11</v>
      </c>
      <c r="G1651" t="s">
        <v>12</v>
      </c>
      <c r="H1651" t="s">
        <v>11</v>
      </c>
      <c r="I1651" t="s">
        <v>12</v>
      </c>
      <c r="J1651" t="s">
        <v>11</v>
      </c>
      <c r="K1651" t="s">
        <v>12</v>
      </c>
      <c r="L1651" s="12" t="s">
        <v>42</v>
      </c>
      <c r="M1651" s="12" t="s">
        <v>107</v>
      </c>
      <c r="N1651" s="12" t="s">
        <v>123</v>
      </c>
      <c r="O1651" s="12" t="s">
        <v>175</v>
      </c>
      <c r="P1651" s="12" t="s">
        <v>169</v>
      </c>
      <c r="Q1651" s="7" t="str">
        <f t="shared" si="76"/>
        <v>(1988,41,'1988.10.15',3,30,54,55,58,0),</v>
      </c>
      <c r="R1651" s="7" t="str">
        <f t="shared" si="78"/>
        <v>(1988,41,'1988.10.15',3,30,54,55,58),</v>
      </c>
    </row>
    <row r="1652" spans="1:18" x14ac:dyDescent="0.25">
      <c r="A1652" s="7" t="s">
        <v>5850</v>
      </c>
      <c r="B1652" s="8" t="s">
        <v>98</v>
      </c>
      <c r="C1652" s="10">
        <f t="shared" si="77"/>
        <v>32438</v>
      </c>
      <c r="D1652" t="s">
        <v>11</v>
      </c>
      <c r="E1652" t="s">
        <v>12</v>
      </c>
      <c r="F1652" t="s">
        <v>11</v>
      </c>
      <c r="G1652" t="s">
        <v>12</v>
      </c>
      <c r="H1652" t="s">
        <v>11</v>
      </c>
      <c r="I1652" t="s">
        <v>12</v>
      </c>
      <c r="J1652" t="s">
        <v>11</v>
      </c>
      <c r="K1652" t="s">
        <v>12</v>
      </c>
      <c r="L1652" s="12" t="s">
        <v>168</v>
      </c>
      <c r="M1652" s="12" t="s">
        <v>71</v>
      </c>
      <c r="N1652" s="12" t="s">
        <v>133</v>
      </c>
      <c r="O1652" s="12" t="s">
        <v>143</v>
      </c>
      <c r="P1652" s="12" t="s">
        <v>186</v>
      </c>
      <c r="Q1652" s="7" t="str">
        <f t="shared" si="76"/>
        <v>(1988,42,'1988.10.22',4,31,45,77,90,0),</v>
      </c>
      <c r="R1652" s="7" t="str">
        <f t="shared" si="78"/>
        <v>(1988,42,'1988.10.22',4,31,45,77,90),</v>
      </c>
    </row>
    <row r="1653" spans="1:18" x14ac:dyDescent="0.25">
      <c r="A1653" s="7" t="s">
        <v>5850</v>
      </c>
      <c r="B1653" s="8" t="s">
        <v>45</v>
      </c>
      <c r="C1653" s="10">
        <f t="shared" si="77"/>
        <v>32445</v>
      </c>
      <c r="D1653" t="s">
        <v>11</v>
      </c>
      <c r="E1653" t="s">
        <v>12</v>
      </c>
      <c r="F1653" t="s">
        <v>11</v>
      </c>
      <c r="G1653" t="s">
        <v>12</v>
      </c>
      <c r="H1653" t="s">
        <v>11</v>
      </c>
      <c r="I1653" t="s">
        <v>12</v>
      </c>
      <c r="J1653" t="s">
        <v>11</v>
      </c>
      <c r="K1653" t="s">
        <v>12</v>
      </c>
      <c r="L1653" s="12" t="s">
        <v>53</v>
      </c>
      <c r="M1653" s="12" t="s">
        <v>198</v>
      </c>
      <c r="N1653" s="12" t="s">
        <v>32</v>
      </c>
      <c r="O1653" s="12" t="s">
        <v>134</v>
      </c>
      <c r="P1653" s="12" t="s">
        <v>214</v>
      </c>
      <c r="Q1653" s="7" t="str">
        <f t="shared" si="76"/>
        <v>(1988,43,'1988.10.29',7,9,22,56,64,0),</v>
      </c>
      <c r="R1653" s="7" t="str">
        <f t="shared" si="78"/>
        <v>(1988,43,'1988.10.29',7,9,22,56,64),</v>
      </c>
    </row>
    <row r="1654" spans="1:18" x14ac:dyDescent="0.25">
      <c r="A1654" s="7" t="s">
        <v>5850</v>
      </c>
      <c r="B1654" s="8" t="s">
        <v>142</v>
      </c>
      <c r="C1654" s="10">
        <f t="shared" si="77"/>
        <v>32452</v>
      </c>
      <c r="D1654" t="s">
        <v>11</v>
      </c>
      <c r="E1654" t="s">
        <v>12</v>
      </c>
      <c r="F1654" t="s">
        <v>11</v>
      </c>
      <c r="G1654" t="s">
        <v>12</v>
      </c>
      <c r="H1654" t="s">
        <v>11</v>
      </c>
      <c r="I1654" t="s">
        <v>12</v>
      </c>
      <c r="J1654" t="s">
        <v>11</v>
      </c>
      <c r="K1654" t="s">
        <v>12</v>
      </c>
      <c r="L1654" s="12" t="s">
        <v>33</v>
      </c>
      <c r="M1654" s="12" t="s">
        <v>135</v>
      </c>
      <c r="N1654" s="12" t="s">
        <v>34</v>
      </c>
      <c r="O1654" s="12" t="s">
        <v>99</v>
      </c>
      <c r="P1654" s="12" t="s">
        <v>301</v>
      </c>
      <c r="Q1654" s="7" t="str">
        <f t="shared" si="76"/>
        <v>(1988,44,'1988.11.05',24,27,49,52,80,0),</v>
      </c>
      <c r="R1654" s="7" t="str">
        <f t="shared" si="78"/>
        <v>(1988,44,'1988.11.05',24,27,49,52,80),</v>
      </c>
    </row>
    <row r="1655" spans="1:18" x14ac:dyDescent="0.25">
      <c r="A1655" s="7" t="s">
        <v>5850</v>
      </c>
      <c r="B1655" s="8" t="s">
        <v>133</v>
      </c>
      <c r="C1655" s="10">
        <f t="shared" si="77"/>
        <v>32459</v>
      </c>
      <c r="D1655" t="s">
        <v>11</v>
      </c>
      <c r="E1655" t="s">
        <v>12</v>
      </c>
      <c r="F1655" t="s">
        <v>11</v>
      </c>
      <c r="G1655" t="s">
        <v>12</v>
      </c>
      <c r="H1655" t="s">
        <v>11</v>
      </c>
      <c r="I1655" t="s">
        <v>12</v>
      </c>
      <c r="J1655" t="s">
        <v>11</v>
      </c>
      <c r="K1655" t="s">
        <v>12</v>
      </c>
      <c r="L1655" s="12" t="s">
        <v>42</v>
      </c>
      <c r="M1655" s="12" t="s">
        <v>198</v>
      </c>
      <c r="N1655" s="12" t="s">
        <v>192</v>
      </c>
      <c r="O1655" s="12" t="s">
        <v>200</v>
      </c>
      <c r="P1655" s="12" t="s">
        <v>186</v>
      </c>
      <c r="Q1655" s="7" t="str">
        <f t="shared" si="76"/>
        <v>(1988,45,'1988.11.12',3,9,46,70,90,0),</v>
      </c>
      <c r="R1655" s="7" t="str">
        <f t="shared" si="78"/>
        <v>(1988,45,'1988.11.12',3,9,46,70,90),</v>
      </c>
    </row>
    <row r="1656" spans="1:18" x14ac:dyDescent="0.25">
      <c r="A1656" s="7" t="s">
        <v>5850</v>
      </c>
      <c r="B1656" s="8" t="s">
        <v>192</v>
      </c>
      <c r="C1656" s="10">
        <f t="shared" si="77"/>
        <v>32466</v>
      </c>
      <c r="D1656" t="s">
        <v>11</v>
      </c>
      <c r="E1656" t="s">
        <v>12</v>
      </c>
      <c r="F1656" t="s">
        <v>11</v>
      </c>
      <c r="G1656" t="s">
        <v>12</v>
      </c>
      <c r="H1656" t="s">
        <v>11</v>
      </c>
      <c r="I1656" t="s">
        <v>12</v>
      </c>
      <c r="J1656" t="s">
        <v>11</v>
      </c>
      <c r="K1656" t="s">
        <v>12</v>
      </c>
      <c r="L1656" s="12" t="s">
        <v>152</v>
      </c>
      <c r="M1656" s="12" t="s">
        <v>46</v>
      </c>
      <c r="N1656" s="12" t="s">
        <v>36</v>
      </c>
      <c r="O1656" s="12" t="s">
        <v>214</v>
      </c>
      <c r="P1656" s="12" t="s">
        <v>73</v>
      </c>
      <c r="Q1656" s="7" t="str">
        <f t="shared" si="76"/>
        <v>(1988,46,'1988.11.19',25,37,38,64,76,0),</v>
      </c>
      <c r="R1656" s="7" t="str">
        <f t="shared" si="78"/>
        <v>(1988,46,'1988.11.19',25,37,38,64,76),</v>
      </c>
    </row>
    <row r="1657" spans="1:18" x14ac:dyDescent="0.25">
      <c r="A1657" s="7" t="s">
        <v>5850</v>
      </c>
      <c r="B1657" s="8" t="s">
        <v>81</v>
      </c>
      <c r="C1657" s="10">
        <f t="shared" si="77"/>
        <v>32473</v>
      </c>
      <c r="D1657" t="s">
        <v>11</v>
      </c>
      <c r="E1657" t="s">
        <v>12</v>
      </c>
      <c r="F1657" t="s">
        <v>11</v>
      </c>
      <c r="G1657" t="s">
        <v>12</v>
      </c>
      <c r="H1657" t="s">
        <v>11</v>
      </c>
      <c r="I1657" t="s">
        <v>12</v>
      </c>
      <c r="J1657" t="s">
        <v>11</v>
      </c>
      <c r="K1657" t="s">
        <v>12</v>
      </c>
      <c r="L1657" s="12" t="s">
        <v>168</v>
      </c>
      <c r="M1657" s="12" t="s">
        <v>64</v>
      </c>
      <c r="N1657" s="12" t="s">
        <v>105</v>
      </c>
      <c r="O1657" s="12" t="s">
        <v>301</v>
      </c>
      <c r="P1657" s="12" t="s">
        <v>246</v>
      </c>
      <c r="Q1657" s="7" t="str">
        <f t="shared" si="76"/>
        <v>(1988,47,'1988.11.26',4,35,50,80,84,0),</v>
      </c>
      <c r="R1657" s="7" t="str">
        <f t="shared" si="78"/>
        <v>(1988,47,'1988.11.26',4,35,50,80,84),</v>
      </c>
    </row>
    <row r="1658" spans="1:18" x14ac:dyDescent="0.25">
      <c r="A1658" s="7" t="s">
        <v>5850</v>
      </c>
      <c r="B1658" s="8" t="s">
        <v>22</v>
      </c>
      <c r="C1658" s="10">
        <f t="shared" si="77"/>
        <v>32480</v>
      </c>
      <c r="D1658" t="s">
        <v>11</v>
      </c>
      <c r="E1658" t="s">
        <v>12</v>
      </c>
      <c r="F1658" t="s">
        <v>11</v>
      </c>
      <c r="G1658" t="s">
        <v>12</v>
      </c>
      <c r="H1658" t="s">
        <v>11</v>
      </c>
      <c r="I1658" t="s">
        <v>12</v>
      </c>
      <c r="J1658" t="s">
        <v>11</v>
      </c>
      <c r="K1658" t="s">
        <v>12</v>
      </c>
      <c r="L1658" s="12" t="s">
        <v>36</v>
      </c>
      <c r="M1658" s="12" t="s">
        <v>81</v>
      </c>
      <c r="N1658" s="12" t="s">
        <v>92</v>
      </c>
      <c r="O1658" s="12" t="s">
        <v>63</v>
      </c>
      <c r="P1658" s="12" t="s">
        <v>125</v>
      </c>
      <c r="Q1658" s="7" t="str">
        <f t="shared" si="76"/>
        <v>(1988,48,'1988.12.03',38,47,68,78,83,0),</v>
      </c>
      <c r="R1658" s="7" t="str">
        <f t="shared" si="78"/>
        <v>(1988,48,'1988.12.03',38,47,68,78,83),</v>
      </c>
    </row>
    <row r="1659" spans="1:18" x14ac:dyDescent="0.25">
      <c r="A1659" s="7" t="s">
        <v>5850</v>
      </c>
      <c r="B1659" s="8" t="s">
        <v>34</v>
      </c>
      <c r="C1659" s="10">
        <f t="shared" si="77"/>
        <v>32487</v>
      </c>
      <c r="D1659" t="s">
        <v>11</v>
      </c>
      <c r="E1659" t="s">
        <v>12</v>
      </c>
      <c r="F1659" t="s">
        <v>11</v>
      </c>
      <c r="G1659" t="s">
        <v>12</v>
      </c>
      <c r="H1659" t="s">
        <v>11</v>
      </c>
      <c r="I1659" t="s">
        <v>12</v>
      </c>
      <c r="J1659" t="s">
        <v>11</v>
      </c>
      <c r="K1659" t="s">
        <v>12</v>
      </c>
      <c r="L1659" s="12" t="s">
        <v>207</v>
      </c>
      <c r="M1659" s="12" t="s">
        <v>126</v>
      </c>
      <c r="N1659" s="12" t="s">
        <v>21</v>
      </c>
      <c r="O1659" s="12" t="s">
        <v>143</v>
      </c>
      <c r="P1659" s="12" t="s">
        <v>151</v>
      </c>
      <c r="Q1659" s="7" t="str">
        <f t="shared" si="76"/>
        <v>(1988,49,'1988.12.10',2,28,36,77,79,0),</v>
      </c>
      <c r="R1659" s="7" t="str">
        <f t="shared" si="78"/>
        <v>(1988,49,'1988.12.10',2,28,36,77,79),</v>
      </c>
    </row>
    <row r="1660" spans="1:18" x14ac:dyDescent="0.25">
      <c r="A1660" s="7" t="s">
        <v>5850</v>
      </c>
      <c r="B1660" s="8" t="s">
        <v>105</v>
      </c>
      <c r="C1660" s="10">
        <f t="shared" si="77"/>
        <v>32494</v>
      </c>
      <c r="D1660" t="s">
        <v>11</v>
      </c>
      <c r="E1660" t="s">
        <v>12</v>
      </c>
      <c r="F1660" t="s">
        <v>11</v>
      </c>
      <c r="G1660" t="s">
        <v>12</v>
      </c>
      <c r="H1660" t="s">
        <v>11</v>
      </c>
      <c r="I1660" t="s">
        <v>12</v>
      </c>
      <c r="J1660" t="s">
        <v>11</v>
      </c>
      <c r="K1660" t="s">
        <v>12</v>
      </c>
      <c r="L1660" s="12" t="s">
        <v>127</v>
      </c>
      <c r="M1660" s="12" t="s">
        <v>99</v>
      </c>
      <c r="N1660" s="12" t="s">
        <v>23</v>
      </c>
      <c r="O1660" s="12" t="s">
        <v>200</v>
      </c>
      <c r="P1660" s="12" t="s">
        <v>186</v>
      </c>
      <c r="Q1660" s="7" t="str">
        <f t="shared" si="76"/>
        <v>(1988,50,'1988.12.17',14,52,60,70,90,0),</v>
      </c>
      <c r="R1660" s="7" t="str">
        <f t="shared" si="78"/>
        <v>(1988,50,'1988.12.17',14,52,60,70,90),</v>
      </c>
    </row>
    <row r="1661" spans="1:18" x14ac:dyDescent="0.25">
      <c r="A1661" s="7" t="s">
        <v>5850</v>
      </c>
      <c r="B1661" s="8" t="s">
        <v>122</v>
      </c>
      <c r="C1661" s="10">
        <f t="shared" si="77"/>
        <v>32501</v>
      </c>
      <c r="D1661" t="s">
        <v>11</v>
      </c>
      <c r="E1661" t="s">
        <v>12</v>
      </c>
      <c r="F1661" t="s">
        <v>11</v>
      </c>
      <c r="G1661" t="s">
        <v>12</v>
      </c>
      <c r="H1661" t="s">
        <v>11</v>
      </c>
      <c r="I1661" t="s">
        <v>12</v>
      </c>
      <c r="J1661" t="s">
        <v>11</v>
      </c>
      <c r="K1661" t="s">
        <v>12</v>
      </c>
      <c r="L1661" s="12" t="s">
        <v>65</v>
      </c>
      <c r="M1661" s="12" t="s">
        <v>36</v>
      </c>
      <c r="N1661" s="12" t="s">
        <v>56</v>
      </c>
      <c r="O1661" s="12" t="s">
        <v>73</v>
      </c>
      <c r="P1661" s="12" t="s">
        <v>468</v>
      </c>
      <c r="Q1661" s="7" t="str">
        <f t="shared" si="76"/>
        <v>(1988,51,'1988.12.24',13,38,71,76,85,0),</v>
      </c>
      <c r="R1661" s="7" t="str">
        <f t="shared" si="78"/>
        <v>(1988,51,'1988.12.24',13,38,71,76,85),</v>
      </c>
    </row>
    <row r="1662" spans="1:18" x14ac:dyDescent="0.25">
      <c r="A1662" s="7" t="s">
        <v>5850</v>
      </c>
      <c r="B1662" s="8" t="s">
        <v>99</v>
      </c>
      <c r="C1662" s="10">
        <f t="shared" si="77"/>
        <v>32508</v>
      </c>
      <c r="D1662" t="s">
        <v>11</v>
      </c>
      <c r="E1662" t="s">
        <v>12</v>
      </c>
      <c r="F1662" t="s">
        <v>11</v>
      </c>
      <c r="G1662" t="s">
        <v>12</v>
      </c>
      <c r="H1662" t="s">
        <v>11</v>
      </c>
      <c r="I1662" t="s">
        <v>12</v>
      </c>
      <c r="J1662" t="s">
        <v>11</v>
      </c>
      <c r="K1662" t="s">
        <v>12</v>
      </c>
      <c r="L1662" s="12" t="s">
        <v>33</v>
      </c>
      <c r="M1662" s="12" t="s">
        <v>74</v>
      </c>
      <c r="N1662" s="12" t="s">
        <v>71</v>
      </c>
      <c r="O1662" s="12" t="s">
        <v>73</v>
      </c>
      <c r="P1662" s="12" t="s">
        <v>143</v>
      </c>
      <c r="Q1662" s="7" t="str">
        <f t="shared" si="76"/>
        <v>(1988,52,'1988.12.31',24,26,31,76,77,0),</v>
      </c>
      <c r="R1662" s="7" t="str">
        <f t="shared" si="78"/>
        <v>(1988,52,'1988.12.31',24,26,31,76,77),</v>
      </c>
    </row>
    <row r="1663" spans="1:18" x14ac:dyDescent="0.25">
      <c r="A1663" s="7" t="s">
        <v>5849</v>
      </c>
      <c r="B1663" s="8" t="s">
        <v>108</v>
      </c>
      <c r="C1663" s="10">
        <f t="shared" si="77"/>
        <v>32515</v>
      </c>
      <c r="D1663" t="s">
        <v>11</v>
      </c>
      <c r="E1663" t="s">
        <v>12</v>
      </c>
      <c r="F1663" t="s">
        <v>11</v>
      </c>
      <c r="G1663" t="s">
        <v>12</v>
      </c>
      <c r="H1663" t="s">
        <v>11</v>
      </c>
      <c r="I1663" t="s">
        <v>12</v>
      </c>
      <c r="J1663" t="s">
        <v>11</v>
      </c>
      <c r="K1663" t="s">
        <v>12</v>
      </c>
      <c r="L1663" s="12" t="s">
        <v>31</v>
      </c>
      <c r="M1663" s="12" t="s">
        <v>55</v>
      </c>
      <c r="N1663" s="12" t="s">
        <v>135</v>
      </c>
      <c r="O1663" s="12" t="s">
        <v>46</v>
      </c>
      <c r="P1663" s="12" t="s">
        <v>151</v>
      </c>
      <c r="Q1663" s="7" t="str">
        <f t="shared" si="76"/>
        <v>(1989,1,'1989.01.07',12,19,27,37,79,0),</v>
      </c>
      <c r="R1663" s="7" t="str">
        <f t="shared" si="78"/>
        <v>(1989,1,'1989.01.07',12,19,27,37,79),</v>
      </c>
    </row>
    <row r="1664" spans="1:18" x14ac:dyDescent="0.25">
      <c r="A1664" s="7" t="s">
        <v>5849</v>
      </c>
      <c r="B1664" s="8" t="s">
        <v>207</v>
      </c>
      <c r="C1664" s="10">
        <f t="shared" si="77"/>
        <v>32522</v>
      </c>
      <c r="D1664" t="s">
        <v>11</v>
      </c>
      <c r="E1664" t="s">
        <v>12</v>
      </c>
      <c r="F1664" t="s">
        <v>11</v>
      </c>
      <c r="G1664" t="s">
        <v>12</v>
      </c>
      <c r="H1664" t="s">
        <v>11</v>
      </c>
      <c r="I1664" t="s">
        <v>12</v>
      </c>
      <c r="J1664" t="s">
        <v>11</v>
      </c>
      <c r="K1664" t="s">
        <v>12</v>
      </c>
      <c r="L1664" s="12" t="s">
        <v>127</v>
      </c>
      <c r="M1664" s="12" t="s">
        <v>115</v>
      </c>
      <c r="N1664" s="12" t="s">
        <v>82</v>
      </c>
      <c r="O1664" s="12" t="s">
        <v>23</v>
      </c>
      <c r="P1664" s="12" t="s">
        <v>56</v>
      </c>
      <c r="Q1664" s="7" t="str">
        <f t="shared" si="76"/>
        <v>(1989,2,'1989.01.14',14,20,59,60,71,0),</v>
      </c>
      <c r="R1664" s="7" t="str">
        <f t="shared" si="78"/>
        <v>(1989,2,'1989.01.14',14,20,59,60,71),</v>
      </c>
    </row>
    <row r="1665" spans="1:18" x14ac:dyDescent="0.25">
      <c r="A1665" s="7" t="s">
        <v>5849</v>
      </c>
      <c r="B1665" s="8" t="s">
        <v>42</v>
      </c>
      <c r="C1665" s="10">
        <f t="shared" si="77"/>
        <v>32529</v>
      </c>
      <c r="D1665" t="s">
        <v>11</v>
      </c>
      <c r="E1665" t="s">
        <v>12</v>
      </c>
      <c r="F1665" t="s">
        <v>11</v>
      </c>
      <c r="G1665" t="s">
        <v>12</v>
      </c>
      <c r="H1665" t="s">
        <v>11</v>
      </c>
      <c r="I1665" t="s">
        <v>12</v>
      </c>
      <c r="J1665" t="s">
        <v>11</v>
      </c>
      <c r="K1665" t="s">
        <v>12</v>
      </c>
      <c r="L1665" s="12" t="s">
        <v>116</v>
      </c>
      <c r="M1665" s="12" t="s">
        <v>175</v>
      </c>
      <c r="N1665" s="12" t="s">
        <v>106</v>
      </c>
      <c r="O1665" s="12" t="s">
        <v>215</v>
      </c>
      <c r="P1665" s="12" t="s">
        <v>269</v>
      </c>
      <c r="Q1665" s="7" t="str">
        <f t="shared" si="76"/>
        <v>(1989,3,'1989.01.21',29,55,75,81,87,0),</v>
      </c>
      <c r="R1665" s="7" t="str">
        <f t="shared" si="78"/>
        <v>(1989,3,'1989.01.21',29,55,75,81,87),</v>
      </c>
    </row>
    <row r="1666" spans="1:18" x14ac:dyDescent="0.25">
      <c r="A1666" s="7" t="s">
        <v>5849</v>
      </c>
      <c r="B1666" s="8" t="s">
        <v>168</v>
      </c>
      <c r="C1666" s="10">
        <f t="shared" si="77"/>
        <v>32536</v>
      </c>
      <c r="D1666" t="s">
        <v>11</v>
      </c>
      <c r="E1666" t="s">
        <v>12</v>
      </c>
      <c r="F1666" t="s">
        <v>11</v>
      </c>
      <c r="G1666" t="s">
        <v>12</v>
      </c>
      <c r="H1666" t="s">
        <v>11</v>
      </c>
      <c r="I1666" t="s">
        <v>12</v>
      </c>
      <c r="J1666" t="s">
        <v>11</v>
      </c>
      <c r="K1666" t="s">
        <v>12</v>
      </c>
      <c r="L1666" s="12" t="s">
        <v>232</v>
      </c>
      <c r="M1666" s="12" t="s">
        <v>46</v>
      </c>
      <c r="N1666" s="12" t="s">
        <v>82</v>
      </c>
      <c r="O1666" s="12" t="s">
        <v>124</v>
      </c>
      <c r="P1666" s="12" t="s">
        <v>246</v>
      </c>
      <c r="Q1666" s="7" t="str">
        <f t="shared" ref="Q1666:Q1729" si="79">"("&amp;A1666&amp;","&amp;B1666&amp;",'"&amp;TEXT(C1666,"éééé.hh.nn")&amp;"',"&amp;L1666&amp;","&amp;M1666&amp;","&amp;N1666&amp;","&amp;O1666&amp;","&amp;P1666&amp;",0)"&amp;IF(P1667&lt;&gt;0,",","")</f>
        <v>(1989,4,'1989.01.28',8,37,59,62,84,0),</v>
      </c>
      <c r="R1666" s="7" t="str">
        <f t="shared" si="78"/>
        <v>(1989,4,'1989.01.28',8,37,59,62,84),</v>
      </c>
    </row>
    <row r="1667" spans="1:18" x14ac:dyDescent="0.25">
      <c r="A1667" s="7" t="s">
        <v>5849</v>
      </c>
      <c r="B1667" s="8" t="s">
        <v>89</v>
      </c>
      <c r="C1667" s="10">
        <f t="shared" ref="C1667:C1730" si="80">+C1666+7</f>
        <v>32543</v>
      </c>
      <c r="D1667" t="s">
        <v>11</v>
      </c>
      <c r="E1667" t="s">
        <v>12</v>
      </c>
      <c r="F1667" t="s">
        <v>11</v>
      </c>
      <c r="G1667" t="s">
        <v>12</v>
      </c>
      <c r="H1667" t="s">
        <v>11</v>
      </c>
      <c r="I1667" t="s">
        <v>12</v>
      </c>
      <c r="J1667" t="s">
        <v>11</v>
      </c>
      <c r="K1667" t="s">
        <v>12</v>
      </c>
      <c r="L1667" s="12" t="s">
        <v>108</v>
      </c>
      <c r="M1667" s="12" t="s">
        <v>116</v>
      </c>
      <c r="N1667" s="12" t="s">
        <v>71</v>
      </c>
      <c r="O1667" s="12" t="s">
        <v>10</v>
      </c>
      <c r="P1667" s="12" t="s">
        <v>81</v>
      </c>
      <c r="Q1667" s="7" t="str">
        <f t="shared" si="79"/>
        <v>(1989,5,'1989.02.04',1,29,31,40,47,0),</v>
      </c>
      <c r="R1667" s="7" t="str">
        <f t="shared" ref="R1667:R1730" si="81">IF(TRIM(P1667)="","","("&amp;A1667&amp;","&amp;B1667&amp;",'"&amp;TEXT(C1667,"éééé.hh.nn")&amp;"',"&amp;L1667&amp;","&amp;M1667&amp;","&amp;N1667&amp;","&amp;O1667&amp;","&amp;P1667&amp;")"&amp;IF(P1668=0,";",","))</f>
        <v>(1989,5,'1989.02.04',1,29,31,40,47),</v>
      </c>
    </row>
    <row r="1668" spans="1:18" x14ac:dyDescent="0.25">
      <c r="A1668" s="7" t="s">
        <v>5849</v>
      </c>
      <c r="B1668" s="8" t="s">
        <v>270</v>
      </c>
      <c r="C1668" s="10">
        <f t="shared" si="80"/>
        <v>32550</v>
      </c>
      <c r="D1668" t="s">
        <v>11</v>
      </c>
      <c r="E1668" t="s">
        <v>12</v>
      </c>
      <c r="F1668" t="s">
        <v>11</v>
      </c>
      <c r="G1668" t="s">
        <v>12</v>
      </c>
      <c r="H1668" t="s">
        <v>11</v>
      </c>
      <c r="I1668" t="s">
        <v>12</v>
      </c>
      <c r="J1668" t="s">
        <v>11</v>
      </c>
      <c r="K1668" t="s">
        <v>12</v>
      </c>
      <c r="L1668" s="12" t="s">
        <v>44</v>
      </c>
      <c r="M1668" s="12" t="s">
        <v>152</v>
      </c>
      <c r="N1668" s="12" t="s">
        <v>134</v>
      </c>
      <c r="O1668" s="12" t="s">
        <v>82</v>
      </c>
      <c r="P1668" s="12" t="s">
        <v>72</v>
      </c>
      <c r="Q1668" s="7" t="str">
        <f t="shared" si="79"/>
        <v>(1989,6,'1989.02.11',21,25,56,59,67,0),</v>
      </c>
      <c r="R1668" s="7" t="str">
        <f t="shared" si="81"/>
        <v>(1989,6,'1989.02.11',21,25,56,59,67),</v>
      </c>
    </row>
    <row r="1669" spans="1:18" x14ac:dyDescent="0.25">
      <c r="A1669" s="7" t="s">
        <v>5849</v>
      </c>
      <c r="B1669" s="8" t="s">
        <v>53</v>
      </c>
      <c r="C1669" s="10">
        <f t="shared" si="80"/>
        <v>32557</v>
      </c>
      <c r="D1669" t="s">
        <v>11</v>
      </c>
      <c r="E1669" t="s">
        <v>12</v>
      </c>
      <c r="F1669" t="s">
        <v>11</v>
      </c>
      <c r="G1669" t="s">
        <v>12</v>
      </c>
      <c r="H1669" t="s">
        <v>11</v>
      </c>
      <c r="I1669" t="s">
        <v>12</v>
      </c>
      <c r="J1669" t="s">
        <v>11</v>
      </c>
      <c r="K1669" t="s">
        <v>12</v>
      </c>
      <c r="L1669" s="12" t="s">
        <v>42</v>
      </c>
      <c r="M1669" s="12" t="s">
        <v>54</v>
      </c>
      <c r="N1669" s="12" t="s">
        <v>199</v>
      </c>
      <c r="O1669" s="12" t="s">
        <v>35</v>
      </c>
      <c r="P1669" s="12" t="s">
        <v>239</v>
      </c>
      <c r="Q1669" s="7" t="str">
        <f t="shared" si="79"/>
        <v>(1989,7,'1989.02.18',3,15,53,65,73,0),</v>
      </c>
      <c r="R1669" s="7" t="str">
        <f t="shared" si="81"/>
        <v>(1989,7,'1989.02.18',3,15,53,65,73),</v>
      </c>
    </row>
    <row r="1670" spans="1:18" x14ac:dyDescent="0.25">
      <c r="A1670" s="7" t="s">
        <v>5849</v>
      </c>
      <c r="B1670" s="8" t="s">
        <v>232</v>
      </c>
      <c r="C1670" s="10">
        <f t="shared" si="80"/>
        <v>32564</v>
      </c>
      <c r="D1670" t="s">
        <v>11</v>
      </c>
      <c r="E1670" t="s">
        <v>12</v>
      </c>
      <c r="F1670" t="s">
        <v>11</v>
      </c>
      <c r="G1670" t="s">
        <v>12</v>
      </c>
      <c r="H1670" t="s">
        <v>11</v>
      </c>
      <c r="I1670" t="s">
        <v>12</v>
      </c>
      <c r="J1670" t="s">
        <v>11</v>
      </c>
      <c r="K1670" t="s">
        <v>12</v>
      </c>
      <c r="L1670" s="12" t="s">
        <v>19</v>
      </c>
      <c r="M1670" s="12" t="s">
        <v>33</v>
      </c>
      <c r="N1670" s="12" t="s">
        <v>45</v>
      </c>
      <c r="O1670" s="12" t="s">
        <v>23</v>
      </c>
      <c r="P1670" s="12" t="s">
        <v>92</v>
      </c>
      <c r="Q1670" s="7" t="str">
        <f t="shared" si="79"/>
        <v>(1989,8,'1989.02.25',18,24,43,60,68,0),</v>
      </c>
      <c r="R1670" s="7" t="str">
        <f t="shared" si="81"/>
        <v>(1989,8,'1989.02.25',18,24,43,60,68),</v>
      </c>
    </row>
    <row r="1671" spans="1:18" x14ac:dyDescent="0.25">
      <c r="A1671" s="7" t="s">
        <v>5849</v>
      </c>
      <c r="B1671" s="8" t="s">
        <v>198</v>
      </c>
      <c r="C1671" s="10">
        <f t="shared" si="80"/>
        <v>32571</v>
      </c>
      <c r="D1671" t="s">
        <v>11</v>
      </c>
      <c r="E1671" t="s">
        <v>12</v>
      </c>
      <c r="F1671" t="s">
        <v>11</v>
      </c>
      <c r="G1671" t="s">
        <v>12</v>
      </c>
      <c r="H1671" t="s">
        <v>11</v>
      </c>
      <c r="I1671" t="s">
        <v>12</v>
      </c>
      <c r="J1671" t="s">
        <v>11</v>
      </c>
      <c r="K1671" t="s">
        <v>12</v>
      </c>
      <c r="L1671" s="12" t="s">
        <v>133</v>
      </c>
      <c r="M1671" s="12" t="s">
        <v>134</v>
      </c>
      <c r="N1671" s="12" t="s">
        <v>169</v>
      </c>
      <c r="O1671" s="12" t="s">
        <v>233</v>
      </c>
      <c r="P1671" s="12" t="s">
        <v>308</v>
      </c>
      <c r="Q1671" s="7" t="str">
        <f t="shared" si="79"/>
        <v>(1989,9,'1989.03.04',45,56,58,66,86,0),</v>
      </c>
      <c r="R1671" s="7" t="str">
        <f t="shared" si="81"/>
        <v>(1989,9,'1989.03.04',45,56,58,66,86),</v>
      </c>
    </row>
    <row r="1672" spans="1:18" x14ac:dyDescent="0.25">
      <c r="A1672" s="7" t="s">
        <v>5849</v>
      </c>
      <c r="B1672" s="8" t="s">
        <v>62</v>
      </c>
      <c r="C1672" s="10">
        <f t="shared" si="80"/>
        <v>32578</v>
      </c>
      <c r="D1672" t="s">
        <v>11</v>
      </c>
      <c r="E1672" t="s">
        <v>12</v>
      </c>
      <c r="F1672" t="s">
        <v>11</v>
      </c>
      <c r="G1672" t="s">
        <v>12</v>
      </c>
      <c r="H1672" t="s">
        <v>11</v>
      </c>
      <c r="I1672" t="s">
        <v>12</v>
      </c>
      <c r="J1672" t="s">
        <v>11</v>
      </c>
      <c r="K1672" t="s">
        <v>12</v>
      </c>
      <c r="L1672" s="12" t="s">
        <v>115</v>
      </c>
      <c r="M1672" s="12" t="s">
        <v>45</v>
      </c>
      <c r="N1672" s="12" t="s">
        <v>81</v>
      </c>
      <c r="O1672" s="12" t="s">
        <v>150</v>
      </c>
      <c r="P1672" s="12" t="s">
        <v>269</v>
      </c>
      <c r="Q1672" s="7" t="str">
        <f t="shared" si="79"/>
        <v>(1989,10,'1989.03.11',20,43,47,57,87,0),</v>
      </c>
      <c r="R1672" s="7" t="str">
        <f t="shared" si="81"/>
        <v>(1989,10,'1989.03.11',20,43,47,57,87),</v>
      </c>
    </row>
    <row r="1673" spans="1:18" x14ac:dyDescent="0.25">
      <c r="A1673" s="7" t="s">
        <v>5849</v>
      </c>
      <c r="B1673" s="8" t="s">
        <v>83</v>
      </c>
      <c r="C1673" s="10">
        <f t="shared" si="80"/>
        <v>32585</v>
      </c>
      <c r="D1673" t="s">
        <v>11</v>
      </c>
      <c r="E1673" t="s">
        <v>12</v>
      </c>
      <c r="F1673" t="s">
        <v>11</v>
      </c>
      <c r="G1673" t="s">
        <v>12</v>
      </c>
      <c r="H1673" t="s">
        <v>11</v>
      </c>
      <c r="I1673" t="s">
        <v>12</v>
      </c>
      <c r="J1673" t="s">
        <v>11</v>
      </c>
      <c r="K1673" t="s">
        <v>12</v>
      </c>
      <c r="L1673" s="12" t="s">
        <v>108</v>
      </c>
      <c r="M1673" s="12" t="s">
        <v>115</v>
      </c>
      <c r="N1673" s="12" t="s">
        <v>91</v>
      </c>
      <c r="O1673" s="12" t="s">
        <v>63</v>
      </c>
      <c r="P1673" s="12" t="s">
        <v>208</v>
      </c>
      <c r="Q1673" s="7" t="str">
        <f t="shared" si="79"/>
        <v>(1989,11,'1989.03.18',1,20,61,78,88,0),</v>
      </c>
      <c r="R1673" s="7" t="str">
        <f t="shared" si="81"/>
        <v>(1989,11,'1989.03.18',1,20,61,78,88),</v>
      </c>
    </row>
    <row r="1674" spans="1:18" x14ac:dyDescent="0.25">
      <c r="A1674" s="7" t="s">
        <v>5849</v>
      </c>
      <c r="B1674" s="8" t="s">
        <v>31</v>
      </c>
      <c r="C1674" s="10">
        <f t="shared" si="80"/>
        <v>32592</v>
      </c>
      <c r="D1674" t="s">
        <v>11</v>
      </c>
      <c r="E1674" t="s">
        <v>12</v>
      </c>
      <c r="F1674" t="s">
        <v>11</v>
      </c>
      <c r="G1674" t="s">
        <v>12</v>
      </c>
      <c r="H1674" t="s">
        <v>11</v>
      </c>
      <c r="I1674" t="s">
        <v>12</v>
      </c>
      <c r="J1674" t="s">
        <v>11</v>
      </c>
      <c r="K1674" t="s">
        <v>12</v>
      </c>
      <c r="L1674" s="12" t="s">
        <v>89</v>
      </c>
      <c r="M1674" s="12" t="s">
        <v>232</v>
      </c>
      <c r="N1674" s="12" t="s">
        <v>44</v>
      </c>
      <c r="O1674" s="12" t="s">
        <v>152</v>
      </c>
      <c r="P1674" s="12" t="s">
        <v>20</v>
      </c>
      <c r="Q1674" s="7" t="str">
        <f t="shared" si="79"/>
        <v>(1989,12,'1989.03.25',5,8,21,25,33,0),</v>
      </c>
      <c r="R1674" s="7" t="str">
        <f t="shared" si="81"/>
        <v>(1989,12,'1989.03.25',5,8,21,25,33),</v>
      </c>
    </row>
    <row r="1675" spans="1:18" x14ac:dyDescent="0.25">
      <c r="A1675" s="7" t="s">
        <v>5849</v>
      </c>
      <c r="B1675" s="8" t="s">
        <v>65</v>
      </c>
      <c r="C1675" s="10">
        <f t="shared" si="80"/>
        <v>32599</v>
      </c>
      <c r="D1675" t="s">
        <v>11</v>
      </c>
      <c r="E1675" t="s">
        <v>12</v>
      </c>
      <c r="F1675" t="s">
        <v>11</v>
      </c>
      <c r="G1675" t="s">
        <v>12</v>
      </c>
      <c r="H1675" t="s">
        <v>11</v>
      </c>
      <c r="I1675" t="s">
        <v>12</v>
      </c>
      <c r="J1675" t="s">
        <v>11</v>
      </c>
      <c r="K1675" t="s">
        <v>12</v>
      </c>
      <c r="L1675" s="12" t="s">
        <v>53</v>
      </c>
      <c r="M1675" s="12" t="s">
        <v>21</v>
      </c>
      <c r="N1675" s="12" t="s">
        <v>24</v>
      </c>
      <c r="O1675" s="12" t="s">
        <v>22</v>
      </c>
      <c r="P1675" s="12" t="s">
        <v>214</v>
      </c>
      <c r="Q1675" s="7" t="str">
        <f t="shared" si="79"/>
        <v>(1989,13,'1989.04.01',7,36,39,48,64,0),</v>
      </c>
      <c r="R1675" s="7" t="str">
        <f t="shared" si="81"/>
        <v>(1989,13,'1989.04.01',7,36,39,48,64),</v>
      </c>
    </row>
    <row r="1676" spans="1:18" x14ac:dyDescent="0.25">
      <c r="A1676" s="7" t="s">
        <v>5849</v>
      </c>
      <c r="B1676" s="8" t="s">
        <v>127</v>
      </c>
      <c r="C1676" s="10">
        <f t="shared" si="80"/>
        <v>32606</v>
      </c>
      <c r="D1676" t="s">
        <v>11</v>
      </c>
      <c r="E1676" t="s">
        <v>12</v>
      </c>
      <c r="F1676" t="s">
        <v>11</v>
      </c>
      <c r="G1676" t="s">
        <v>12</v>
      </c>
      <c r="H1676" t="s">
        <v>11</v>
      </c>
      <c r="I1676" t="s">
        <v>12</v>
      </c>
      <c r="J1676" t="s">
        <v>11</v>
      </c>
      <c r="K1676" t="s">
        <v>12</v>
      </c>
      <c r="L1676" s="12" t="s">
        <v>43</v>
      </c>
      <c r="M1676" s="12" t="s">
        <v>36</v>
      </c>
      <c r="N1676" s="12" t="s">
        <v>81</v>
      </c>
      <c r="O1676" s="12" t="s">
        <v>175</v>
      </c>
      <c r="P1676" s="12" t="s">
        <v>56</v>
      </c>
      <c r="Q1676" s="7" t="str">
        <f t="shared" si="79"/>
        <v>(1989,14,'1989.04.08',16,38,47,55,71,0),</v>
      </c>
      <c r="R1676" s="7" t="str">
        <f t="shared" si="81"/>
        <v>(1989,14,'1989.04.08',16,38,47,55,71),</v>
      </c>
    </row>
    <row r="1677" spans="1:18" x14ac:dyDescent="0.25">
      <c r="A1677" s="7" t="s">
        <v>5849</v>
      </c>
      <c r="B1677" s="8" t="s">
        <v>54</v>
      </c>
      <c r="C1677" s="10">
        <f t="shared" si="80"/>
        <v>32613</v>
      </c>
      <c r="D1677" t="s">
        <v>11</v>
      </c>
      <c r="E1677" t="s">
        <v>12</v>
      </c>
      <c r="F1677" t="s">
        <v>11</v>
      </c>
      <c r="G1677" t="s">
        <v>12</v>
      </c>
      <c r="H1677" t="s">
        <v>11</v>
      </c>
      <c r="I1677" t="s">
        <v>12</v>
      </c>
      <c r="J1677" t="s">
        <v>11</v>
      </c>
      <c r="K1677" t="s">
        <v>12</v>
      </c>
      <c r="L1677" s="12" t="s">
        <v>115</v>
      </c>
      <c r="M1677" s="12" t="s">
        <v>64</v>
      </c>
      <c r="N1677" s="12" t="s">
        <v>45</v>
      </c>
      <c r="O1677" s="12" t="s">
        <v>82</v>
      </c>
      <c r="P1677" s="12" t="s">
        <v>200</v>
      </c>
      <c r="Q1677" s="7" t="str">
        <f t="shared" si="79"/>
        <v>(1989,15,'1989.04.15',20,35,43,59,70,0),</v>
      </c>
      <c r="R1677" s="7" t="str">
        <f t="shared" si="81"/>
        <v>(1989,15,'1989.04.15',20,35,43,59,70),</v>
      </c>
    </row>
    <row r="1678" spans="1:18" x14ac:dyDescent="0.25">
      <c r="A1678" s="7" t="s">
        <v>5849</v>
      </c>
      <c r="B1678" s="8" t="s">
        <v>43</v>
      </c>
      <c r="C1678" s="10">
        <f t="shared" si="80"/>
        <v>32620</v>
      </c>
      <c r="D1678" t="s">
        <v>11</v>
      </c>
      <c r="E1678" t="s">
        <v>12</v>
      </c>
      <c r="F1678" t="s">
        <v>11</v>
      </c>
      <c r="G1678" t="s">
        <v>12</v>
      </c>
      <c r="H1678" t="s">
        <v>11</v>
      </c>
      <c r="I1678" t="s">
        <v>12</v>
      </c>
      <c r="J1678" t="s">
        <v>11</v>
      </c>
      <c r="K1678" t="s">
        <v>12</v>
      </c>
      <c r="L1678" s="12" t="s">
        <v>83</v>
      </c>
      <c r="M1678" s="12" t="s">
        <v>65</v>
      </c>
      <c r="N1678" s="12" t="s">
        <v>115</v>
      </c>
      <c r="O1678" s="12" t="s">
        <v>32</v>
      </c>
      <c r="P1678" s="12" t="s">
        <v>21</v>
      </c>
      <c r="Q1678" s="7" t="str">
        <f t="shared" si="79"/>
        <v>(1989,16,'1989.04.22',11,13,20,22,36,0),</v>
      </c>
      <c r="R1678" s="7" t="str">
        <f t="shared" si="81"/>
        <v>(1989,16,'1989.04.22',11,13,20,22,36),</v>
      </c>
    </row>
    <row r="1679" spans="1:18" x14ac:dyDescent="0.25">
      <c r="A1679" s="7" t="s">
        <v>5849</v>
      </c>
      <c r="B1679" s="8" t="s">
        <v>90</v>
      </c>
      <c r="C1679" s="10">
        <f t="shared" si="80"/>
        <v>32627</v>
      </c>
      <c r="D1679" t="s">
        <v>11</v>
      </c>
      <c r="E1679" t="s">
        <v>12</v>
      </c>
      <c r="F1679" t="s">
        <v>11</v>
      </c>
      <c r="G1679" t="s">
        <v>12</v>
      </c>
      <c r="H1679" t="s">
        <v>11</v>
      </c>
      <c r="I1679" t="s">
        <v>12</v>
      </c>
      <c r="J1679" t="s">
        <v>11</v>
      </c>
      <c r="K1679" t="s">
        <v>12</v>
      </c>
      <c r="L1679" s="12" t="s">
        <v>115</v>
      </c>
      <c r="M1679" s="12" t="s">
        <v>80</v>
      </c>
      <c r="N1679" s="12" t="s">
        <v>64</v>
      </c>
      <c r="O1679" s="12" t="s">
        <v>122</v>
      </c>
      <c r="P1679" s="12" t="s">
        <v>72</v>
      </c>
      <c r="Q1679" s="7" t="str">
        <f t="shared" si="79"/>
        <v>(1989,17,'1989.04.29',20,32,35,51,67,0),</v>
      </c>
      <c r="R1679" s="7" t="str">
        <f t="shared" si="81"/>
        <v>(1989,17,'1989.04.29',20,32,35,51,67),</v>
      </c>
    </row>
    <row r="1680" spans="1:18" x14ac:dyDescent="0.25">
      <c r="A1680" s="7" t="s">
        <v>5849</v>
      </c>
      <c r="B1680" s="8" t="s">
        <v>19</v>
      </c>
      <c r="C1680" s="10">
        <f t="shared" si="80"/>
        <v>32634</v>
      </c>
      <c r="D1680" t="s">
        <v>11</v>
      </c>
      <c r="E1680" t="s">
        <v>12</v>
      </c>
      <c r="F1680" t="s">
        <v>11</v>
      </c>
      <c r="G1680" t="s">
        <v>12</v>
      </c>
      <c r="H1680" t="s">
        <v>11</v>
      </c>
      <c r="I1680" t="s">
        <v>12</v>
      </c>
      <c r="J1680" t="s">
        <v>11</v>
      </c>
      <c r="K1680" t="s">
        <v>12</v>
      </c>
      <c r="L1680" s="12" t="s">
        <v>127</v>
      </c>
      <c r="M1680" s="12" t="s">
        <v>46</v>
      </c>
      <c r="N1680" s="12" t="s">
        <v>81</v>
      </c>
      <c r="O1680" s="12" t="s">
        <v>233</v>
      </c>
      <c r="P1680" s="12" t="s">
        <v>72</v>
      </c>
      <c r="Q1680" s="7" t="str">
        <f t="shared" si="79"/>
        <v>(1989,18,'1989.05.06',14,37,47,66,67,0),</v>
      </c>
      <c r="R1680" s="7" t="str">
        <f t="shared" si="81"/>
        <v>(1989,18,'1989.05.06',14,37,47,66,67),</v>
      </c>
    </row>
    <row r="1681" spans="1:18" x14ac:dyDescent="0.25">
      <c r="A1681" s="7" t="s">
        <v>5849</v>
      </c>
      <c r="B1681" s="8" t="s">
        <v>55</v>
      </c>
      <c r="C1681" s="10">
        <f t="shared" si="80"/>
        <v>32641</v>
      </c>
      <c r="D1681" t="s">
        <v>11</v>
      </c>
      <c r="E1681" t="s">
        <v>12</v>
      </c>
      <c r="F1681" t="s">
        <v>11</v>
      </c>
      <c r="G1681" t="s">
        <v>12</v>
      </c>
      <c r="H1681" t="s">
        <v>11</v>
      </c>
      <c r="I1681" t="s">
        <v>12</v>
      </c>
      <c r="J1681" t="s">
        <v>11</v>
      </c>
      <c r="K1681" t="s">
        <v>12</v>
      </c>
      <c r="L1681" s="12" t="s">
        <v>270</v>
      </c>
      <c r="M1681" s="12" t="s">
        <v>232</v>
      </c>
      <c r="N1681" s="12" t="s">
        <v>98</v>
      </c>
      <c r="O1681" s="12" t="s">
        <v>23</v>
      </c>
      <c r="P1681" s="12" t="s">
        <v>239</v>
      </c>
      <c r="Q1681" s="7" t="str">
        <f t="shared" si="79"/>
        <v>(1989,19,'1989.05.13',6,8,42,60,73,0),</v>
      </c>
      <c r="R1681" s="7" t="str">
        <f t="shared" si="81"/>
        <v>(1989,19,'1989.05.13',6,8,42,60,73),</v>
      </c>
    </row>
    <row r="1682" spans="1:18" x14ac:dyDescent="0.25">
      <c r="A1682" s="7" t="s">
        <v>5849</v>
      </c>
      <c r="B1682" s="8" t="s">
        <v>115</v>
      </c>
      <c r="C1682" s="10">
        <f t="shared" si="80"/>
        <v>32648</v>
      </c>
      <c r="D1682" t="s">
        <v>11</v>
      </c>
      <c r="E1682" t="s">
        <v>12</v>
      </c>
      <c r="F1682" t="s">
        <v>11</v>
      </c>
      <c r="G1682" t="s">
        <v>12</v>
      </c>
      <c r="H1682" t="s">
        <v>11</v>
      </c>
      <c r="I1682" t="s">
        <v>12</v>
      </c>
      <c r="J1682" t="s">
        <v>11</v>
      </c>
      <c r="K1682" t="s">
        <v>12</v>
      </c>
      <c r="L1682" s="12" t="s">
        <v>53</v>
      </c>
      <c r="M1682" s="12" t="s">
        <v>54</v>
      </c>
      <c r="N1682" s="12" t="s">
        <v>152</v>
      </c>
      <c r="O1682" s="12" t="s">
        <v>199</v>
      </c>
      <c r="P1682" s="12" t="s">
        <v>308</v>
      </c>
      <c r="Q1682" s="7" t="str">
        <f t="shared" si="79"/>
        <v>(1989,20,'1989.05.20',7,15,25,53,86,0),</v>
      </c>
      <c r="R1682" s="7" t="str">
        <f t="shared" si="81"/>
        <v>(1989,20,'1989.05.20',7,15,25,53,86),</v>
      </c>
    </row>
    <row r="1683" spans="1:18" x14ac:dyDescent="0.25">
      <c r="A1683" s="7" t="s">
        <v>5849</v>
      </c>
      <c r="B1683" s="8" t="s">
        <v>44</v>
      </c>
      <c r="C1683" s="10">
        <f t="shared" si="80"/>
        <v>32655</v>
      </c>
      <c r="D1683" t="s">
        <v>11</v>
      </c>
      <c r="E1683" t="s">
        <v>12</v>
      </c>
      <c r="F1683" t="s">
        <v>11</v>
      </c>
      <c r="G1683" t="s">
        <v>12</v>
      </c>
      <c r="H1683" t="s">
        <v>11</v>
      </c>
      <c r="I1683" t="s">
        <v>12</v>
      </c>
      <c r="J1683" t="s">
        <v>11</v>
      </c>
      <c r="K1683" t="s">
        <v>12</v>
      </c>
      <c r="L1683" s="12" t="s">
        <v>42</v>
      </c>
      <c r="M1683" s="12" t="s">
        <v>198</v>
      </c>
      <c r="N1683" s="12" t="s">
        <v>74</v>
      </c>
      <c r="O1683" s="12" t="s">
        <v>36</v>
      </c>
      <c r="P1683" s="12" t="s">
        <v>81</v>
      </c>
      <c r="Q1683" s="7" t="str">
        <f t="shared" si="79"/>
        <v>(1989,21,'1989.05.27',3,9,26,38,47,0),</v>
      </c>
      <c r="R1683" s="7" t="str">
        <f t="shared" si="81"/>
        <v>(1989,21,'1989.05.27',3,9,26,38,47),</v>
      </c>
    </row>
    <row r="1684" spans="1:18" x14ac:dyDescent="0.25">
      <c r="A1684" s="7" t="s">
        <v>5849</v>
      </c>
      <c r="B1684" s="8" t="s">
        <v>32</v>
      </c>
      <c r="C1684" s="10">
        <f t="shared" si="80"/>
        <v>32662</v>
      </c>
      <c r="D1684" t="s">
        <v>11</v>
      </c>
      <c r="E1684" t="s">
        <v>12</v>
      </c>
      <c r="F1684" t="s">
        <v>11</v>
      </c>
      <c r="G1684" t="s">
        <v>12</v>
      </c>
      <c r="H1684" t="s">
        <v>11</v>
      </c>
      <c r="I1684" t="s">
        <v>12</v>
      </c>
      <c r="J1684" t="s">
        <v>11</v>
      </c>
      <c r="K1684" t="s">
        <v>12</v>
      </c>
      <c r="L1684" s="12" t="s">
        <v>80</v>
      </c>
      <c r="M1684" s="12" t="s">
        <v>13</v>
      </c>
      <c r="N1684" s="12" t="s">
        <v>142</v>
      </c>
      <c r="O1684" s="12" t="s">
        <v>73</v>
      </c>
      <c r="P1684" s="12" t="s">
        <v>622</v>
      </c>
      <c r="Q1684" s="7" t="str">
        <f t="shared" si="79"/>
        <v>(1989,22,'1989.06.03',32,41,44,76,82,0),</v>
      </c>
      <c r="R1684" s="7" t="str">
        <f t="shared" si="81"/>
        <v>(1989,22,'1989.06.03',32,41,44,76,82),</v>
      </c>
    </row>
    <row r="1685" spans="1:18" x14ac:dyDescent="0.25">
      <c r="A1685" s="7" t="s">
        <v>5849</v>
      </c>
      <c r="B1685" s="8" t="s">
        <v>163</v>
      </c>
      <c r="C1685" s="10">
        <f t="shared" si="80"/>
        <v>32669</v>
      </c>
      <c r="D1685" t="s">
        <v>11</v>
      </c>
      <c r="E1685" t="s">
        <v>12</v>
      </c>
      <c r="F1685" t="s">
        <v>11</v>
      </c>
      <c r="G1685" t="s">
        <v>12</v>
      </c>
      <c r="H1685" t="s">
        <v>11</v>
      </c>
      <c r="I1685" t="s">
        <v>12</v>
      </c>
      <c r="J1685" t="s">
        <v>11</v>
      </c>
      <c r="K1685" t="s">
        <v>12</v>
      </c>
      <c r="L1685" s="12" t="s">
        <v>207</v>
      </c>
      <c r="M1685" s="12" t="s">
        <v>54</v>
      </c>
      <c r="N1685" s="12" t="s">
        <v>214</v>
      </c>
      <c r="O1685" s="12" t="s">
        <v>72</v>
      </c>
      <c r="P1685" s="12" t="s">
        <v>47</v>
      </c>
      <c r="Q1685" s="7" t="str">
        <f t="shared" si="79"/>
        <v>(1989,23,'1989.06.10',2,15,64,67,69,0),</v>
      </c>
      <c r="R1685" s="7" t="str">
        <f t="shared" si="81"/>
        <v>(1989,23,'1989.06.10',2,15,64,67,69),</v>
      </c>
    </row>
    <row r="1686" spans="1:18" x14ac:dyDescent="0.25">
      <c r="A1686" s="7" t="s">
        <v>5849</v>
      </c>
      <c r="B1686" s="8" t="s">
        <v>33</v>
      </c>
      <c r="C1686" s="10">
        <f t="shared" si="80"/>
        <v>32676</v>
      </c>
      <c r="D1686" t="s">
        <v>11</v>
      </c>
      <c r="E1686" t="s">
        <v>12</v>
      </c>
      <c r="F1686" t="s">
        <v>11</v>
      </c>
      <c r="G1686" t="s">
        <v>12</v>
      </c>
      <c r="H1686" t="s">
        <v>11</v>
      </c>
      <c r="I1686" t="s">
        <v>12</v>
      </c>
      <c r="J1686" t="s">
        <v>11</v>
      </c>
      <c r="K1686" t="s">
        <v>12</v>
      </c>
      <c r="L1686" s="12" t="s">
        <v>43</v>
      </c>
      <c r="M1686" s="12" t="s">
        <v>74</v>
      </c>
      <c r="N1686" s="12" t="s">
        <v>99</v>
      </c>
      <c r="O1686" s="12" t="s">
        <v>143</v>
      </c>
      <c r="P1686" s="12" t="s">
        <v>63</v>
      </c>
      <c r="Q1686" s="7" t="str">
        <f t="shared" si="79"/>
        <v>(1989,24,'1989.06.17',16,26,52,77,78,0),</v>
      </c>
      <c r="R1686" s="7" t="str">
        <f t="shared" si="81"/>
        <v>(1989,24,'1989.06.17',16,26,52,77,78),</v>
      </c>
    </row>
    <row r="1687" spans="1:18" x14ac:dyDescent="0.25">
      <c r="A1687" s="7" t="s">
        <v>5849</v>
      </c>
      <c r="B1687" s="8" t="s">
        <v>152</v>
      </c>
      <c r="C1687" s="10">
        <f t="shared" si="80"/>
        <v>32683</v>
      </c>
      <c r="D1687" t="s">
        <v>11</v>
      </c>
      <c r="E1687" t="s">
        <v>12</v>
      </c>
      <c r="F1687" t="s">
        <v>11</v>
      </c>
      <c r="G1687" t="s">
        <v>12</v>
      </c>
      <c r="H1687" t="s">
        <v>11</v>
      </c>
      <c r="I1687" t="s">
        <v>12</v>
      </c>
      <c r="J1687" t="s">
        <v>11</v>
      </c>
      <c r="K1687" t="s">
        <v>12</v>
      </c>
      <c r="L1687" s="12" t="s">
        <v>108</v>
      </c>
      <c r="M1687" s="12" t="s">
        <v>89</v>
      </c>
      <c r="N1687" s="12" t="s">
        <v>80</v>
      </c>
      <c r="O1687" s="12" t="s">
        <v>201</v>
      </c>
      <c r="P1687" s="12" t="s">
        <v>63</v>
      </c>
      <c r="Q1687" s="7" t="str">
        <f t="shared" si="79"/>
        <v>(1989,25,'1989.06.24',1,5,32,72,78,0),</v>
      </c>
      <c r="R1687" s="7" t="str">
        <f t="shared" si="81"/>
        <v>(1989,25,'1989.06.24',1,5,32,72,78),</v>
      </c>
    </row>
    <row r="1688" spans="1:18" x14ac:dyDescent="0.25">
      <c r="A1688" s="7" t="s">
        <v>5849</v>
      </c>
      <c r="B1688" s="8" t="s">
        <v>74</v>
      </c>
      <c r="C1688" s="10">
        <f t="shared" si="80"/>
        <v>32690</v>
      </c>
      <c r="D1688" t="s">
        <v>11</v>
      </c>
      <c r="E1688" t="s">
        <v>12</v>
      </c>
      <c r="F1688" t="s">
        <v>11</v>
      </c>
      <c r="G1688" t="s">
        <v>12</v>
      </c>
      <c r="H1688" t="s">
        <v>11</v>
      </c>
      <c r="I1688" t="s">
        <v>12</v>
      </c>
      <c r="J1688" t="s">
        <v>11</v>
      </c>
      <c r="K1688" t="s">
        <v>12</v>
      </c>
      <c r="L1688" s="12" t="s">
        <v>65</v>
      </c>
      <c r="M1688" s="12" t="s">
        <v>44</v>
      </c>
      <c r="N1688" s="12" t="s">
        <v>152</v>
      </c>
      <c r="O1688" s="12" t="s">
        <v>13</v>
      </c>
      <c r="P1688" s="12" t="s">
        <v>105</v>
      </c>
      <c r="Q1688" s="7" t="str">
        <f t="shared" si="79"/>
        <v>(1989,26,'1989.07.01',13,21,25,41,50,0),</v>
      </c>
      <c r="R1688" s="7" t="str">
        <f t="shared" si="81"/>
        <v>(1989,26,'1989.07.01',13,21,25,41,50),</v>
      </c>
    </row>
    <row r="1689" spans="1:18" x14ac:dyDescent="0.25">
      <c r="A1689" s="7" t="s">
        <v>5849</v>
      </c>
      <c r="B1689" s="8" t="s">
        <v>135</v>
      </c>
      <c r="C1689" s="10">
        <f t="shared" si="80"/>
        <v>32697</v>
      </c>
      <c r="D1689" t="s">
        <v>11</v>
      </c>
      <c r="E1689" t="s">
        <v>12</v>
      </c>
      <c r="F1689" t="s">
        <v>11</v>
      </c>
      <c r="G1689" t="s">
        <v>12</v>
      </c>
      <c r="H1689" t="s">
        <v>11</v>
      </c>
      <c r="I1689" t="s">
        <v>12</v>
      </c>
      <c r="J1689" t="s">
        <v>11</v>
      </c>
      <c r="K1689" t="s">
        <v>12</v>
      </c>
      <c r="L1689" s="12" t="s">
        <v>34</v>
      </c>
      <c r="M1689" s="12" t="s">
        <v>123</v>
      </c>
      <c r="N1689" s="12" t="s">
        <v>92</v>
      </c>
      <c r="O1689" s="12" t="s">
        <v>301</v>
      </c>
      <c r="P1689" s="12" t="s">
        <v>246</v>
      </c>
      <c r="Q1689" s="7" t="str">
        <f t="shared" si="79"/>
        <v>(1989,27,'1989.07.08',49,54,68,80,84,0),</v>
      </c>
      <c r="R1689" s="7" t="str">
        <f t="shared" si="81"/>
        <v>(1989,27,'1989.07.08',49,54,68,80,84),</v>
      </c>
    </row>
    <row r="1690" spans="1:18" x14ac:dyDescent="0.25">
      <c r="A1690" s="7" t="s">
        <v>5849</v>
      </c>
      <c r="B1690" s="8" t="s">
        <v>126</v>
      </c>
      <c r="C1690" s="10">
        <f t="shared" si="80"/>
        <v>32704</v>
      </c>
      <c r="D1690" t="s">
        <v>11</v>
      </c>
      <c r="E1690" t="s">
        <v>12</v>
      </c>
      <c r="F1690" t="s">
        <v>11</v>
      </c>
      <c r="G1690" t="s">
        <v>12</v>
      </c>
      <c r="H1690" t="s">
        <v>11</v>
      </c>
      <c r="I1690" t="s">
        <v>12</v>
      </c>
      <c r="J1690" t="s">
        <v>11</v>
      </c>
      <c r="K1690" t="s">
        <v>12</v>
      </c>
      <c r="L1690" s="12" t="s">
        <v>44</v>
      </c>
      <c r="M1690" s="12" t="s">
        <v>192</v>
      </c>
      <c r="N1690" s="12" t="s">
        <v>99</v>
      </c>
      <c r="O1690" s="12" t="s">
        <v>301</v>
      </c>
      <c r="P1690" s="12" t="s">
        <v>269</v>
      </c>
      <c r="Q1690" s="7" t="str">
        <f t="shared" si="79"/>
        <v>(1989,28,'1989.07.15',21,46,52,80,87,0),</v>
      </c>
      <c r="R1690" s="7" t="str">
        <f t="shared" si="81"/>
        <v>(1989,28,'1989.07.15',21,46,52,80,87),</v>
      </c>
    </row>
    <row r="1691" spans="1:18" x14ac:dyDescent="0.25">
      <c r="A1691" s="7" t="s">
        <v>5849</v>
      </c>
      <c r="B1691" s="8" t="s">
        <v>116</v>
      </c>
      <c r="C1691" s="10">
        <f t="shared" si="80"/>
        <v>32711</v>
      </c>
      <c r="D1691" t="s">
        <v>11</v>
      </c>
      <c r="E1691" t="s">
        <v>12</v>
      </c>
      <c r="F1691" t="s">
        <v>11</v>
      </c>
      <c r="G1691" t="s">
        <v>12</v>
      </c>
      <c r="H1691" t="s">
        <v>11</v>
      </c>
      <c r="I1691" t="s">
        <v>12</v>
      </c>
      <c r="J1691" t="s">
        <v>11</v>
      </c>
      <c r="K1691" t="s">
        <v>12</v>
      </c>
      <c r="L1691" s="12" t="s">
        <v>62</v>
      </c>
      <c r="M1691" s="12" t="s">
        <v>44</v>
      </c>
      <c r="N1691" s="12" t="s">
        <v>163</v>
      </c>
      <c r="O1691" s="12" t="s">
        <v>13</v>
      </c>
      <c r="P1691" s="12" t="s">
        <v>192</v>
      </c>
      <c r="Q1691" s="7" t="str">
        <f t="shared" si="79"/>
        <v>(1989,29,'1989.07.22',10,21,23,41,46,0),</v>
      </c>
      <c r="R1691" s="7" t="str">
        <f t="shared" si="81"/>
        <v>(1989,29,'1989.07.22',10,21,23,41,46),</v>
      </c>
    </row>
    <row r="1692" spans="1:18" x14ac:dyDescent="0.25">
      <c r="A1692" s="7" t="s">
        <v>5849</v>
      </c>
      <c r="B1692" s="8" t="s">
        <v>107</v>
      </c>
      <c r="C1692" s="10">
        <f t="shared" si="80"/>
        <v>32718</v>
      </c>
      <c r="D1692" t="s">
        <v>11</v>
      </c>
      <c r="E1692" t="s">
        <v>12</v>
      </c>
      <c r="F1692" t="s">
        <v>11</v>
      </c>
      <c r="G1692" t="s">
        <v>12</v>
      </c>
      <c r="H1692" t="s">
        <v>11</v>
      </c>
      <c r="I1692" t="s">
        <v>12</v>
      </c>
      <c r="J1692" t="s">
        <v>11</v>
      </c>
      <c r="K1692" t="s">
        <v>12</v>
      </c>
      <c r="L1692" s="12" t="s">
        <v>19</v>
      </c>
      <c r="M1692" s="12" t="s">
        <v>163</v>
      </c>
      <c r="N1692" s="12" t="s">
        <v>105</v>
      </c>
      <c r="O1692" s="12" t="s">
        <v>92</v>
      </c>
      <c r="P1692" s="12" t="s">
        <v>143</v>
      </c>
      <c r="Q1692" s="7" t="str">
        <f t="shared" si="79"/>
        <v>(1989,30,'1989.07.29',18,23,50,68,77,0),</v>
      </c>
      <c r="R1692" s="7" t="str">
        <f t="shared" si="81"/>
        <v>(1989,30,'1989.07.29',18,23,50,68,77),</v>
      </c>
    </row>
    <row r="1693" spans="1:18" x14ac:dyDescent="0.25">
      <c r="A1693" s="7" t="s">
        <v>5849</v>
      </c>
      <c r="B1693" s="8" t="s">
        <v>71</v>
      </c>
      <c r="C1693" s="10">
        <f t="shared" si="80"/>
        <v>32725</v>
      </c>
      <c r="D1693" t="s">
        <v>11</v>
      </c>
      <c r="E1693" t="s">
        <v>12</v>
      </c>
      <c r="F1693" t="s">
        <v>11</v>
      </c>
      <c r="G1693" t="s">
        <v>12</v>
      </c>
      <c r="H1693" t="s">
        <v>11</v>
      </c>
      <c r="I1693" t="s">
        <v>12</v>
      </c>
      <c r="J1693" t="s">
        <v>11</v>
      </c>
      <c r="K1693" t="s">
        <v>12</v>
      </c>
      <c r="L1693" s="12" t="s">
        <v>116</v>
      </c>
      <c r="M1693" s="12" t="s">
        <v>45</v>
      </c>
      <c r="N1693" s="12" t="s">
        <v>215</v>
      </c>
      <c r="O1693" s="12" t="s">
        <v>468</v>
      </c>
      <c r="P1693" s="12" t="s">
        <v>269</v>
      </c>
      <c r="Q1693" s="7" t="str">
        <f t="shared" si="79"/>
        <v>(1989,31,'1989.08.05',29,43,81,85,87,0),</v>
      </c>
      <c r="R1693" s="7" t="str">
        <f t="shared" si="81"/>
        <v>(1989,31,'1989.08.05',29,43,81,85,87),</v>
      </c>
    </row>
    <row r="1694" spans="1:18" x14ac:dyDescent="0.25">
      <c r="A1694" s="7" t="s">
        <v>5849</v>
      </c>
      <c r="B1694" s="8" t="s">
        <v>80</v>
      </c>
      <c r="C1694" s="10">
        <f t="shared" si="80"/>
        <v>32732</v>
      </c>
      <c r="D1694" t="s">
        <v>11</v>
      </c>
      <c r="E1694" t="s">
        <v>12</v>
      </c>
      <c r="F1694" t="s">
        <v>11</v>
      </c>
      <c r="G1694" t="s">
        <v>12</v>
      </c>
      <c r="H1694" t="s">
        <v>11</v>
      </c>
      <c r="I1694" t="s">
        <v>12</v>
      </c>
      <c r="J1694" t="s">
        <v>11</v>
      </c>
      <c r="K1694" t="s">
        <v>12</v>
      </c>
      <c r="L1694" s="12" t="s">
        <v>89</v>
      </c>
      <c r="M1694" s="12" t="s">
        <v>21</v>
      </c>
      <c r="N1694" s="12" t="s">
        <v>36</v>
      </c>
      <c r="O1694" s="12" t="s">
        <v>98</v>
      </c>
      <c r="P1694" s="12" t="s">
        <v>245</v>
      </c>
      <c r="Q1694" s="7" t="str">
        <f t="shared" si="79"/>
        <v>(1989,32,'1989.08.12',5,36,38,42,74,0),</v>
      </c>
      <c r="R1694" s="7" t="str">
        <f t="shared" si="81"/>
        <v>(1989,32,'1989.08.12',5,36,38,42,74),</v>
      </c>
    </row>
    <row r="1695" spans="1:18" x14ac:dyDescent="0.25">
      <c r="A1695" s="7" t="s">
        <v>5849</v>
      </c>
      <c r="B1695" s="8" t="s">
        <v>20</v>
      </c>
      <c r="C1695" s="10">
        <f t="shared" si="80"/>
        <v>32739</v>
      </c>
      <c r="D1695" t="s">
        <v>11</v>
      </c>
      <c r="E1695" t="s">
        <v>12</v>
      </c>
      <c r="F1695" t="s">
        <v>11</v>
      </c>
      <c r="G1695" t="s">
        <v>12</v>
      </c>
      <c r="H1695" t="s">
        <v>11</v>
      </c>
      <c r="I1695" t="s">
        <v>12</v>
      </c>
      <c r="J1695" t="s">
        <v>11</v>
      </c>
      <c r="K1695" t="s">
        <v>12</v>
      </c>
      <c r="L1695" s="12" t="s">
        <v>42</v>
      </c>
      <c r="M1695" s="12" t="s">
        <v>89</v>
      </c>
      <c r="N1695" s="12" t="s">
        <v>142</v>
      </c>
      <c r="O1695" s="12" t="s">
        <v>63</v>
      </c>
      <c r="P1695" s="12" t="s">
        <v>301</v>
      </c>
      <c r="Q1695" s="7" t="str">
        <f t="shared" si="79"/>
        <v>(1989,33,'1989.08.19',3,5,44,78,80,0),</v>
      </c>
      <c r="R1695" s="7" t="str">
        <f t="shared" si="81"/>
        <v>(1989,33,'1989.08.19',3,5,44,78,80),</v>
      </c>
    </row>
    <row r="1696" spans="1:18" x14ac:dyDescent="0.25">
      <c r="A1696" s="7" t="s">
        <v>5849</v>
      </c>
      <c r="B1696" s="8" t="s">
        <v>25</v>
      </c>
      <c r="C1696" s="10">
        <f t="shared" si="80"/>
        <v>32746</v>
      </c>
      <c r="D1696" t="s">
        <v>11</v>
      </c>
      <c r="E1696" t="s">
        <v>12</v>
      </c>
      <c r="F1696" t="s">
        <v>11</v>
      </c>
      <c r="G1696" t="s">
        <v>12</v>
      </c>
      <c r="H1696" t="s">
        <v>11</v>
      </c>
      <c r="I1696" t="s">
        <v>12</v>
      </c>
      <c r="J1696" t="s">
        <v>11</v>
      </c>
      <c r="K1696" t="s">
        <v>12</v>
      </c>
      <c r="L1696" s="12" t="s">
        <v>232</v>
      </c>
      <c r="M1696" s="12" t="s">
        <v>99</v>
      </c>
      <c r="N1696" s="12" t="s">
        <v>175</v>
      </c>
      <c r="O1696" s="12" t="s">
        <v>35</v>
      </c>
      <c r="P1696" s="12" t="s">
        <v>73</v>
      </c>
      <c r="Q1696" s="7" t="str">
        <f t="shared" si="79"/>
        <v>(1989,34,'1989.08.26',8,52,55,65,76,0),</v>
      </c>
      <c r="R1696" s="7" t="str">
        <f t="shared" si="81"/>
        <v>(1989,34,'1989.08.26',8,52,55,65,76),</v>
      </c>
    </row>
    <row r="1697" spans="1:18" x14ac:dyDescent="0.25">
      <c r="A1697" s="7" t="s">
        <v>5849</v>
      </c>
      <c r="B1697" s="8" t="s">
        <v>64</v>
      </c>
      <c r="C1697" s="10">
        <f t="shared" si="80"/>
        <v>32753</v>
      </c>
      <c r="D1697" t="s">
        <v>11</v>
      </c>
      <c r="E1697" t="s">
        <v>12</v>
      </c>
      <c r="F1697" t="s">
        <v>11</v>
      </c>
      <c r="G1697" t="s">
        <v>12</v>
      </c>
      <c r="H1697" t="s">
        <v>11</v>
      </c>
      <c r="I1697" t="s">
        <v>12</v>
      </c>
      <c r="J1697" t="s">
        <v>11</v>
      </c>
      <c r="K1697" t="s">
        <v>12</v>
      </c>
      <c r="L1697" s="12" t="s">
        <v>135</v>
      </c>
      <c r="M1697" s="12" t="s">
        <v>47</v>
      </c>
      <c r="N1697" s="12" t="s">
        <v>622</v>
      </c>
      <c r="O1697" s="12" t="s">
        <v>246</v>
      </c>
      <c r="P1697" s="12" t="s">
        <v>308</v>
      </c>
      <c r="Q1697" s="7" t="str">
        <f t="shared" si="79"/>
        <v>(1989,35,'1989.09.02',27,69,82,84,86,0),</v>
      </c>
      <c r="R1697" s="7" t="str">
        <f t="shared" si="81"/>
        <v>(1989,35,'1989.09.02',27,69,82,84,86),</v>
      </c>
    </row>
    <row r="1698" spans="1:18" x14ac:dyDescent="0.25">
      <c r="A1698" s="7" t="s">
        <v>5849</v>
      </c>
      <c r="B1698" s="8" t="s">
        <v>21</v>
      </c>
      <c r="C1698" s="10">
        <f t="shared" si="80"/>
        <v>32760</v>
      </c>
      <c r="D1698" t="s">
        <v>11</v>
      </c>
      <c r="E1698" t="s">
        <v>12</v>
      </c>
      <c r="F1698" t="s">
        <v>11</v>
      </c>
      <c r="G1698" t="s">
        <v>12</v>
      </c>
      <c r="H1698" t="s">
        <v>11</v>
      </c>
      <c r="I1698" t="s">
        <v>12</v>
      </c>
      <c r="J1698" t="s">
        <v>11</v>
      </c>
      <c r="K1698" t="s">
        <v>12</v>
      </c>
      <c r="L1698" s="12" t="s">
        <v>126</v>
      </c>
      <c r="M1698" s="12" t="s">
        <v>106</v>
      </c>
      <c r="N1698" s="12" t="s">
        <v>73</v>
      </c>
      <c r="O1698" s="12" t="s">
        <v>215</v>
      </c>
      <c r="P1698" s="12" t="s">
        <v>622</v>
      </c>
      <c r="Q1698" s="7" t="str">
        <f t="shared" si="79"/>
        <v>(1989,36,'1989.09.09',28,75,76,81,82,0),</v>
      </c>
      <c r="R1698" s="7" t="str">
        <f t="shared" si="81"/>
        <v>(1989,36,'1989.09.09',28,75,76,81,82),</v>
      </c>
    </row>
    <row r="1699" spans="1:18" x14ac:dyDescent="0.25">
      <c r="A1699" s="7" t="s">
        <v>5849</v>
      </c>
      <c r="B1699" s="8" t="s">
        <v>46</v>
      </c>
      <c r="C1699" s="10">
        <f t="shared" si="80"/>
        <v>32767</v>
      </c>
      <c r="D1699" t="s">
        <v>11</v>
      </c>
      <c r="E1699" t="s">
        <v>12</v>
      </c>
      <c r="F1699" t="s">
        <v>11</v>
      </c>
      <c r="G1699" t="s">
        <v>12</v>
      </c>
      <c r="H1699" t="s">
        <v>11</v>
      </c>
      <c r="I1699" t="s">
        <v>12</v>
      </c>
      <c r="J1699" t="s">
        <v>11</v>
      </c>
      <c r="K1699" t="s">
        <v>12</v>
      </c>
      <c r="L1699" s="12" t="s">
        <v>133</v>
      </c>
      <c r="M1699" s="12" t="s">
        <v>22</v>
      </c>
      <c r="N1699" s="12" t="s">
        <v>150</v>
      </c>
      <c r="O1699" s="12" t="s">
        <v>63</v>
      </c>
      <c r="P1699" s="12" t="s">
        <v>186</v>
      </c>
      <c r="Q1699" s="7" t="str">
        <f t="shared" si="79"/>
        <v>(1989,37,'1989.09.16',45,48,57,78,90,0),</v>
      </c>
      <c r="R1699" s="7" t="str">
        <f t="shared" si="81"/>
        <v>(1989,37,'1989.09.16',45,48,57,78,90),</v>
      </c>
    </row>
    <row r="1700" spans="1:18" x14ac:dyDescent="0.25">
      <c r="A1700" s="7" t="s">
        <v>5849</v>
      </c>
      <c r="B1700" s="8" t="s">
        <v>36</v>
      </c>
      <c r="C1700" s="10">
        <f t="shared" si="80"/>
        <v>32774</v>
      </c>
      <c r="D1700" t="s">
        <v>11</v>
      </c>
      <c r="E1700" t="s">
        <v>12</v>
      </c>
      <c r="F1700" t="s">
        <v>11</v>
      </c>
      <c r="G1700" t="s">
        <v>12</v>
      </c>
      <c r="H1700" t="s">
        <v>11</v>
      </c>
      <c r="I1700" t="s">
        <v>12</v>
      </c>
      <c r="J1700" t="s">
        <v>11</v>
      </c>
      <c r="K1700" t="s">
        <v>12</v>
      </c>
      <c r="L1700" s="12" t="s">
        <v>168</v>
      </c>
      <c r="M1700" s="12" t="s">
        <v>43</v>
      </c>
      <c r="N1700" s="12" t="s">
        <v>105</v>
      </c>
      <c r="O1700" s="12" t="s">
        <v>23</v>
      </c>
      <c r="P1700" s="12" t="s">
        <v>125</v>
      </c>
      <c r="Q1700" s="7" t="str">
        <f t="shared" si="79"/>
        <v>(1989,38,'1989.09.23',4,16,50,60,83,0),</v>
      </c>
      <c r="R1700" s="7" t="str">
        <f t="shared" si="81"/>
        <v>(1989,38,'1989.09.23',4,16,50,60,83),</v>
      </c>
    </row>
    <row r="1701" spans="1:18" x14ac:dyDescent="0.25">
      <c r="A1701" s="7" t="s">
        <v>5849</v>
      </c>
      <c r="B1701" s="8" t="s">
        <v>24</v>
      </c>
      <c r="C1701" s="10">
        <f t="shared" si="80"/>
        <v>32781</v>
      </c>
      <c r="D1701" t="s">
        <v>11</v>
      </c>
      <c r="E1701" t="s">
        <v>12</v>
      </c>
      <c r="F1701" t="s">
        <v>11</v>
      </c>
      <c r="G1701" t="s">
        <v>12</v>
      </c>
      <c r="H1701" t="s">
        <v>11</v>
      </c>
      <c r="I1701" t="s">
        <v>12</v>
      </c>
      <c r="J1701" t="s">
        <v>11</v>
      </c>
      <c r="K1701" t="s">
        <v>12</v>
      </c>
      <c r="L1701" s="12" t="s">
        <v>62</v>
      </c>
      <c r="M1701" s="12" t="s">
        <v>43</v>
      </c>
      <c r="N1701" s="12" t="s">
        <v>32</v>
      </c>
      <c r="O1701" s="12" t="s">
        <v>152</v>
      </c>
      <c r="P1701" s="12" t="s">
        <v>91</v>
      </c>
      <c r="Q1701" s="7" t="str">
        <f t="shared" si="79"/>
        <v>(1989,39,'1989.09.30',10,16,22,25,61,0),</v>
      </c>
      <c r="R1701" s="7" t="str">
        <f t="shared" si="81"/>
        <v>(1989,39,'1989.09.30',10,16,22,25,61),</v>
      </c>
    </row>
    <row r="1702" spans="1:18" x14ac:dyDescent="0.25">
      <c r="A1702" s="7" t="s">
        <v>5849</v>
      </c>
      <c r="B1702" s="8" t="s">
        <v>10</v>
      </c>
      <c r="C1702" s="10">
        <f t="shared" si="80"/>
        <v>32788</v>
      </c>
      <c r="D1702" t="s">
        <v>11</v>
      </c>
      <c r="E1702" t="s">
        <v>12</v>
      </c>
      <c r="F1702" t="s">
        <v>11</v>
      </c>
      <c r="G1702" t="s">
        <v>12</v>
      </c>
      <c r="H1702" t="s">
        <v>11</v>
      </c>
      <c r="I1702" t="s">
        <v>12</v>
      </c>
      <c r="J1702" t="s">
        <v>11</v>
      </c>
      <c r="K1702" t="s">
        <v>12</v>
      </c>
      <c r="L1702" s="12" t="s">
        <v>62</v>
      </c>
      <c r="M1702" s="12" t="s">
        <v>43</v>
      </c>
      <c r="N1702" s="12" t="s">
        <v>201</v>
      </c>
      <c r="O1702" s="12" t="s">
        <v>301</v>
      </c>
      <c r="P1702" s="12" t="s">
        <v>125</v>
      </c>
      <c r="Q1702" s="7" t="str">
        <f t="shared" si="79"/>
        <v>(1989,40,'1989.10.07',10,16,72,80,83,0),</v>
      </c>
      <c r="R1702" s="7" t="str">
        <f t="shared" si="81"/>
        <v>(1989,40,'1989.10.07',10,16,72,80,83),</v>
      </c>
    </row>
    <row r="1703" spans="1:18" x14ac:dyDescent="0.25">
      <c r="A1703" s="7" t="s">
        <v>5849</v>
      </c>
      <c r="B1703" s="8" t="s">
        <v>13</v>
      </c>
      <c r="C1703" s="10">
        <f t="shared" si="80"/>
        <v>32795</v>
      </c>
      <c r="D1703" t="s">
        <v>11</v>
      </c>
      <c r="E1703" t="s">
        <v>12</v>
      </c>
      <c r="F1703" t="s">
        <v>11</v>
      </c>
      <c r="G1703" t="s">
        <v>12</v>
      </c>
      <c r="H1703" t="s">
        <v>11</v>
      </c>
      <c r="I1703" t="s">
        <v>12</v>
      </c>
      <c r="J1703" t="s">
        <v>11</v>
      </c>
      <c r="K1703" t="s">
        <v>12</v>
      </c>
      <c r="L1703" s="12" t="s">
        <v>163</v>
      </c>
      <c r="M1703" s="12" t="s">
        <v>33</v>
      </c>
      <c r="N1703" s="12" t="s">
        <v>71</v>
      </c>
      <c r="O1703" s="12" t="s">
        <v>34</v>
      </c>
      <c r="P1703" s="12" t="s">
        <v>214</v>
      </c>
      <c r="Q1703" s="7" t="str">
        <f t="shared" si="79"/>
        <v>(1989,41,'1989.10.14',23,24,31,49,64,0),</v>
      </c>
      <c r="R1703" s="7" t="str">
        <f t="shared" si="81"/>
        <v>(1989,41,'1989.10.14',23,24,31,49,64),</v>
      </c>
    </row>
    <row r="1704" spans="1:18" x14ac:dyDescent="0.25">
      <c r="A1704" s="7" t="s">
        <v>5849</v>
      </c>
      <c r="B1704" s="8" t="s">
        <v>98</v>
      </c>
      <c r="C1704" s="10">
        <f t="shared" si="80"/>
        <v>32802</v>
      </c>
      <c r="D1704" t="s">
        <v>11</v>
      </c>
      <c r="E1704" t="s">
        <v>12</v>
      </c>
      <c r="F1704" t="s">
        <v>11</v>
      </c>
      <c r="G1704" t="s">
        <v>12</v>
      </c>
      <c r="H1704" t="s">
        <v>11</v>
      </c>
      <c r="I1704" t="s">
        <v>12</v>
      </c>
      <c r="J1704" t="s">
        <v>11</v>
      </c>
      <c r="K1704" t="s">
        <v>12</v>
      </c>
      <c r="L1704" s="12" t="s">
        <v>107</v>
      </c>
      <c r="M1704" s="12" t="s">
        <v>64</v>
      </c>
      <c r="N1704" s="12" t="s">
        <v>10</v>
      </c>
      <c r="O1704" s="12" t="s">
        <v>106</v>
      </c>
      <c r="P1704" s="12" t="s">
        <v>622</v>
      </c>
      <c r="Q1704" s="7" t="str">
        <f t="shared" si="79"/>
        <v>(1989,42,'1989.10.21',30,35,40,75,82,0),</v>
      </c>
      <c r="R1704" s="7" t="str">
        <f t="shared" si="81"/>
        <v>(1989,42,'1989.10.21',30,35,40,75,82),</v>
      </c>
    </row>
    <row r="1705" spans="1:18" x14ac:dyDescent="0.25">
      <c r="A1705" s="7" t="s">
        <v>5849</v>
      </c>
      <c r="B1705" s="8" t="s">
        <v>45</v>
      </c>
      <c r="C1705" s="10">
        <f t="shared" si="80"/>
        <v>32809</v>
      </c>
      <c r="D1705" t="s">
        <v>11</v>
      </c>
      <c r="E1705" t="s">
        <v>12</v>
      </c>
      <c r="F1705" t="s">
        <v>11</v>
      </c>
      <c r="G1705" t="s">
        <v>12</v>
      </c>
      <c r="H1705" t="s">
        <v>11</v>
      </c>
      <c r="I1705" t="s">
        <v>12</v>
      </c>
      <c r="J1705" t="s">
        <v>11</v>
      </c>
      <c r="K1705" t="s">
        <v>12</v>
      </c>
      <c r="L1705" s="12" t="s">
        <v>127</v>
      </c>
      <c r="M1705" s="12" t="s">
        <v>33</v>
      </c>
      <c r="N1705" s="12" t="s">
        <v>74</v>
      </c>
      <c r="O1705" s="12" t="s">
        <v>46</v>
      </c>
      <c r="P1705" s="12" t="s">
        <v>125</v>
      </c>
      <c r="Q1705" s="7" t="str">
        <f t="shared" si="79"/>
        <v>(1989,43,'1989.10.28',14,24,26,37,83,0),</v>
      </c>
      <c r="R1705" s="7" t="str">
        <f t="shared" si="81"/>
        <v>(1989,43,'1989.10.28',14,24,26,37,83),</v>
      </c>
    </row>
    <row r="1706" spans="1:18" x14ac:dyDescent="0.25">
      <c r="A1706" s="7" t="s">
        <v>5849</v>
      </c>
      <c r="B1706" s="8" t="s">
        <v>142</v>
      </c>
      <c r="C1706" s="10">
        <f t="shared" si="80"/>
        <v>32816</v>
      </c>
      <c r="D1706" t="s">
        <v>11</v>
      </c>
      <c r="E1706" t="s">
        <v>12</v>
      </c>
      <c r="F1706" t="s">
        <v>11</v>
      </c>
      <c r="G1706" t="s">
        <v>12</v>
      </c>
      <c r="H1706" t="s">
        <v>11</v>
      </c>
      <c r="I1706" t="s">
        <v>12</v>
      </c>
      <c r="J1706" t="s">
        <v>11</v>
      </c>
      <c r="K1706" t="s">
        <v>12</v>
      </c>
      <c r="L1706" s="12" t="s">
        <v>207</v>
      </c>
      <c r="M1706" s="12" t="s">
        <v>135</v>
      </c>
      <c r="N1706" s="12" t="s">
        <v>80</v>
      </c>
      <c r="O1706" s="12" t="s">
        <v>175</v>
      </c>
      <c r="P1706" s="12" t="s">
        <v>308</v>
      </c>
      <c r="Q1706" s="7" t="str">
        <f t="shared" si="79"/>
        <v>(1989,44,'1989.11.04',2,27,32,55,86,0),</v>
      </c>
      <c r="R1706" s="7" t="str">
        <f t="shared" si="81"/>
        <v>(1989,44,'1989.11.04',2,27,32,55,86),</v>
      </c>
    </row>
    <row r="1707" spans="1:18" x14ac:dyDescent="0.25">
      <c r="A1707" s="7" t="s">
        <v>5849</v>
      </c>
      <c r="B1707" s="8" t="s">
        <v>133</v>
      </c>
      <c r="C1707" s="10">
        <f t="shared" si="80"/>
        <v>32823</v>
      </c>
      <c r="D1707" t="s">
        <v>11</v>
      </c>
      <c r="E1707" t="s">
        <v>12</v>
      </c>
      <c r="F1707" t="s">
        <v>11</v>
      </c>
      <c r="G1707" t="s">
        <v>12</v>
      </c>
      <c r="H1707" t="s">
        <v>11</v>
      </c>
      <c r="I1707" t="s">
        <v>12</v>
      </c>
      <c r="J1707" t="s">
        <v>11</v>
      </c>
      <c r="K1707" t="s">
        <v>12</v>
      </c>
      <c r="L1707" s="12" t="s">
        <v>135</v>
      </c>
      <c r="M1707" s="12" t="s">
        <v>107</v>
      </c>
      <c r="N1707" s="12" t="s">
        <v>13</v>
      </c>
      <c r="O1707" s="12" t="s">
        <v>99</v>
      </c>
      <c r="P1707" s="12" t="s">
        <v>301</v>
      </c>
      <c r="Q1707" s="7" t="str">
        <f t="shared" si="79"/>
        <v>(1989,45,'1989.11.11',27,30,41,52,80,0),</v>
      </c>
      <c r="R1707" s="7" t="str">
        <f t="shared" si="81"/>
        <v>(1989,45,'1989.11.11',27,30,41,52,80),</v>
      </c>
    </row>
    <row r="1708" spans="1:18" x14ac:dyDescent="0.25">
      <c r="A1708" s="7" t="s">
        <v>5849</v>
      </c>
      <c r="B1708" s="8" t="s">
        <v>192</v>
      </c>
      <c r="C1708" s="10">
        <f t="shared" si="80"/>
        <v>32830</v>
      </c>
      <c r="D1708" t="s">
        <v>11</v>
      </c>
      <c r="E1708" t="s">
        <v>12</v>
      </c>
      <c r="F1708" t="s">
        <v>11</v>
      </c>
      <c r="G1708" t="s">
        <v>12</v>
      </c>
      <c r="H1708" t="s">
        <v>11</v>
      </c>
      <c r="I1708" t="s">
        <v>12</v>
      </c>
      <c r="J1708" t="s">
        <v>11</v>
      </c>
      <c r="K1708" t="s">
        <v>12</v>
      </c>
      <c r="L1708" s="12" t="s">
        <v>107</v>
      </c>
      <c r="M1708" s="12" t="s">
        <v>71</v>
      </c>
      <c r="N1708" s="12" t="s">
        <v>81</v>
      </c>
      <c r="O1708" s="12" t="s">
        <v>122</v>
      </c>
      <c r="P1708" s="12" t="s">
        <v>99</v>
      </c>
      <c r="Q1708" s="7" t="str">
        <f t="shared" si="79"/>
        <v>(1989,46,'1989.11.18',30,31,47,51,52,0),</v>
      </c>
      <c r="R1708" s="7" t="str">
        <f t="shared" si="81"/>
        <v>(1989,46,'1989.11.18',30,31,47,51,52),</v>
      </c>
    </row>
    <row r="1709" spans="1:18" x14ac:dyDescent="0.25">
      <c r="A1709" s="7" t="s">
        <v>5849</v>
      </c>
      <c r="B1709" s="8" t="s">
        <v>81</v>
      </c>
      <c r="C1709" s="10">
        <f t="shared" si="80"/>
        <v>32837</v>
      </c>
      <c r="D1709" t="s">
        <v>11</v>
      </c>
      <c r="E1709" t="s">
        <v>12</v>
      </c>
      <c r="F1709" t="s">
        <v>11</v>
      </c>
      <c r="G1709" t="s">
        <v>12</v>
      </c>
      <c r="H1709" t="s">
        <v>11</v>
      </c>
      <c r="I1709" t="s">
        <v>12</v>
      </c>
      <c r="J1709" t="s">
        <v>11</v>
      </c>
      <c r="K1709" t="s">
        <v>12</v>
      </c>
      <c r="L1709" s="12" t="s">
        <v>108</v>
      </c>
      <c r="M1709" s="12" t="s">
        <v>36</v>
      </c>
      <c r="N1709" s="12" t="s">
        <v>175</v>
      </c>
      <c r="O1709" s="12" t="s">
        <v>239</v>
      </c>
      <c r="P1709" s="12" t="s">
        <v>245</v>
      </c>
      <c r="Q1709" s="7" t="str">
        <f t="shared" si="79"/>
        <v>(1989,47,'1989.11.25',1,38,55,73,74,0),</v>
      </c>
      <c r="R1709" s="7" t="str">
        <f t="shared" si="81"/>
        <v>(1989,47,'1989.11.25',1,38,55,73,74),</v>
      </c>
    </row>
    <row r="1710" spans="1:18" x14ac:dyDescent="0.25">
      <c r="A1710" s="7" t="s">
        <v>5849</v>
      </c>
      <c r="B1710" s="8" t="s">
        <v>22</v>
      </c>
      <c r="C1710" s="10">
        <f t="shared" si="80"/>
        <v>32844</v>
      </c>
      <c r="D1710" t="s">
        <v>11</v>
      </c>
      <c r="E1710" t="s">
        <v>12</v>
      </c>
      <c r="F1710" t="s">
        <v>11</v>
      </c>
      <c r="G1710" t="s">
        <v>12</v>
      </c>
      <c r="H1710" t="s">
        <v>11</v>
      </c>
      <c r="I1710" t="s">
        <v>12</v>
      </c>
      <c r="J1710" t="s">
        <v>11</v>
      </c>
      <c r="K1710" t="s">
        <v>12</v>
      </c>
      <c r="L1710" s="12" t="s">
        <v>42</v>
      </c>
      <c r="M1710" s="12" t="s">
        <v>80</v>
      </c>
      <c r="N1710" s="12" t="s">
        <v>20</v>
      </c>
      <c r="O1710" s="12" t="s">
        <v>36</v>
      </c>
      <c r="P1710" s="12" t="s">
        <v>34</v>
      </c>
      <c r="Q1710" s="7" t="str">
        <f t="shared" si="79"/>
        <v>(1989,48,'1989.12.02',3,32,33,38,49,0),</v>
      </c>
      <c r="R1710" s="7" t="str">
        <f t="shared" si="81"/>
        <v>(1989,48,'1989.12.02',3,32,33,38,49),</v>
      </c>
    </row>
    <row r="1711" spans="1:18" x14ac:dyDescent="0.25">
      <c r="A1711" s="7" t="s">
        <v>5849</v>
      </c>
      <c r="B1711" s="8" t="s">
        <v>34</v>
      </c>
      <c r="C1711" s="10">
        <f t="shared" si="80"/>
        <v>32851</v>
      </c>
      <c r="D1711" t="s">
        <v>11</v>
      </c>
      <c r="E1711" t="s">
        <v>12</v>
      </c>
      <c r="F1711" t="s">
        <v>11</v>
      </c>
      <c r="G1711" t="s">
        <v>12</v>
      </c>
      <c r="H1711" t="s">
        <v>11</v>
      </c>
      <c r="I1711" t="s">
        <v>12</v>
      </c>
      <c r="J1711" t="s">
        <v>11</v>
      </c>
      <c r="K1711" t="s">
        <v>12</v>
      </c>
      <c r="L1711" s="12" t="s">
        <v>71</v>
      </c>
      <c r="M1711" s="12" t="s">
        <v>46</v>
      </c>
      <c r="N1711" s="12" t="s">
        <v>214</v>
      </c>
      <c r="O1711" s="12" t="s">
        <v>200</v>
      </c>
      <c r="P1711" s="12" t="s">
        <v>63</v>
      </c>
      <c r="Q1711" s="7" t="str">
        <f t="shared" si="79"/>
        <v>(1989,49,'1989.12.09',31,37,64,70,78,0),</v>
      </c>
      <c r="R1711" s="7" t="str">
        <f t="shared" si="81"/>
        <v>(1989,49,'1989.12.09',31,37,64,70,78),</v>
      </c>
    </row>
    <row r="1712" spans="1:18" x14ac:dyDescent="0.25">
      <c r="A1712" s="7" t="s">
        <v>5849</v>
      </c>
      <c r="B1712" s="8" t="s">
        <v>105</v>
      </c>
      <c r="C1712" s="10">
        <f t="shared" si="80"/>
        <v>32858</v>
      </c>
      <c r="D1712" t="s">
        <v>11</v>
      </c>
      <c r="E1712" t="s">
        <v>12</v>
      </c>
      <c r="F1712" t="s">
        <v>11</v>
      </c>
      <c r="G1712" t="s">
        <v>12</v>
      </c>
      <c r="H1712" t="s">
        <v>11</v>
      </c>
      <c r="I1712" t="s">
        <v>12</v>
      </c>
      <c r="J1712" t="s">
        <v>11</v>
      </c>
      <c r="K1712" t="s">
        <v>12</v>
      </c>
      <c r="L1712" s="12" t="s">
        <v>107</v>
      </c>
      <c r="M1712" s="12" t="s">
        <v>133</v>
      </c>
      <c r="N1712" s="12" t="s">
        <v>233</v>
      </c>
      <c r="O1712" s="12" t="s">
        <v>151</v>
      </c>
      <c r="P1712" s="12" t="s">
        <v>301</v>
      </c>
      <c r="Q1712" s="7" t="str">
        <f t="shared" si="79"/>
        <v>(1989,50,'1989.12.16',30,45,66,79,80,0),</v>
      </c>
      <c r="R1712" s="7" t="str">
        <f t="shared" si="81"/>
        <v>(1989,50,'1989.12.16',30,45,66,79,80),</v>
      </c>
    </row>
    <row r="1713" spans="1:18" x14ac:dyDescent="0.25">
      <c r="A1713" s="7" t="s">
        <v>5849</v>
      </c>
      <c r="B1713" s="8" t="s">
        <v>122</v>
      </c>
      <c r="C1713" s="10">
        <f t="shared" si="80"/>
        <v>32865</v>
      </c>
      <c r="D1713" t="s">
        <v>11</v>
      </c>
      <c r="E1713" t="s">
        <v>12</v>
      </c>
      <c r="F1713" t="s">
        <v>11</v>
      </c>
      <c r="G1713" t="s">
        <v>12</v>
      </c>
      <c r="H1713" t="s">
        <v>11</v>
      </c>
      <c r="I1713" t="s">
        <v>12</v>
      </c>
      <c r="J1713" t="s">
        <v>11</v>
      </c>
      <c r="K1713" t="s">
        <v>12</v>
      </c>
      <c r="L1713" s="12" t="s">
        <v>31</v>
      </c>
      <c r="M1713" s="12" t="s">
        <v>25</v>
      </c>
      <c r="N1713" s="12" t="s">
        <v>192</v>
      </c>
      <c r="O1713" s="12" t="s">
        <v>214</v>
      </c>
      <c r="P1713" s="12" t="s">
        <v>622</v>
      </c>
      <c r="Q1713" s="7" t="str">
        <f t="shared" si="79"/>
        <v>(1989,51,'1989.12.23',12,34,46,64,82,0),</v>
      </c>
      <c r="R1713" s="7" t="str">
        <f t="shared" si="81"/>
        <v>(1989,51,'1989.12.23',12,34,46,64,82),</v>
      </c>
    </row>
    <row r="1714" spans="1:18" x14ac:dyDescent="0.25">
      <c r="A1714" s="7" t="s">
        <v>5849</v>
      </c>
      <c r="B1714" s="8" t="s">
        <v>99</v>
      </c>
      <c r="C1714" s="10">
        <f t="shared" si="80"/>
        <v>32872</v>
      </c>
      <c r="D1714" t="s">
        <v>11</v>
      </c>
      <c r="E1714" t="s">
        <v>12</v>
      </c>
      <c r="F1714" t="s">
        <v>11</v>
      </c>
      <c r="G1714" t="s">
        <v>12</v>
      </c>
      <c r="H1714" t="s">
        <v>11</v>
      </c>
      <c r="I1714" t="s">
        <v>12</v>
      </c>
      <c r="J1714" t="s">
        <v>11</v>
      </c>
      <c r="K1714" t="s">
        <v>12</v>
      </c>
      <c r="L1714" s="12" t="s">
        <v>108</v>
      </c>
      <c r="M1714" s="12" t="s">
        <v>98</v>
      </c>
      <c r="N1714" s="12" t="s">
        <v>34</v>
      </c>
      <c r="O1714" s="12" t="s">
        <v>124</v>
      </c>
      <c r="P1714" s="12" t="s">
        <v>245</v>
      </c>
      <c r="Q1714" s="7" t="str">
        <f t="shared" si="79"/>
        <v>(1989,52,'1989.12.30',1,42,49,62,74,0),</v>
      </c>
      <c r="R1714" s="7" t="str">
        <f t="shared" si="81"/>
        <v>(1989,52,'1989.12.30',1,42,49,62,74),</v>
      </c>
    </row>
    <row r="1715" spans="1:18" x14ac:dyDescent="0.25">
      <c r="A1715" s="7" t="s">
        <v>411</v>
      </c>
      <c r="B1715" s="8" t="s">
        <v>108</v>
      </c>
      <c r="C1715" s="10">
        <f t="shared" si="80"/>
        <v>32879</v>
      </c>
      <c r="D1715" t="s">
        <v>11</v>
      </c>
      <c r="E1715" t="s">
        <v>12</v>
      </c>
      <c r="F1715" t="s">
        <v>11</v>
      </c>
      <c r="G1715" t="s">
        <v>12</v>
      </c>
      <c r="H1715" t="s">
        <v>11</v>
      </c>
      <c r="I1715" t="s">
        <v>12</v>
      </c>
      <c r="J1715" t="s">
        <v>11</v>
      </c>
      <c r="K1715" t="s">
        <v>12</v>
      </c>
      <c r="L1715" s="12" t="s">
        <v>152</v>
      </c>
      <c r="M1715" s="12" t="s">
        <v>107</v>
      </c>
      <c r="N1715" s="12" t="s">
        <v>36</v>
      </c>
      <c r="O1715" s="12" t="s">
        <v>134</v>
      </c>
      <c r="P1715" s="12" t="s">
        <v>151</v>
      </c>
      <c r="Q1715" s="7" t="str">
        <f t="shared" si="79"/>
        <v>(1990,1,'1990.01.06',25,30,38,56,79,0),</v>
      </c>
      <c r="R1715" s="7" t="str">
        <f t="shared" si="81"/>
        <v>(1990,1,'1990.01.06',25,30,38,56,79),</v>
      </c>
    </row>
    <row r="1716" spans="1:18" x14ac:dyDescent="0.25">
      <c r="A1716" s="7" t="s">
        <v>411</v>
      </c>
      <c r="B1716" s="8" t="s">
        <v>207</v>
      </c>
      <c r="C1716" s="10">
        <f t="shared" si="80"/>
        <v>32886</v>
      </c>
      <c r="D1716" t="s">
        <v>11</v>
      </c>
      <c r="E1716" t="s">
        <v>12</v>
      </c>
      <c r="F1716" t="s">
        <v>11</v>
      </c>
      <c r="G1716" t="s">
        <v>12</v>
      </c>
      <c r="H1716" t="s">
        <v>11</v>
      </c>
      <c r="I1716" t="s">
        <v>12</v>
      </c>
      <c r="J1716" t="s">
        <v>11</v>
      </c>
      <c r="K1716" t="s">
        <v>12</v>
      </c>
      <c r="L1716" s="12" t="s">
        <v>108</v>
      </c>
      <c r="M1716" s="12" t="s">
        <v>53</v>
      </c>
      <c r="N1716" s="12" t="s">
        <v>80</v>
      </c>
      <c r="O1716" s="12" t="s">
        <v>73</v>
      </c>
      <c r="P1716" s="12" t="s">
        <v>246</v>
      </c>
      <c r="Q1716" s="7" t="str">
        <f t="shared" si="79"/>
        <v>(1990,2,'1990.01.13',1,7,32,76,84,0),</v>
      </c>
      <c r="R1716" s="7" t="str">
        <f t="shared" si="81"/>
        <v>(1990,2,'1990.01.13',1,7,32,76,84),</v>
      </c>
    </row>
    <row r="1717" spans="1:18" x14ac:dyDescent="0.25">
      <c r="A1717" s="7" t="s">
        <v>411</v>
      </c>
      <c r="B1717" s="8" t="s">
        <v>42</v>
      </c>
      <c r="C1717" s="10">
        <f t="shared" si="80"/>
        <v>32893</v>
      </c>
      <c r="D1717" t="s">
        <v>11</v>
      </c>
      <c r="E1717" t="s">
        <v>12</v>
      </c>
      <c r="F1717" t="s">
        <v>11</v>
      </c>
      <c r="G1717" t="s">
        <v>12</v>
      </c>
      <c r="H1717" t="s">
        <v>11</v>
      </c>
      <c r="I1717" t="s">
        <v>12</v>
      </c>
      <c r="J1717" t="s">
        <v>11</v>
      </c>
      <c r="K1717" t="s">
        <v>12</v>
      </c>
      <c r="L1717" s="12" t="s">
        <v>64</v>
      </c>
      <c r="M1717" s="12" t="s">
        <v>81</v>
      </c>
      <c r="N1717" s="12" t="s">
        <v>34</v>
      </c>
      <c r="O1717" s="12" t="s">
        <v>214</v>
      </c>
      <c r="P1717" s="12" t="s">
        <v>233</v>
      </c>
      <c r="Q1717" s="7" t="str">
        <f t="shared" si="79"/>
        <v>(1990,3,'1990.01.20',35,47,49,64,66,0),</v>
      </c>
      <c r="R1717" s="7" t="str">
        <f t="shared" si="81"/>
        <v>(1990,3,'1990.01.20',35,47,49,64,66),</v>
      </c>
    </row>
    <row r="1718" spans="1:18" x14ac:dyDescent="0.25">
      <c r="A1718" s="7" t="s">
        <v>411</v>
      </c>
      <c r="B1718" s="8" t="s">
        <v>168</v>
      </c>
      <c r="C1718" s="10">
        <f t="shared" si="80"/>
        <v>32900</v>
      </c>
      <c r="D1718" t="s">
        <v>11</v>
      </c>
      <c r="E1718" t="s">
        <v>12</v>
      </c>
      <c r="F1718" t="s">
        <v>11</v>
      </c>
      <c r="G1718" t="s">
        <v>12</v>
      </c>
      <c r="H1718" t="s">
        <v>11</v>
      </c>
      <c r="I1718" t="s">
        <v>12</v>
      </c>
      <c r="J1718" t="s">
        <v>11</v>
      </c>
      <c r="K1718" t="s">
        <v>12</v>
      </c>
      <c r="L1718" s="12" t="s">
        <v>44</v>
      </c>
      <c r="M1718" s="12" t="s">
        <v>24</v>
      </c>
      <c r="N1718" s="12" t="s">
        <v>134</v>
      </c>
      <c r="O1718" s="12" t="s">
        <v>169</v>
      </c>
      <c r="P1718" s="12" t="s">
        <v>308</v>
      </c>
      <c r="Q1718" s="7" t="str">
        <f t="shared" si="79"/>
        <v>(1990,4,'1990.01.27',21,39,56,58,86,0),</v>
      </c>
      <c r="R1718" s="7" t="str">
        <f t="shared" si="81"/>
        <v>(1990,4,'1990.01.27',21,39,56,58,86),</v>
      </c>
    </row>
    <row r="1719" spans="1:18" x14ac:dyDescent="0.25">
      <c r="A1719" s="7" t="s">
        <v>411</v>
      </c>
      <c r="B1719" s="8" t="s">
        <v>89</v>
      </c>
      <c r="C1719" s="10">
        <f t="shared" si="80"/>
        <v>32907</v>
      </c>
      <c r="D1719" t="s">
        <v>11</v>
      </c>
      <c r="E1719" t="s">
        <v>12</v>
      </c>
      <c r="F1719" t="s">
        <v>11</v>
      </c>
      <c r="G1719" t="s">
        <v>12</v>
      </c>
      <c r="H1719" t="s">
        <v>11</v>
      </c>
      <c r="I1719" t="s">
        <v>12</v>
      </c>
      <c r="J1719" t="s">
        <v>11</v>
      </c>
      <c r="K1719" t="s">
        <v>12</v>
      </c>
      <c r="L1719" s="12" t="s">
        <v>80</v>
      </c>
      <c r="M1719" s="12" t="s">
        <v>81</v>
      </c>
      <c r="N1719" s="12" t="s">
        <v>150</v>
      </c>
      <c r="O1719" s="12" t="s">
        <v>233</v>
      </c>
      <c r="P1719" s="12" t="s">
        <v>622</v>
      </c>
      <c r="Q1719" s="7" t="str">
        <f t="shared" si="79"/>
        <v>(1990,5,'1990.02.03',32,47,57,66,82,0),</v>
      </c>
      <c r="R1719" s="7" t="str">
        <f t="shared" si="81"/>
        <v>(1990,5,'1990.02.03',32,47,57,66,82),</v>
      </c>
    </row>
    <row r="1720" spans="1:18" x14ac:dyDescent="0.25">
      <c r="A1720" s="7" t="s">
        <v>411</v>
      </c>
      <c r="B1720" s="8" t="s">
        <v>270</v>
      </c>
      <c r="C1720" s="10">
        <f t="shared" si="80"/>
        <v>32914</v>
      </c>
      <c r="D1720" t="s">
        <v>11</v>
      </c>
      <c r="E1720" t="s">
        <v>12</v>
      </c>
      <c r="F1720" t="s">
        <v>11</v>
      </c>
      <c r="G1720" t="s">
        <v>12</v>
      </c>
      <c r="H1720" t="s">
        <v>11</v>
      </c>
      <c r="I1720" t="s">
        <v>12</v>
      </c>
      <c r="J1720" t="s">
        <v>11</v>
      </c>
      <c r="K1720" t="s">
        <v>12</v>
      </c>
      <c r="L1720" s="12" t="s">
        <v>116</v>
      </c>
      <c r="M1720" s="12" t="s">
        <v>10</v>
      </c>
      <c r="N1720" s="12" t="s">
        <v>124</v>
      </c>
      <c r="O1720" s="12" t="s">
        <v>308</v>
      </c>
      <c r="P1720" s="12" t="s">
        <v>186</v>
      </c>
      <c r="Q1720" s="7" t="str">
        <f t="shared" si="79"/>
        <v>(1990,6,'1990.02.10',29,40,62,86,90,0),</v>
      </c>
      <c r="R1720" s="7" t="str">
        <f t="shared" si="81"/>
        <v>(1990,6,'1990.02.10',29,40,62,86,90),</v>
      </c>
    </row>
    <row r="1721" spans="1:18" x14ac:dyDescent="0.25">
      <c r="A1721" s="7" t="s">
        <v>411</v>
      </c>
      <c r="B1721" s="8" t="s">
        <v>53</v>
      </c>
      <c r="C1721" s="10">
        <f t="shared" si="80"/>
        <v>32921</v>
      </c>
      <c r="D1721" t="s">
        <v>11</v>
      </c>
      <c r="E1721" t="s">
        <v>12</v>
      </c>
      <c r="F1721" t="s">
        <v>11</v>
      </c>
      <c r="G1721" t="s">
        <v>12</v>
      </c>
      <c r="H1721" t="s">
        <v>11</v>
      </c>
      <c r="I1721" t="s">
        <v>12</v>
      </c>
      <c r="J1721" t="s">
        <v>11</v>
      </c>
      <c r="K1721" t="s">
        <v>12</v>
      </c>
      <c r="L1721" s="12" t="s">
        <v>54</v>
      </c>
      <c r="M1721" s="12" t="s">
        <v>134</v>
      </c>
      <c r="N1721" s="12" t="s">
        <v>63</v>
      </c>
      <c r="O1721" s="12" t="s">
        <v>622</v>
      </c>
      <c r="P1721" s="12" t="s">
        <v>208</v>
      </c>
      <c r="Q1721" s="7" t="str">
        <f t="shared" si="79"/>
        <v>(1990,7,'1990.02.17',15,56,78,82,88,0),</v>
      </c>
      <c r="R1721" s="7" t="str">
        <f t="shared" si="81"/>
        <v>(1990,7,'1990.02.17',15,56,78,82,88),</v>
      </c>
    </row>
    <row r="1722" spans="1:18" x14ac:dyDescent="0.25">
      <c r="A1722" s="7" t="s">
        <v>411</v>
      </c>
      <c r="B1722" s="8" t="s">
        <v>232</v>
      </c>
      <c r="C1722" s="10">
        <f t="shared" si="80"/>
        <v>32928</v>
      </c>
      <c r="D1722" t="s">
        <v>11</v>
      </c>
      <c r="E1722" t="s">
        <v>12</v>
      </c>
      <c r="F1722" t="s">
        <v>11</v>
      </c>
      <c r="G1722" t="s">
        <v>12</v>
      </c>
      <c r="H1722" t="s">
        <v>11</v>
      </c>
      <c r="I1722" t="s">
        <v>12</v>
      </c>
      <c r="J1722" t="s">
        <v>11</v>
      </c>
      <c r="K1722" t="s">
        <v>12</v>
      </c>
      <c r="L1722" s="12" t="s">
        <v>65</v>
      </c>
      <c r="M1722" s="12" t="s">
        <v>22</v>
      </c>
      <c r="N1722" s="12" t="s">
        <v>123</v>
      </c>
      <c r="O1722" s="12" t="s">
        <v>150</v>
      </c>
      <c r="P1722" s="12" t="s">
        <v>200</v>
      </c>
      <c r="Q1722" s="7" t="str">
        <f t="shared" si="79"/>
        <v>(1990,8,'1990.02.24',13,48,54,57,70,0),</v>
      </c>
      <c r="R1722" s="7" t="str">
        <f t="shared" si="81"/>
        <v>(1990,8,'1990.02.24',13,48,54,57,70),</v>
      </c>
    </row>
    <row r="1723" spans="1:18" x14ac:dyDescent="0.25">
      <c r="A1723" s="7" t="s">
        <v>411</v>
      </c>
      <c r="B1723" s="8" t="s">
        <v>198</v>
      </c>
      <c r="C1723" s="10">
        <f t="shared" si="80"/>
        <v>32935</v>
      </c>
      <c r="D1723" t="s">
        <v>11</v>
      </c>
      <c r="E1723" t="s">
        <v>12</v>
      </c>
      <c r="F1723" t="s">
        <v>11</v>
      </c>
      <c r="G1723" t="s">
        <v>12</v>
      </c>
      <c r="H1723" t="s">
        <v>11</v>
      </c>
      <c r="I1723" t="s">
        <v>12</v>
      </c>
      <c r="J1723" t="s">
        <v>11</v>
      </c>
      <c r="K1723" t="s">
        <v>12</v>
      </c>
      <c r="L1723" s="12" t="s">
        <v>13</v>
      </c>
      <c r="M1723" s="12" t="s">
        <v>98</v>
      </c>
      <c r="N1723" s="12" t="s">
        <v>142</v>
      </c>
      <c r="O1723" s="12" t="s">
        <v>122</v>
      </c>
      <c r="P1723" s="12" t="s">
        <v>214</v>
      </c>
      <c r="Q1723" s="7" t="str">
        <f t="shared" si="79"/>
        <v>(1990,9,'1990.03.03',41,42,44,51,64,0),</v>
      </c>
      <c r="R1723" s="7" t="str">
        <f t="shared" si="81"/>
        <v>(1990,9,'1990.03.03',41,42,44,51,64),</v>
      </c>
    </row>
    <row r="1724" spans="1:18" x14ac:dyDescent="0.25">
      <c r="A1724" s="7" t="s">
        <v>411</v>
      </c>
      <c r="B1724" s="8" t="s">
        <v>62</v>
      </c>
      <c r="C1724" s="10">
        <f t="shared" si="80"/>
        <v>32942</v>
      </c>
      <c r="D1724" t="s">
        <v>11</v>
      </c>
      <c r="E1724" t="s">
        <v>12</v>
      </c>
      <c r="F1724" t="s">
        <v>11</v>
      </c>
      <c r="G1724" t="s">
        <v>12</v>
      </c>
      <c r="H1724" t="s">
        <v>11</v>
      </c>
      <c r="I1724" t="s">
        <v>12</v>
      </c>
      <c r="J1724" t="s">
        <v>11</v>
      </c>
      <c r="K1724" t="s">
        <v>12</v>
      </c>
      <c r="L1724" s="12" t="s">
        <v>53</v>
      </c>
      <c r="M1724" s="12" t="s">
        <v>19</v>
      </c>
      <c r="N1724" s="12" t="s">
        <v>22</v>
      </c>
      <c r="O1724" s="12" t="s">
        <v>82</v>
      </c>
      <c r="P1724" s="12" t="s">
        <v>143</v>
      </c>
      <c r="Q1724" s="7" t="str">
        <f t="shared" si="79"/>
        <v>(1990,10,'1990.03.10',7,18,48,59,77,0),</v>
      </c>
      <c r="R1724" s="7" t="str">
        <f t="shared" si="81"/>
        <v>(1990,10,'1990.03.10',7,18,48,59,77),</v>
      </c>
    </row>
    <row r="1725" spans="1:18" x14ac:dyDescent="0.25">
      <c r="A1725" s="7" t="s">
        <v>411</v>
      </c>
      <c r="B1725" s="8" t="s">
        <v>83</v>
      </c>
      <c r="C1725" s="10">
        <f t="shared" si="80"/>
        <v>32949</v>
      </c>
      <c r="D1725" t="s">
        <v>11</v>
      </c>
      <c r="E1725" t="s">
        <v>12</v>
      </c>
      <c r="F1725" t="s">
        <v>11</v>
      </c>
      <c r="G1725" t="s">
        <v>12</v>
      </c>
      <c r="H1725" t="s">
        <v>11</v>
      </c>
      <c r="I1725" t="s">
        <v>12</v>
      </c>
      <c r="J1725" t="s">
        <v>11</v>
      </c>
      <c r="K1725" t="s">
        <v>12</v>
      </c>
      <c r="L1725" s="12" t="s">
        <v>62</v>
      </c>
      <c r="M1725" s="12" t="s">
        <v>83</v>
      </c>
      <c r="N1725" s="12" t="s">
        <v>19</v>
      </c>
      <c r="O1725" s="12" t="s">
        <v>32</v>
      </c>
      <c r="P1725" s="12" t="s">
        <v>468</v>
      </c>
      <c r="Q1725" s="7" t="str">
        <f t="shared" si="79"/>
        <v>(1990,11,'1990.03.17',10,11,18,22,85,0),</v>
      </c>
      <c r="R1725" s="7" t="str">
        <f t="shared" si="81"/>
        <v>(1990,11,'1990.03.17',10,11,18,22,85),</v>
      </c>
    </row>
    <row r="1726" spans="1:18" x14ac:dyDescent="0.25">
      <c r="A1726" s="7" t="s">
        <v>411</v>
      </c>
      <c r="B1726" s="8" t="s">
        <v>31</v>
      </c>
      <c r="C1726" s="10">
        <f t="shared" si="80"/>
        <v>32956</v>
      </c>
      <c r="D1726" t="s">
        <v>11</v>
      </c>
      <c r="E1726" t="s">
        <v>12</v>
      </c>
      <c r="F1726" t="s">
        <v>11</v>
      </c>
      <c r="G1726" t="s">
        <v>12</v>
      </c>
      <c r="H1726" t="s">
        <v>11</v>
      </c>
      <c r="I1726" t="s">
        <v>12</v>
      </c>
      <c r="J1726" t="s">
        <v>11</v>
      </c>
      <c r="K1726" t="s">
        <v>12</v>
      </c>
      <c r="L1726" s="12" t="s">
        <v>54</v>
      </c>
      <c r="M1726" s="12" t="s">
        <v>25</v>
      </c>
      <c r="N1726" s="12" t="s">
        <v>46</v>
      </c>
      <c r="O1726" s="12" t="s">
        <v>105</v>
      </c>
      <c r="P1726" s="12" t="s">
        <v>56</v>
      </c>
      <c r="Q1726" s="7" t="str">
        <f t="shared" si="79"/>
        <v>(1990,12,'1990.03.24',15,34,37,50,71,0),</v>
      </c>
      <c r="R1726" s="7" t="str">
        <f t="shared" si="81"/>
        <v>(1990,12,'1990.03.24',15,34,37,50,71),</v>
      </c>
    </row>
    <row r="1727" spans="1:18" x14ac:dyDescent="0.25">
      <c r="A1727" s="7" t="s">
        <v>411</v>
      </c>
      <c r="B1727" s="8" t="s">
        <v>65</v>
      </c>
      <c r="C1727" s="10">
        <f t="shared" si="80"/>
        <v>32963</v>
      </c>
      <c r="D1727" t="s">
        <v>11</v>
      </c>
      <c r="E1727" t="s">
        <v>12</v>
      </c>
      <c r="F1727" t="s">
        <v>11</v>
      </c>
      <c r="G1727" t="s">
        <v>12</v>
      </c>
      <c r="H1727" t="s">
        <v>11</v>
      </c>
      <c r="I1727" t="s">
        <v>12</v>
      </c>
      <c r="J1727" t="s">
        <v>11</v>
      </c>
      <c r="K1727" t="s">
        <v>12</v>
      </c>
      <c r="L1727" s="12" t="s">
        <v>108</v>
      </c>
      <c r="M1727" s="12" t="s">
        <v>46</v>
      </c>
      <c r="N1727" s="12" t="s">
        <v>45</v>
      </c>
      <c r="O1727" s="12" t="s">
        <v>73</v>
      </c>
      <c r="P1727" s="12" t="s">
        <v>379</v>
      </c>
      <c r="Q1727" s="7" t="str">
        <f t="shared" si="79"/>
        <v>(1990,13,'1990.03.31',1,37,43,76,89,0),</v>
      </c>
      <c r="R1727" s="7" t="str">
        <f t="shared" si="81"/>
        <v>(1990,13,'1990.03.31',1,37,43,76,89),</v>
      </c>
    </row>
    <row r="1728" spans="1:18" x14ac:dyDescent="0.25">
      <c r="A1728" s="7" t="s">
        <v>411</v>
      </c>
      <c r="B1728" s="8" t="s">
        <v>127</v>
      </c>
      <c r="C1728" s="10">
        <f t="shared" si="80"/>
        <v>32970</v>
      </c>
      <c r="D1728" t="s">
        <v>11</v>
      </c>
      <c r="E1728" t="s">
        <v>12</v>
      </c>
      <c r="F1728" t="s">
        <v>11</v>
      </c>
      <c r="G1728" t="s">
        <v>12</v>
      </c>
      <c r="H1728" t="s">
        <v>11</v>
      </c>
      <c r="I1728" t="s">
        <v>12</v>
      </c>
      <c r="J1728" t="s">
        <v>11</v>
      </c>
      <c r="K1728" t="s">
        <v>12</v>
      </c>
      <c r="L1728" s="12" t="s">
        <v>207</v>
      </c>
      <c r="M1728" s="12" t="s">
        <v>150</v>
      </c>
      <c r="N1728" s="12" t="s">
        <v>248</v>
      </c>
      <c r="O1728" s="12" t="s">
        <v>200</v>
      </c>
      <c r="P1728" s="12" t="s">
        <v>379</v>
      </c>
      <c r="Q1728" s="7" t="str">
        <f t="shared" si="79"/>
        <v>(1990,14,'1990.04.07',2,57,63,70,89,0),</v>
      </c>
      <c r="R1728" s="7" t="str">
        <f t="shared" si="81"/>
        <v>(1990,14,'1990.04.07',2,57,63,70,89),</v>
      </c>
    </row>
    <row r="1729" spans="1:18" x14ac:dyDescent="0.25">
      <c r="A1729" s="7" t="s">
        <v>411</v>
      </c>
      <c r="B1729" s="8" t="s">
        <v>54</v>
      </c>
      <c r="C1729" s="10">
        <f t="shared" si="80"/>
        <v>32977</v>
      </c>
      <c r="D1729" t="s">
        <v>11</v>
      </c>
      <c r="E1729" t="s">
        <v>12</v>
      </c>
      <c r="F1729" t="s">
        <v>11</v>
      </c>
      <c r="G1729" t="s">
        <v>12</v>
      </c>
      <c r="H1729" t="s">
        <v>11</v>
      </c>
      <c r="I1729" t="s">
        <v>12</v>
      </c>
      <c r="J1729" t="s">
        <v>11</v>
      </c>
      <c r="K1729" t="s">
        <v>12</v>
      </c>
      <c r="L1729" s="12" t="s">
        <v>168</v>
      </c>
      <c r="M1729" s="12" t="s">
        <v>83</v>
      </c>
      <c r="N1729" s="12" t="s">
        <v>54</v>
      </c>
      <c r="O1729" s="12" t="s">
        <v>214</v>
      </c>
      <c r="P1729" s="12" t="s">
        <v>233</v>
      </c>
      <c r="Q1729" s="7" t="str">
        <f t="shared" si="79"/>
        <v>(1990,15,'1990.04.14',4,11,15,64,66,0),</v>
      </c>
      <c r="R1729" s="7" t="str">
        <f t="shared" si="81"/>
        <v>(1990,15,'1990.04.14',4,11,15,64,66),</v>
      </c>
    </row>
    <row r="1730" spans="1:18" x14ac:dyDescent="0.25">
      <c r="A1730" s="7" t="s">
        <v>411</v>
      </c>
      <c r="B1730" s="8" t="s">
        <v>43</v>
      </c>
      <c r="C1730" s="10">
        <f t="shared" si="80"/>
        <v>32984</v>
      </c>
      <c r="D1730" t="s">
        <v>11</v>
      </c>
      <c r="E1730" t="s">
        <v>12</v>
      </c>
      <c r="F1730" t="s">
        <v>11</v>
      </c>
      <c r="G1730" t="s">
        <v>12</v>
      </c>
      <c r="H1730" t="s">
        <v>11</v>
      </c>
      <c r="I1730" t="s">
        <v>12</v>
      </c>
      <c r="J1730" t="s">
        <v>11</v>
      </c>
      <c r="K1730" t="s">
        <v>12</v>
      </c>
      <c r="L1730" s="12" t="s">
        <v>163</v>
      </c>
      <c r="M1730" s="12" t="s">
        <v>21</v>
      </c>
      <c r="N1730" s="12" t="s">
        <v>92</v>
      </c>
      <c r="O1730" s="12" t="s">
        <v>125</v>
      </c>
      <c r="P1730" s="12" t="s">
        <v>269</v>
      </c>
      <c r="Q1730" s="7" t="str">
        <f t="shared" ref="Q1730:Q1793" si="82">"("&amp;A1730&amp;","&amp;B1730&amp;",'"&amp;TEXT(C1730,"éééé.hh.nn")&amp;"',"&amp;L1730&amp;","&amp;M1730&amp;","&amp;N1730&amp;","&amp;O1730&amp;","&amp;P1730&amp;",0)"&amp;IF(P1731&lt;&gt;0,",","")</f>
        <v>(1990,16,'1990.04.21',23,36,68,83,87,0),</v>
      </c>
      <c r="R1730" s="7" t="str">
        <f t="shared" si="81"/>
        <v>(1990,16,'1990.04.21',23,36,68,83,87),</v>
      </c>
    </row>
    <row r="1731" spans="1:18" x14ac:dyDescent="0.25">
      <c r="A1731" s="7" t="s">
        <v>411</v>
      </c>
      <c r="B1731" s="8" t="s">
        <v>90</v>
      </c>
      <c r="C1731" s="10">
        <f t="shared" ref="C1731:C1794" si="83">+C1730+7</f>
        <v>32991</v>
      </c>
      <c r="D1731" t="s">
        <v>11</v>
      </c>
      <c r="E1731" t="s">
        <v>12</v>
      </c>
      <c r="F1731" t="s">
        <v>11</v>
      </c>
      <c r="G1731" t="s">
        <v>12</v>
      </c>
      <c r="H1731" t="s">
        <v>11</v>
      </c>
      <c r="I1731" t="s">
        <v>12</v>
      </c>
      <c r="J1731" t="s">
        <v>11</v>
      </c>
      <c r="K1731" t="s">
        <v>12</v>
      </c>
      <c r="L1731" s="12" t="s">
        <v>232</v>
      </c>
      <c r="M1731" s="12" t="s">
        <v>32</v>
      </c>
      <c r="N1731" s="12" t="s">
        <v>35</v>
      </c>
      <c r="O1731" s="12" t="s">
        <v>233</v>
      </c>
      <c r="P1731" s="12" t="s">
        <v>301</v>
      </c>
      <c r="Q1731" s="7" t="str">
        <f t="shared" si="82"/>
        <v>(1990,17,'1990.04.28',8,22,65,66,80,0),</v>
      </c>
      <c r="R1731" s="7" t="str">
        <f t="shared" ref="R1731:R1794" si="84">IF(TRIM(P1731)="","","("&amp;A1731&amp;","&amp;B1731&amp;",'"&amp;TEXT(C1731,"éééé.hh.nn")&amp;"',"&amp;L1731&amp;","&amp;M1731&amp;","&amp;N1731&amp;","&amp;O1731&amp;","&amp;P1731&amp;")"&amp;IF(P1732=0,";",","))</f>
        <v>(1990,17,'1990.04.28',8,22,65,66,80),</v>
      </c>
    </row>
    <row r="1732" spans="1:18" x14ac:dyDescent="0.25">
      <c r="A1732" s="7" t="s">
        <v>411</v>
      </c>
      <c r="B1732" s="8" t="s">
        <v>19</v>
      </c>
      <c r="C1732" s="10">
        <f t="shared" si="83"/>
        <v>32998</v>
      </c>
      <c r="D1732" t="s">
        <v>11</v>
      </c>
      <c r="E1732" t="s">
        <v>12</v>
      </c>
      <c r="F1732" t="s">
        <v>11</v>
      </c>
      <c r="G1732" t="s">
        <v>12</v>
      </c>
      <c r="H1732" t="s">
        <v>11</v>
      </c>
      <c r="I1732" t="s">
        <v>12</v>
      </c>
      <c r="J1732" t="s">
        <v>11</v>
      </c>
      <c r="K1732" t="s">
        <v>12</v>
      </c>
      <c r="L1732" s="12" t="s">
        <v>74</v>
      </c>
      <c r="M1732" s="12" t="s">
        <v>25</v>
      </c>
      <c r="N1732" s="12" t="s">
        <v>64</v>
      </c>
      <c r="O1732" s="12" t="s">
        <v>143</v>
      </c>
      <c r="P1732" s="12" t="s">
        <v>151</v>
      </c>
      <c r="Q1732" s="7" t="str">
        <f t="shared" si="82"/>
        <v>(1990,18,'1990.05.05',26,34,35,77,79,0),</v>
      </c>
      <c r="R1732" s="7" t="str">
        <f t="shared" si="84"/>
        <v>(1990,18,'1990.05.05',26,34,35,77,79),</v>
      </c>
    </row>
    <row r="1733" spans="1:18" x14ac:dyDescent="0.25">
      <c r="A1733" s="7" t="s">
        <v>411</v>
      </c>
      <c r="B1733" s="8" t="s">
        <v>55</v>
      </c>
      <c r="C1733" s="10">
        <f t="shared" si="83"/>
        <v>33005</v>
      </c>
      <c r="D1733" t="s">
        <v>11</v>
      </c>
      <c r="E1733" t="s">
        <v>12</v>
      </c>
      <c r="F1733" t="s">
        <v>11</v>
      </c>
      <c r="G1733" t="s">
        <v>12</v>
      </c>
      <c r="H1733" t="s">
        <v>11</v>
      </c>
      <c r="I1733" t="s">
        <v>12</v>
      </c>
      <c r="J1733" t="s">
        <v>11</v>
      </c>
      <c r="K1733" t="s">
        <v>12</v>
      </c>
      <c r="L1733" s="12" t="s">
        <v>83</v>
      </c>
      <c r="M1733" s="12" t="s">
        <v>80</v>
      </c>
      <c r="N1733" s="12" t="s">
        <v>10</v>
      </c>
      <c r="O1733" s="12" t="s">
        <v>22</v>
      </c>
      <c r="P1733" s="12" t="s">
        <v>208</v>
      </c>
      <c r="Q1733" s="7" t="str">
        <f t="shared" si="82"/>
        <v>(1990,19,'1990.05.12',11,32,40,48,88,0),</v>
      </c>
      <c r="R1733" s="7" t="str">
        <f t="shared" si="84"/>
        <v>(1990,19,'1990.05.12',11,32,40,48,88),</v>
      </c>
    </row>
    <row r="1734" spans="1:18" x14ac:dyDescent="0.25">
      <c r="A1734" s="7" t="s">
        <v>411</v>
      </c>
      <c r="B1734" s="8" t="s">
        <v>115</v>
      </c>
      <c r="C1734" s="10">
        <f t="shared" si="83"/>
        <v>33012</v>
      </c>
      <c r="D1734" t="s">
        <v>11</v>
      </c>
      <c r="E1734" t="s">
        <v>12</v>
      </c>
      <c r="F1734" t="s">
        <v>11</v>
      </c>
      <c r="G1734" t="s">
        <v>12</v>
      </c>
      <c r="H1734" t="s">
        <v>11</v>
      </c>
      <c r="I1734" t="s">
        <v>12</v>
      </c>
      <c r="J1734" t="s">
        <v>11</v>
      </c>
      <c r="K1734" t="s">
        <v>12</v>
      </c>
      <c r="L1734" s="12" t="s">
        <v>55</v>
      </c>
      <c r="M1734" s="12" t="s">
        <v>22</v>
      </c>
      <c r="N1734" s="12" t="s">
        <v>122</v>
      </c>
      <c r="O1734" s="12" t="s">
        <v>63</v>
      </c>
      <c r="P1734" s="12" t="s">
        <v>308</v>
      </c>
      <c r="Q1734" s="7" t="str">
        <f t="shared" si="82"/>
        <v>(1990,20,'1990.05.19',19,48,51,78,86,0),</v>
      </c>
      <c r="R1734" s="7" t="str">
        <f t="shared" si="84"/>
        <v>(1990,20,'1990.05.19',19,48,51,78,86),</v>
      </c>
    </row>
    <row r="1735" spans="1:18" x14ac:dyDescent="0.25">
      <c r="A1735" s="7" t="s">
        <v>411</v>
      </c>
      <c r="B1735" s="8" t="s">
        <v>44</v>
      </c>
      <c r="C1735" s="10">
        <f t="shared" si="83"/>
        <v>33019</v>
      </c>
      <c r="D1735" t="s">
        <v>11</v>
      </c>
      <c r="E1735" t="s">
        <v>12</v>
      </c>
      <c r="F1735" t="s">
        <v>11</v>
      </c>
      <c r="G1735" t="s">
        <v>12</v>
      </c>
      <c r="H1735" t="s">
        <v>11</v>
      </c>
      <c r="I1735" t="s">
        <v>12</v>
      </c>
      <c r="J1735" t="s">
        <v>11</v>
      </c>
      <c r="K1735" t="s">
        <v>12</v>
      </c>
      <c r="L1735" s="12" t="s">
        <v>198</v>
      </c>
      <c r="M1735" s="12" t="s">
        <v>44</v>
      </c>
      <c r="N1735" s="12" t="s">
        <v>192</v>
      </c>
      <c r="O1735" s="12" t="s">
        <v>150</v>
      </c>
      <c r="P1735" s="12" t="s">
        <v>47</v>
      </c>
      <c r="Q1735" s="7" t="str">
        <f t="shared" si="82"/>
        <v>(1990,21,'1990.05.26',9,21,46,57,69,0),</v>
      </c>
      <c r="R1735" s="7" t="str">
        <f t="shared" si="84"/>
        <v>(1990,21,'1990.05.26',9,21,46,57,69),</v>
      </c>
    </row>
    <row r="1736" spans="1:18" x14ac:dyDescent="0.25">
      <c r="A1736" s="7" t="s">
        <v>411</v>
      </c>
      <c r="B1736" s="8" t="s">
        <v>32</v>
      </c>
      <c r="C1736" s="10">
        <f t="shared" si="83"/>
        <v>33026</v>
      </c>
      <c r="D1736" t="s">
        <v>11</v>
      </c>
      <c r="E1736" t="s">
        <v>12</v>
      </c>
      <c r="F1736" t="s">
        <v>11</v>
      </c>
      <c r="G1736" t="s">
        <v>12</v>
      </c>
      <c r="H1736" t="s">
        <v>11</v>
      </c>
      <c r="I1736" t="s">
        <v>12</v>
      </c>
      <c r="J1736" t="s">
        <v>11</v>
      </c>
      <c r="K1736" t="s">
        <v>12</v>
      </c>
      <c r="L1736" s="12" t="s">
        <v>127</v>
      </c>
      <c r="M1736" s="12" t="s">
        <v>71</v>
      </c>
      <c r="N1736" s="12" t="s">
        <v>150</v>
      </c>
      <c r="O1736" s="12" t="s">
        <v>47</v>
      </c>
      <c r="P1736" s="12" t="s">
        <v>468</v>
      </c>
      <c r="Q1736" s="7" t="str">
        <f t="shared" si="82"/>
        <v>(1990,22,'1990.06.02',14,31,57,69,85,0),</v>
      </c>
      <c r="R1736" s="7" t="str">
        <f t="shared" si="84"/>
        <v>(1990,22,'1990.06.02',14,31,57,69,85),</v>
      </c>
    </row>
    <row r="1737" spans="1:18" x14ac:dyDescent="0.25">
      <c r="A1737" s="7" t="s">
        <v>411</v>
      </c>
      <c r="B1737" s="8" t="s">
        <v>163</v>
      </c>
      <c r="C1737" s="10">
        <f t="shared" si="83"/>
        <v>33033</v>
      </c>
      <c r="D1737" t="s">
        <v>11</v>
      </c>
      <c r="E1737" t="s">
        <v>12</v>
      </c>
      <c r="F1737" t="s">
        <v>11</v>
      </c>
      <c r="G1737" t="s">
        <v>12</v>
      </c>
      <c r="H1737" t="s">
        <v>11</v>
      </c>
      <c r="I1737" t="s">
        <v>12</v>
      </c>
      <c r="J1737" t="s">
        <v>11</v>
      </c>
      <c r="K1737" t="s">
        <v>12</v>
      </c>
      <c r="L1737" s="12" t="s">
        <v>54</v>
      </c>
      <c r="M1737" s="12" t="s">
        <v>46</v>
      </c>
      <c r="N1737" s="12" t="s">
        <v>35</v>
      </c>
      <c r="O1737" s="12" t="s">
        <v>151</v>
      </c>
      <c r="P1737" s="12" t="s">
        <v>269</v>
      </c>
      <c r="Q1737" s="7" t="str">
        <f t="shared" si="82"/>
        <v>(1990,23,'1990.06.09',15,37,65,79,87,0),</v>
      </c>
      <c r="R1737" s="7" t="str">
        <f t="shared" si="84"/>
        <v>(1990,23,'1990.06.09',15,37,65,79,87),</v>
      </c>
    </row>
    <row r="1738" spans="1:18" x14ac:dyDescent="0.25">
      <c r="A1738" s="7" t="s">
        <v>411</v>
      </c>
      <c r="B1738" s="8" t="s">
        <v>33</v>
      </c>
      <c r="C1738" s="10">
        <f t="shared" si="83"/>
        <v>33040</v>
      </c>
      <c r="D1738" t="s">
        <v>11</v>
      </c>
      <c r="E1738" t="s">
        <v>12</v>
      </c>
      <c r="F1738" t="s">
        <v>11</v>
      </c>
      <c r="G1738" t="s">
        <v>12</v>
      </c>
      <c r="H1738" t="s">
        <v>11</v>
      </c>
      <c r="I1738" t="s">
        <v>12</v>
      </c>
      <c r="J1738" t="s">
        <v>11</v>
      </c>
      <c r="K1738" t="s">
        <v>12</v>
      </c>
      <c r="L1738" s="12" t="s">
        <v>53</v>
      </c>
      <c r="M1738" s="12" t="s">
        <v>163</v>
      </c>
      <c r="N1738" s="12" t="s">
        <v>107</v>
      </c>
      <c r="O1738" s="12" t="s">
        <v>201</v>
      </c>
      <c r="P1738" s="12" t="s">
        <v>106</v>
      </c>
      <c r="Q1738" s="7" t="str">
        <f t="shared" si="82"/>
        <v>(1990,24,'1990.06.16',7,23,30,72,75,0),</v>
      </c>
      <c r="R1738" s="7" t="str">
        <f t="shared" si="84"/>
        <v>(1990,24,'1990.06.16',7,23,30,72,75),</v>
      </c>
    </row>
    <row r="1739" spans="1:18" x14ac:dyDescent="0.25">
      <c r="A1739" s="7" t="s">
        <v>411</v>
      </c>
      <c r="B1739" s="8" t="s">
        <v>152</v>
      </c>
      <c r="C1739" s="10">
        <f t="shared" si="83"/>
        <v>33047</v>
      </c>
      <c r="D1739" t="s">
        <v>11</v>
      </c>
      <c r="E1739" t="s">
        <v>12</v>
      </c>
      <c r="F1739" t="s">
        <v>11</v>
      </c>
      <c r="G1739" t="s">
        <v>12</v>
      </c>
      <c r="H1739" t="s">
        <v>11</v>
      </c>
      <c r="I1739" t="s">
        <v>12</v>
      </c>
      <c r="J1739" t="s">
        <v>11</v>
      </c>
      <c r="K1739" t="s">
        <v>12</v>
      </c>
      <c r="L1739" s="12" t="s">
        <v>43</v>
      </c>
      <c r="M1739" s="12" t="s">
        <v>152</v>
      </c>
      <c r="N1739" s="12" t="s">
        <v>36</v>
      </c>
      <c r="O1739" s="12" t="s">
        <v>63</v>
      </c>
      <c r="P1739" s="12" t="s">
        <v>125</v>
      </c>
      <c r="Q1739" s="7" t="str">
        <f t="shared" si="82"/>
        <v>(1990,25,'1990.06.23',16,25,38,78,83,0),</v>
      </c>
      <c r="R1739" s="7" t="str">
        <f t="shared" si="84"/>
        <v>(1990,25,'1990.06.23',16,25,38,78,83),</v>
      </c>
    </row>
    <row r="1740" spans="1:18" x14ac:dyDescent="0.25">
      <c r="A1740" s="7" t="s">
        <v>411</v>
      </c>
      <c r="B1740" s="8" t="s">
        <v>74</v>
      </c>
      <c r="C1740" s="10">
        <f t="shared" si="83"/>
        <v>33054</v>
      </c>
      <c r="D1740" t="s">
        <v>11</v>
      </c>
      <c r="E1740" t="s">
        <v>12</v>
      </c>
      <c r="F1740" t="s">
        <v>11</v>
      </c>
      <c r="G1740" t="s">
        <v>12</v>
      </c>
      <c r="H1740" t="s">
        <v>11</v>
      </c>
      <c r="I1740" t="s">
        <v>12</v>
      </c>
      <c r="J1740" t="s">
        <v>11</v>
      </c>
      <c r="K1740" t="s">
        <v>12</v>
      </c>
      <c r="L1740" s="12" t="s">
        <v>62</v>
      </c>
      <c r="M1740" s="12" t="s">
        <v>90</v>
      </c>
      <c r="N1740" s="12" t="s">
        <v>20</v>
      </c>
      <c r="O1740" s="12" t="s">
        <v>56</v>
      </c>
      <c r="P1740" s="12" t="s">
        <v>106</v>
      </c>
      <c r="Q1740" s="7" t="str">
        <f t="shared" si="82"/>
        <v>(1990,26,'1990.06.30',10,17,33,71,75,0),</v>
      </c>
      <c r="R1740" s="7" t="str">
        <f t="shared" si="84"/>
        <v>(1990,26,'1990.06.30',10,17,33,71,75),</v>
      </c>
    </row>
    <row r="1741" spans="1:18" x14ac:dyDescent="0.25">
      <c r="A1741" s="7" t="s">
        <v>411</v>
      </c>
      <c r="B1741" s="8" t="s">
        <v>135</v>
      </c>
      <c r="C1741" s="10">
        <f t="shared" si="83"/>
        <v>33061</v>
      </c>
      <c r="D1741" t="s">
        <v>11</v>
      </c>
      <c r="E1741" t="s">
        <v>12</v>
      </c>
      <c r="F1741" t="s">
        <v>11</v>
      </c>
      <c r="G1741" t="s">
        <v>12</v>
      </c>
      <c r="H1741" t="s">
        <v>11</v>
      </c>
      <c r="I1741" t="s">
        <v>12</v>
      </c>
      <c r="J1741" t="s">
        <v>11</v>
      </c>
      <c r="K1741" t="s">
        <v>12</v>
      </c>
      <c r="L1741" s="12" t="s">
        <v>31</v>
      </c>
      <c r="M1741" s="12" t="s">
        <v>82</v>
      </c>
      <c r="N1741" s="12" t="s">
        <v>124</v>
      </c>
      <c r="O1741" s="12" t="s">
        <v>47</v>
      </c>
      <c r="P1741" s="12" t="s">
        <v>186</v>
      </c>
      <c r="Q1741" s="7" t="str">
        <f t="shared" si="82"/>
        <v>(1990,27,'1990.07.07',12,59,62,69,90,0),</v>
      </c>
      <c r="R1741" s="7" t="str">
        <f t="shared" si="84"/>
        <v>(1990,27,'1990.07.07',12,59,62,69,90),</v>
      </c>
    </row>
    <row r="1742" spans="1:18" x14ac:dyDescent="0.25">
      <c r="A1742" s="7" t="s">
        <v>411</v>
      </c>
      <c r="B1742" s="8" t="s">
        <v>126</v>
      </c>
      <c r="C1742" s="10">
        <f t="shared" si="83"/>
        <v>33068</v>
      </c>
      <c r="D1742" t="s">
        <v>11</v>
      </c>
      <c r="E1742" t="s">
        <v>12</v>
      </c>
      <c r="F1742" t="s">
        <v>11</v>
      </c>
      <c r="G1742" t="s">
        <v>12</v>
      </c>
      <c r="H1742" t="s">
        <v>11</v>
      </c>
      <c r="I1742" t="s">
        <v>12</v>
      </c>
      <c r="J1742" t="s">
        <v>11</v>
      </c>
      <c r="K1742" t="s">
        <v>12</v>
      </c>
      <c r="L1742" s="12" t="s">
        <v>83</v>
      </c>
      <c r="M1742" s="12" t="s">
        <v>65</v>
      </c>
      <c r="N1742" s="12" t="s">
        <v>22</v>
      </c>
      <c r="O1742" s="12" t="s">
        <v>34</v>
      </c>
      <c r="P1742" s="12" t="s">
        <v>122</v>
      </c>
      <c r="Q1742" s="7" t="str">
        <f t="shared" si="82"/>
        <v>(1990,28,'1990.07.14',11,13,48,49,51,0),</v>
      </c>
      <c r="R1742" s="7" t="str">
        <f t="shared" si="84"/>
        <v>(1990,28,'1990.07.14',11,13,48,49,51),</v>
      </c>
    </row>
    <row r="1743" spans="1:18" x14ac:dyDescent="0.25">
      <c r="A1743" s="7" t="s">
        <v>411</v>
      </c>
      <c r="B1743" s="8" t="s">
        <v>116</v>
      </c>
      <c r="C1743" s="10">
        <f t="shared" si="83"/>
        <v>33075</v>
      </c>
      <c r="D1743" t="s">
        <v>11</v>
      </c>
      <c r="E1743" t="s">
        <v>12</v>
      </c>
      <c r="F1743" t="s">
        <v>11</v>
      </c>
      <c r="G1743" t="s">
        <v>12</v>
      </c>
      <c r="H1743" t="s">
        <v>11</v>
      </c>
      <c r="I1743" t="s">
        <v>12</v>
      </c>
      <c r="J1743" t="s">
        <v>11</v>
      </c>
      <c r="K1743" t="s">
        <v>12</v>
      </c>
      <c r="L1743" s="12" t="s">
        <v>90</v>
      </c>
      <c r="M1743" s="12" t="s">
        <v>200</v>
      </c>
      <c r="N1743" s="12" t="s">
        <v>201</v>
      </c>
      <c r="O1743" s="12" t="s">
        <v>106</v>
      </c>
      <c r="P1743" s="12" t="s">
        <v>246</v>
      </c>
      <c r="Q1743" s="7" t="str">
        <f t="shared" si="82"/>
        <v>(1990,29,'1990.07.21',17,70,72,75,84,0),</v>
      </c>
      <c r="R1743" s="7" t="str">
        <f t="shared" si="84"/>
        <v>(1990,29,'1990.07.21',17,70,72,75,84),</v>
      </c>
    </row>
    <row r="1744" spans="1:18" x14ac:dyDescent="0.25">
      <c r="A1744" s="7" t="s">
        <v>411</v>
      </c>
      <c r="B1744" s="8" t="s">
        <v>107</v>
      </c>
      <c r="C1744" s="10">
        <f t="shared" si="83"/>
        <v>33082</v>
      </c>
      <c r="D1744" t="s">
        <v>11</v>
      </c>
      <c r="E1744" t="s">
        <v>12</v>
      </c>
      <c r="F1744" t="s">
        <v>11</v>
      </c>
      <c r="G1744" t="s">
        <v>12</v>
      </c>
      <c r="H1744" t="s">
        <v>11</v>
      </c>
      <c r="I1744" t="s">
        <v>12</v>
      </c>
      <c r="J1744" t="s">
        <v>11</v>
      </c>
      <c r="K1744" t="s">
        <v>12</v>
      </c>
      <c r="L1744" s="12" t="s">
        <v>207</v>
      </c>
      <c r="M1744" s="12" t="s">
        <v>270</v>
      </c>
      <c r="N1744" s="12" t="s">
        <v>198</v>
      </c>
      <c r="O1744" s="12" t="s">
        <v>163</v>
      </c>
      <c r="P1744" s="12" t="s">
        <v>74</v>
      </c>
      <c r="Q1744" s="7" t="str">
        <f t="shared" si="82"/>
        <v>(1990,30,'1990.07.28',2,6,9,23,26,0),</v>
      </c>
      <c r="R1744" s="7" t="str">
        <f t="shared" si="84"/>
        <v>(1990,30,'1990.07.28',2,6,9,23,26),</v>
      </c>
    </row>
    <row r="1745" spans="1:18" x14ac:dyDescent="0.25">
      <c r="A1745" s="7" t="s">
        <v>411</v>
      </c>
      <c r="B1745" s="8" t="s">
        <v>71</v>
      </c>
      <c r="C1745" s="10">
        <f t="shared" si="83"/>
        <v>33089</v>
      </c>
      <c r="D1745" t="s">
        <v>11</v>
      </c>
      <c r="E1745" t="s">
        <v>12</v>
      </c>
      <c r="F1745" t="s">
        <v>11</v>
      </c>
      <c r="G1745" t="s">
        <v>12</v>
      </c>
      <c r="H1745" t="s">
        <v>11</v>
      </c>
      <c r="I1745" t="s">
        <v>12</v>
      </c>
      <c r="J1745" t="s">
        <v>11</v>
      </c>
      <c r="K1745" t="s">
        <v>12</v>
      </c>
      <c r="L1745" s="12" t="s">
        <v>43</v>
      </c>
      <c r="M1745" s="12" t="s">
        <v>19</v>
      </c>
      <c r="N1745" s="12" t="s">
        <v>126</v>
      </c>
      <c r="O1745" s="12" t="s">
        <v>64</v>
      </c>
      <c r="P1745" s="12" t="s">
        <v>622</v>
      </c>
      <c r="Q1745" s="7" t="str">
        <f t="shared" si="82"/>
        <v>(1990,31,'1990.08.04',16,18,28,35,82,0),</v>
      </c>
      <c r="R1745" s="7" t="str">
        <f t="shared" si="84"/>
        <v>(1990,31,'1990.08.04',16,18,28,35,82),</v>
      </c>
    </row>
    <row r="1746" spans="1:18" x14ac:dyDescent="0.25">
      <c r="A1746" s="7" t="s">
        <v>411</v>
      </c>
      <c r="B1746" s="8" t="s">
        <v>80</v>
      </c>
      <c r="C1746" s="10">
        <f t="shared" si="83"/>
        <v>33096</v>
      </c>
      <c r="D1746" t="s">
        <v>11</v>
      </c>
      <c r="E1746" t="s">
        <v>12</v>
      </c>
      <c r="F1746" t="s">
        <v>11</v>
      </c>
      <c r="G1746" t="s">
        <v>12</v>
      </c>
      <c r="H1746" t="s">
        <v>11</v>
      </c>
      <c r="I1746" t="s">
        <v>12</v>
      </c>
      <c r="J1746" t="s">
        <v>11</v>
      </c>
      <c r="K1746" t="s">
        <v>12</v>
      </c>
      <c r="L1746" s="12" t="s">
        <v>207</v>
      </c>
      <c r="M1746" s="12" t="s">
        <v>55</v>
      </c>
      <c r="N1746" s="12" t="s">
        <v>36</v>
      </c>
      <c r="O1746" s="12" t="s">
        <v>34</v>
      </c>
      <c r="P1746" s="12" t="s">
        <v>215</v>
      </c>
      <c r="Q1746" s="7" t="str">
        <f t="shared" si="82"/>
        <v>(1990,32,'1990.08.11',2,19,38,49,81,0),</v>
      </c>
      <c r="R1746" s="7" t="str">
        <f t="shared" si="84"/>
        <v>(1990,32,'1990.08.11',2,19,38,49,81),</v>
      </c>
    </row>
    <row r="1747" spans="1:18" x14ac:dyDescent="0.25">
      <c r="A1747" s="7" t="s">
        <v>411</v>
      </c>
      <c r="B1747" s="8" t="s">
        <v>20</v>
      </c>
      <c r="C1747" s="10">
        <f t="shared" si="83"/>
        <v>33103</v>
      </c>
      <c r="D1747" t="s">
        <v>11</v>
      </c>
      <c r="E1747" t="s">
        <v>12</v>
      </c>
      <c r="F1747" t="s">
        <v>11</v>
      </c>
      <c r="G1747" t="s">
        <v>12</v>
      </c>
      <c r="H1747" t="s">
        <v>11</v>
      </c>
      <c r="I1747" t="s">
        <v>12</v>
      </c>
      <c r="J1747" t="s">
        <v>11</v>
      </c>
      <c r="K1747" t="s">
        <v>12</v>
      </c>
      <c r="L1747" s="12" t="s">
        <v>115</v>
      </c>
      <c r="M1747" s="12" t="s">
        <v>32</v>
      </c>
      <c r="N1747" s="12" t="s">
        <v>80</v>
      </c>
      <c r="O1747" s="12" t="s">
        <v>13</v>
      </c>
      <c r="P1747" s="12" t="s">
        <v>308</v>
      </c>
      <c r="Q1747" s="7" t="str">
        <f t="shared" si="82"/>
        <v>(1990,33,'1990.08.18',20,22,32,41,86,0),</v>
      </c>
      <c r="R1747" s="7" t="str">
        <f t="shared" si="84"/>
        <v>(1990,33,'1990.08.18',20,22,32,41,86),</v>
      </c>
    </row>
    <row r="1748" spans="1:18" x14ac:dyDescent="0.25">
      <c r="A1748" s="7" t="s">
        <v>411</v>
      </c>
      <c r="B1748" s="8" t="s">
        <v>25</v>
      </c>
      <c r="C1748" s="10">
        <f t="shared" si="83"/>
        <v>33110</v>
      </c>
      <c r="D1748" t="s">
        <v>11</v>
      </c>
      <c r="E1748" t="s">
        <v>12</v>
      </c>
      <c r="F1748" t="s">
        <v>11</v>
      </c>
      <c r="G1748" t="s">
        <v>12</v>
      </c>
      <c r="H1748" t="s">
        <v>11</v>
      </c>
      <c r="I1748" t="s">
        <v>12</v>
      </c>
      <c r="J1748" t="s">
        <v>11</v>
      </c>
      <c r="K1748" t="s">
        <v>12</v>
      </c>
      <c r="L1748" s="12" t="s">
        <v>55</v>
      </c>
      <c r="M1748" s="12" t="s">
        <v>107</v>
      </c>
      <c r="N1748" s="12" t="s">
        <v>34</v>
      </c>
      <c r="O1748" s="12" t="s">
        <v>91</v>
      </c>
      <c r="P1748" s="12" t="s">
        <v>56</v>
      </c>
      <c r="Q1748" s="7" t="str">
        <f t="shared" si="82"/>
        <v>(1990,34,'1990.08.25',19,30,49,61,71,0),</v>
      </c>
      <c r="R1748" s="7" t="str">
        <f t="shared" si="84"/>
        <v>(1990,34,'1990.08.25',19,30,49,61,71),</v>
      </c>
    </row>
    <row r="1749" spans="1:18" x14ac:dyDescent="0.25">
      <c r="A1749" s="7" t="s">
        <v>411</v>
      </c>
      <c r="B1749" s="8" t="s">
        <v>64</v>
      </c>
      <c r="C1749" s="10">
        <f t="shared" si="83"/>
        <v>33117</v>
      </c>
      <c r="D1749" t="s">
        <v>11</v>
      </c>
      <c r="E1749" t="s">
        <v>12</v>
      </c>
      <c r="F1749" t="s">
        <v>11</v>
      </c>
      <c r="G1749" t="s">
        <v>12</v>
      </c>
      <c r="H1749" t="s">
        <v>11</v>
      </c>
      <c r="I1749" t="s">
        <v>12</v>
      </c>
      <c r="J1749" t="s">
        <v>11</v>
      </c>
      <c r="K1749" t="s">
        <v>12</v>
      </c>
      <c r="L1749" s="12" t="s">
        <v>19</v>
      </c>
      <c r="M1749" s="12" t="s">
        <v>44</v>
      </c>
      <c r="N1749" s="12" t="s">
        <v>25</v>
      </c>
      <c r="O1749" s="12" t="s">
        <v>10</v>
      </c>
      <c r="P1749" s="12" t="s">
        <v>56</v>
      </c>
      <c r="Q1749" s="7" t="str">
        <f t="shared" si="82"/>
        <v>(1990,35,'1990.09.01',18,21,34,40,71,0),</v>
      </c>
      <c r="R1749" s="7" t="str">
        <f t="shared" si="84"/>
        <v>(1990,35,'1990.09.01',18,21,34,40,71),</v>
      </c>
    </row>
    <row r="1750" spans="1:18" x14ac:dyDescent="0.25">
      <c r="A1750" s="7" t="s">
        <v>411</v>
      </c>
      <c r="B1750" s="8" t="s">
        <v>21</v>
      </c>
      <c r="C1750" s="10">
        <f t="shared" si="83"/>
        <v>33124</v>
      </c>
      <c r="D1750" t="s">
        <v>11</v>
      </c>
      <c r="E1750" t="s">
        <v>12</v>
      </c>
      <c r="F1750" t="s">
        <v>11</v>
      </c>
      <c r="G1750" t="s">
        <v>12</v>
      </c>
      <c r="H1750" t="s">
        <v>11</v>
      </c>
      <c r="I1750" t="s">
        <v>12</v>
      </c>
      <c r="J1750" t="s">
        <v>11</v>
      </c>
      <c r="K1750" t="s">
        <v>12</v>
      </c>
      <c r="L1750" s="12" t="s">
        <v>142</v>
      </c>
      <c r="M1750" s="12" t="s">
        <v>82</v>
      </c>
      <c r="N1750" s="12" t="s">
        <v>92</v>
      </c>
      <c r="O1750" s="12" t="s">
        <v>201</v>
      </c>
      <c r="P1750" s="12" t="s">
        <v>239</v>
      </c>
      <c r="Q1750" s="7" t="str">
        <f t="shared" si="82"/>
        <v>(1990,36,'1990.09.08',44,59,68,72,73,0),</v>
      </c>
      <c r="R1750" s="7" t="str">
        <f t="shared" si="84"/>
        <v>(1990,36,'1990.09.08',44,59,68,72,73),</v>
      </c>
    </row>
    <row r="1751" spans="1:18" x14ac:dyDescent="0.25">
      <c r="A1751" s="7" t="s">
        <v>411</v>
      </c>
      <c r="B1751" s="8" t="s">
        <v>46</v>
      </c>
      <c r="C1751" s="10">
        <f t="shared" si="83"/>
        <v>33131</v>
      </c>
      <c r="D1751" t="s">
        <v>11</v>
      </c>
      <c r="E1751" t="s">
        <v>12</v>
      </c>
      <c r="F1751" t="s">
        <v>11</v>
      </c>
      <c r="G1751" t="s">
        <v>12</v>
      </c>
      <c r="H1751" t="s">
        <v>11</v>
      </c>
      <c r="I1751" t="s">
        <v>12</v>
      </c>
      <c r="J1751" t="s">
        <v>11</v>
      </c>
      <c r="K1751" t="s">
        <v>12</v>
      </c>
      <c r="L1751" s="12" t="s">
        <v>44</v>
      </c>
      <c r="M1751" s="12" t="s">
        <v>80</v>
      </c>
      <c r="N1751" s="12" t="s">
        <v>214</v>
      </c>
      <c r="O1751" s="12" t="s">
        <v>246</v>
      </c>
      <c r="P1751" s="12" t="s">
        <v>379</v>
      </c>
      <c r="Q1751" s="7" t="str">
        <f t="shared" si="82"/>
        <v>(1990,37,'1990.09.15',21,32,64,84,89,0),</v>
      </c>
      <c r="R1751" s="7" t="str">
        <f t="shared" si="84"/>
        <v>(1990,37,'1990.09.15',21,32,64,84,89),</v>
      </c>
    </row>
    <row r="1752" spans="1:18" x14ac:dyDescent="0.25">
      <c r="A1752" s="7" t="s">
        <v>411</v>
      </c>
      <c r="B1752" s="8" t="s">
        <v>36</v>
      </c>
      <c r="C1752" s="10">
        <f t="shared" si="83"/>
        <v>33138</v>
      </c>
      <c r="D1752" t="s">
        <v>11</v>
      </c>
      <c r="E1752" t="s">
        <v>12</v>
      </c>
      <c r="F1752" t="s">
        <v>11</v>
      </c>
      <c r="G1752" t="s">
        <v>12</v>
      </c>
      <c r="H1752" t="s">
        <v>11</v>
      </c>
      <c r="I1752" t="s">
        <v>12</v>
      </c>
      <c r="J1752" t="s">
        <v>11</v>
      </c>
      <c r="K1752" t="s">
        <v>12</v>
      </c>
      <c r="L1752" s="12" t="s">
        <v>31</v>
      </c>
      <c r="M1752" s="12" t="s">
        <v>19</v>
      </c>
      <c r="N1752" s="12" t="s">
        <v>107</v>
      </c>
      <c r="O1752" s="12" t="s">
        <v>98</v>
      </c>
      <c r="P1752" s="12" t="s">
        <v>192</v>
      </c>
      <c r="Q1752" s="7" t="str">
        <f t="shared" si="82"/>
        <v>(1990,38,'1990.09.22',12,18,30,42,46,0),</v>
      </c>
      <c r="R1752" s="7" t="str">
        <f t="shared" si="84"/>
        <v>(1990,38,'1990.09.22',12,18,30,42,46),</v>
      </c>
    </row>
    <row r="1753" spans="1:18" x14ac:dyDescent="0.25">
      <c r="A1753" s="7" t="s">
        <v>411</v>
      </c>
      <c r="B1753" s="8" t="s">
        <v>24</v>
      </c>
      <c r="C1753" s="10">
        <f t="shared" si="83"/>
        <v>33145</v>
      </c>
      <c r="D1753" t="s">
        <v>11</v>
      </c>
      <c r="E1753" t="s">
        <v>12</v>
      </c>
      <c r="F1753" t="s">
        <v>11</v>
      </c>
      <c r="G1753" t="s">
        <v>12</v>
      </c>
      <c r="H1753" t="s">
        <v>11</v>
      </c>
      <c r="I1753" t="s">
        <v>12</v>
      </c>
      <c r="J1753" t="s">
        <v>11</v>
      </c>
      <c r="K1753" t="s">
        <v>12</v>
      </c>
      <c r="L1753" s="12" t="s">
        <v>116</v>
      </c>
      <c r="M1753" s="12" t="s">
        <v>169</v>
      </c>
      <c r="N1753" s="12" t="s">
        <v>248</v>
      </c>
      <c r="O1753" s="12" t="s">
        <v>239</v>
      </c>
      <c r="P1753" s="12" t="s">
        <v>468</v>
      </c>
      <c r="Q1753" s="7" t="str">
        <f t="shared" si="82"/>
        <v>(1990,39,'1990.09.29',29,58,63,73,85,0),</v>
      </c>
      <c r="R1753" s="7" t="str">
        <f t="shared" si="84"/>
        <v>(1990,39,'1990.09.29',29,58,63,73,85),</v>
      </c>
    </row>
    <row r="1754" spans="1:18" x14ac:dyDescent="0.25">
      <c r="A1754" s="7" t="s">
        <v>411</v>
      </c>
      <c r="B1754" s="8" t="s">
        <v>10</v>
      </c>
      <c r="C1754" s="10">
        <f t="shared" si="83"/>
        <v>33152</v>
      </c>
      <c r="D1754" t="s">
        <v>11</v>
      </c>
      <c r="E1754" t="s">
        <v>12</v>
      </c>
      <c r="F1754" t="s">
        <v>11</v>
      </c>
      <c r="G1754" t="s">
        <v>12</v>
      </c>
      <c r="H1754" t="s">
        <v>11</v>
      </c>
      <c r="I1754" t="s">
        <v>12</v>
      </c>
      <c r="J1754" t="s">
        <v>11</v>
      </c>
      <c r="K1754" t="s">
        <v>12</v>
      </c>
      <c r="L1754" s="12" t="s">
        <v>83</v>
      </c>
      <c r="M1754" s="12" t="s">
        <v>32</v>
      </c>
      <c r="N1754" s="12" t="s">
        <v>74</v>
      </c>
      <c r="O1754" s="12" t="s">
        <v>34</v>
      </c>
      <c r="P1754" s="12" t="s">
        <v>208</v>
      </c>
      <c r="Q1754" s="7" t="str">
        <f t="shared" si="82"/>
        <v>(1990,40,'1990.10.06',11,22,26,49,88,0),</v>
      </c>
      <c r="R1754" s="7" t="str">
        <f t="shared" si="84"/>
        <v>(1990,40,'1990.10.06',11,22,26,49,88),</v>
      </c>
    </row>
    <row r="1755" spans="1:18" x14ac:dyDescent="0.25">
      <c r="A1755" s="7" t="s">
        <v>411</v>
      </c>
      <c r="B1755" s="8" t="s">
        <v>13</v>
      </c>
      <c r="C1755" s="10">
        <f t="shared" si="83"/>
        <v>33159</v>
      </c>
      <c r="D1755" t="s">
        <v>11</v>
      </c>
      <c r="E1755" t="s">
        <v>12</v>
      </c>
      <c r="F1755" t="s">
        <v>11</v>
      </c>
      <c r="G1755" t="s">
        <v>12</v>
      </c>
      <c r="H1755" t="s">
        <v>11</v>
      </c>
      <c r="I1755" t="s">
        <v>12</v>
      </c>
      <c r="J1755" t="s">
        <v>11</v>
      </c>
      <c r="K1755" t="s">
        <v>12</v>
      </c>
      <c r="L1755" s="12" t="s">
        <v>83</v>
      </c>
      <c r="M1755" s="12" t="s">
        <v>74</v>
      </c>
      <c r="N1755" s="12" t="s">
        <v>192</v>
      </c>
      <c r="O1755" s="12" t="s">
        <v>248</v>
      </c>
      <c r="P1755" s="12" t="s">
        <v>72</v>
      </c>
      <c r="Q1755" s="7" t="str">
        <f t="shared" si="82"/>
        <v>(1990,41,'1990.10.13',11,26,46,63,67,0),</v>
      </c>
      <c r="R1755" s="7" t="str">
        <f t="shared" si="84"/>
        <v>(1990,41,'1990.10.13',11,26,46,63,67),</v>
      </c>
    </row>
    <row r="1756" spans="1:18" x14ac:dyDescent="0.25">
      <c r="A1756" s="7" t="s">
        <v>411</v>
      </c>
      <c r="B1756" s="8" t="s">
        <v>98</v>
      </c>
      <c r="C1756" s="10">
        <f t="shared" si="83"/>
        <v>33166</v>
      </c>
      <c r="D1756" t="s">
        <v>11</v>
      </c>
      <c r="E1756" t="s">
        <v>12</v>
      </c>
      <c r="F1756" t="s">
        <v>11</v>
      </c>
      <c r="G1756" t="s">
        <v>12</v>
      </c>
      <c r="H1756" t="s">
        <v>11</v>
      </c>
      <c r="I1756" t="s">
        <v>12</v>
      </c>
      <c r="J1756" t="s">
        <v>11</v>
      </c>
      <c r="K1756" t="s">
        <v>12</v>
      </c>
      <c r="L1756" s="12" t="s">
        <v>207</v>
      </c>
      <c r="M1756" s="12" t="s">
        <v>163</v>
      </c>
      <c r="N1756" s="12" t="s">
        <v>72</v>
      </c>
      <c r="O1756" s="12" t="s">
        <v>47</v>
      </c>
      <c r="P1756" s="12" t="s">
        <v>308</v>
      </c>
      <c r="Q1756" s="7" t="str">
        <f t="shared" si="82"/>
        <v>(1990,42,'1990.10.20',2,23,67,69,86,0),</v>
      </c>
      <c r="R1756" s="7" t="str">
        <f t="shared" si="84"/>
        <v>(1990,42,'1990.10.20',2,23,67,69,86),</v>
      </c>
    </row>
    <row r="1757" spans="1:18" x14ac:dyDescent="0.25">
      <c r="A1757" s="7" t="s">
        <v>411</v>
      </c>
      <c r="B1757" s="8" t="s">
        <v>45</v>
      </c>
      <c r="C1757" s="10">
        <f t="shared" si="83"/>
        <v>33173</v>
      </c>
      <c r="D1757" t="s">
        <v>11</v>
      </c>
      <c r="E1757" t="s">
        <v>12</v>
      </c>
      <c r="F1757" t="s">
        <v>11</v>
      </c>
      <c r="G1757" t="s">
        <v>12</v>
      </c>
      <c r="H1757" t="s">
        <v>11</v>
      </c>
      <c r="I1757" t="s">
        <v>12</v>
      </c>
      <c r="J1757" t="s">
        <v>11</v>
      </c>
      <c r="K1757" t="s">
        <v>12</v>
      </c>
      <c r="L1757" s="12" t="s">
        <v>150</v>
      </c>
      <c r="M1757" s="12" t="s">
        <v>245</v>
      </c>
      <c r="N1757" s="12" t="s">
        <v>63</v>
      </c>
      <c r="O1757" s="12" t="s">
        <v>125</v>
      </c>
      <c r="P1757" s="12" t="s">
        <v>269</v>
      </c>
      <c r="Q1757" s="7" t="str">
        <f t="shared" si="82"/>
        <v>(1990,43,'1990.10.27',57,74,78,83,87,0),</v>
      </c>
      <c r="R1757" s="7" t="str">
        <f t="shared" si="84"/>
        <v>(1990,43,'1990.10.27',57,74,78,83,87),</v>
      </c>
    </row>
    <row r="1758" spans="1:18" x14ac:dyDescent="0.25">
      <c r="A1758" s="7" t="s">
        <v>411</v>
      </c>
      <c r="B1758" s="8" t="s">
        <v>142</v>
      </c>
      <c r="C1758" s="10">
        <f t="shared" si="83"/>
        <v>33180</v>
      </c>
      <c r="D1758" t="s">
        <v>11</v>
      </c>
      <c r="E1758" t="s">
        <v>12</v>
      </c>
      <c r="F1758" t="s">
        <v>11</v>
      </c>
      <c r="G1758" t="s">
        <v>12</v>
      </c>
      <c r="H1758" t="s">
        <v>11</v>
      </c>
      <c r="I1758" t="s">
        <v>12</v>
      </c>
      <c r="J1758" t="s">
        <v>11</v>
      </c>
      <c r="K1758" t="s">
        <v>12</v>
      </c>
      <c r="L1758" s="12" t="s">
        <v>43</v>
      </c>
      <c r="M1758" s="12" t="s">
        <v>115</v>
      </c>
      <c r="N1758" s="12" t="s">
        <v>135</v>
      </c>
      <c r="O1758" s="12" t="s">
        <v>150</v>
      </c>
      <c r="P1758" s="12" t="s">
        <v>56</v>
      </c>
      <c r="Q1758" s="7" t="str">
        <f t="shared" si="82"/>
        <v>(1990,44,'1990.11.03',16,20,27,57,71,0),</v>
      </c>
      <c r="R1758" s="7" t="str">
        <f t="shared" si="84"/>
        <v>(1990,44,'1990.11.03',16,20,27,57,71),</v>
      </c>
    </row>
    <row r="1759" spans="1:18" x14ac:dyDescent="0.25">
      <c r="A1759" s="7" t="s">
        <v>411</v>
      </c>
      <c r="B1759" s="8" t="s">
        <v>133</v>
      </c>
      <c r="C1759" s="10">
        <f t="shared" si="83"/>
        <v>33187</v>
      </c>
      <c r="D1759" t="s">
        <v>11</v>
      </c>
      <c r="E1759" t="s">
        <v>12</v>
      </c>
      <c r="F1759" t="s">
        <v>11</v>
      </c>
      <c r="G1759" t="s">
        <v>12</v>
      </c>
      <c r="H1759" t="s">
        <v>11</v>
      </c>
      <c r="I1759" t="s">
        <v>12</v>
      </c>
      <c r="J1759" t="s">
        <v>11</v>
      </c>
      <c r="K1759" t="s">
        <v>12</v>
      </c>
      <c r="L1759" s="12" t="s">
        <v>107</v>
      </c>
      <c r="M1759" s="12" t="s">
        <v>20</v>
      </c>
      <c r="N1759" s="12" t="s">
        <v>150</v>
      </c>
      <c r="O1759" s="12" t="s">
        <v>239</v>
      </c>
      <c r="P1759" s="12" t="s">
        <v>125</v>
      </c>
      <c r="Q1759" s="7" t="str">
        <f t="shared" si="82"/>
        <v>(1990,45,'1990.11.10',30,33,57,73,83,0),</v>
      </c>
      <c r="R1759" s="7" t="str">
        <f t="shared" si="84"/>
        <v>(1990,45,'1990.11.10',30,33,57,73,83),</v>
      </c>
    </row>
    <row r="1760" spans="1:18" x14ac:dyDescent="0.25">
      <c r="A1760" s="7" t="s">
        <v>411</v>
      </c>
      <c r="B1760" s="8" t="s">
        <v>192</v>
      </c>
      <c r="C1760" s="10">
        <f t="shared" si="83"/>
        <v>33194</v>
      </c>
      <c r="D1760" t="s">
        <v>11</v>
      </c>
      <c r="E1760" t="s">
        <v>12</v>
      </c>
      <c r="F1760" t="s">
        <v>11</v>
      </c>
      <c r="G1760" t="s">
        <v>12</v>
      </c>
      <c r="H1760" t="s">
        <v>11</v>
      </c>
      <c r="I1760" t="s">
        <v>12</v>
      </c>
      <c r="J1760" t="s">
        <v>11</v>
      </c>
      <c r="K1760" t="s">
        <v>12</v>
      </c>
      <c r="L1760" s="12" t="s">
        <v>44</v>
      </c>
      <c r="M1760" s="12" t="s">
        <v>64</v>
      </c>
      <c r="N1760" s="12" t="s">
        <v>133</v>
      </c>
      <c r="O1760" s="12" t="s">
        <v>200</v>
      </c>
      <c r="P1760" s="12" t="s">
        <v>379</v>
      </c>
      <c r="Q1760" s="7" t="str">
        <f t="shared" si="82"/>
        <v>(1990,46,'1990.11.17',21,35,45,70,89,0),</v>
      </c>
      <c r="R1760" s="7" t="str">
        <f t="shared" si="84"/>
        <v>(1990,46,'1990.11.17',21,35,45,70,89),</v>
      </c>
    </row>
    <row r="1761" spans="1:18" x14ac:dyDescent="0.25">
      <c r="A1761" s="7" t="s">
        <v>411</v>
      </c>
      <c r="B1761" s="8" t="s">
        <v>81</v>
      </c>
      <c r="C1761" s="10">
        <f t="shared" si="83"/>
        <v>33201</v>
      </c>
      <c r="D1761" t="s">
        <v>11</v>
      </c>
      <c r="E1761" t="s">
        <v>12</v>
      </c>
      <c r="F1761" t="s">
        <v>11</v>
      </c>
      <c r="G1761" t="s">
        <v>12</v>
      </c>
      <c r="H1761" t="s">
        <v>11</v>
      </c>
      <c r="I1761" t="s">
        <v>12</v>
      </c>
      <c r="J1761" t="s">
        <v>11</v>
      </c>
      <c r="K1761" t="s">
        <v>12</v>
      </c>
      <c r="L1761" s="12" t="s">
        <v>108</v>
      </c>
      <c r="M1761" s="12" t="s">
        <v>168</v>
      </c>
      <c r="N1761" s="12" t="s">
        <v>270</v>
      </c>
      <c r="O1761" s="12" t="s">
        <v>151</v>
      </c>
      <c r="P1761" s="12" t="s">
        <v>125</v>
      </c>
      <c r="Q1761" s="7" t="str">
        <f t="shared" si="82"/>
        <v>(1990,47,'1990.11.24',1,4,6,79,83,0),</v>
      </c>
      <c r="R1761" s="7" t="str">
        <f t="shared" si="84"/>
        <v>(1990,47,'1990.11.24',1,4,6,79,83),</v>
      </c>
    </row>
    <row r="1762" spans="1:18" x14ac:dyDescent="0.25">
      <c r="A1762" s="7" t="s">
        <v>411</v>
      </c>
      <c r="B1762" s="8" t="s">
        <v>22</v>
      </c>
      <c r="C1762" s="10">
        <f t="shared" si="83"/>
        <v>33208</v>
      </c>
      <c r="D1762" t="s">
        <v>11</v>
      </c>
      <c r="E1762" t="s">
        <v>12</v>
      </c>
      <c r="F1762" t="s">
        <v>11</v>
      </c>
      <c r="G1762" t="s">
        <v>12</v>
      </c>
      <c r="H1762" t="s">
        <v>11</v>
      </c>
      <c r="I1762" t="s">
        <v>12</v>
      </c>
      <c r="J1762" t="s">
        <v>11</v>
      </c>
      <c r="K1762" t="s">
        <v>12</v>
      </c>
      <c r="L1762" s="12" t="s">
        <v>115</v>
      </c>
      <c r="M1762" s="12" t="s">
        <v>21</v>
      </c>
      <c r="N1762" s="12" t="s">
        <v>142</v>
      </c>
      <c r="O1762" s="12" t="s">
        <v>56</v>
      </c>
      <c r="P1762" s="12" t="s">
        <v>208</v>
      </c>
      <c r="Q1762" s="7" t="str">
        <f t="shared" si="82"/>
        <v>(1990,48,'1990.12.01',20,36,44,71,88,0),</v>
      </c>
      <c r="R1762" s="7" t="str">
        <f t="shared" si="84"/>
        <v>(1990,48,'1990.12.01',20,36,44,71,88),</v>
      </c>
    </row>
    <row r="1763" spans="1:18" x14ac:dyDescent="0.25">
      <c r="A1763" s="7" t="s">
        <v>411</v>
      </c>
      <c r="B1763" s="8" t="s">
        <v>34</v>
      </c>
      <c r="C1763" s="10">
        <f t="shared" si="83"/>
        <v>33215</v>
      </c>
      <c r="D1763" t="s">
        <v>11</v>
      </c>
      <c r="E1763" t="s">
        <v>12</v>
      </c>
      <c r="F1763" t="s">
        <v>11</v>
      </c>
      <c r="G1763" t="s">
        <v>12</v>
      </c>
      <c r="H1763" t="s">
        <v>11</v>
      </c>
      <c r="I1763" t="s">
        <v>12</v>
      </c>
      <c r="J1763" t="s">
        <v>11</v>
      </c>
      <c r="K1763" t="s">
        <v>12</v>
      </c>
      <c r="L1763" s="12" t="s">
        <v>168</v>
      </c>
      <c r="M1763" s="12" t="s">
        <v>65</v>
      </c>
      <c r="N1763" s="12" t="s">
        <v>142</v>
      </c>
      <c r="O1763" s="12" t="s">
        <v>468</v>
      </c>
      <c r="P1763" s="12" t="s">
        <v>379</v>
      </c>
      <c r="Q1763" s="7" t="str">
        <f t="shared" si="82"/>
        <v>(1990,49,'1990.12.08',4,13,44,85,89,0),</v>
      </c>
      <c r="R1763" s="7" t="str">
        <f t="shared" si="84"/>
        <v>(1990,49,'1990.12.08',4,13,44,85,89),</v>
      </c>
    </row>
    <row r="1764" spans="1:18" x14ac:dyDescent="0.25">
      <c r="A1764" s="7" t="s">
        <v>411</v>
      </c>
      <c r="B1764" s="8" t="s">
        <v>105</v>
      </c>
      <c r="C1764" s="10">
        <f t="shared" si="83"/>
        <v>33222</v>
      </c>
      <c r="D1764" t="s">
        <v>11</v>
      </c>
      <c r="E1764" t="s">
        <v>12</v>
      </c>
      <c r="F1764" t="s">
        <v>11</v>
      </c>
      <c r="G1764" t="s">
        <v>12</v>
      </c>
      <c r="H1764" t="s">
        <v>11</v>
      </c>
      <c r="I1764" t="s">
        <v>12</v>
      </c>
      <c r="J1764" t="s">
        <v>11</v>
      </c>
      <c r="K1764" t="s">
        <v>12</v>
      </c>
      <c r="L1764" s="12" t="s">
        <v>19</v>
      </c>
      <c r="M1764" s="12" t="s">
        <v>25</v>
      </c>
      <c r="N1764" s="12" t="s">
        <v>192</v>
      </c>
      <c r="O1764" s="12" t="s">
        <v>122</v>
      </c>
      <c r="P1764" s="12" t="s">
        <v>215</v>
      </c>
      <c r="Q1764" s="7" t="str">
        <f t="shared" si="82"/>
        <v>(1990,50,'1990.12.15',18,34,46,51,81,0),</v>
      </c>
      <c r="R1764" s="7" t="str">
        <f t="shared" si="84"/>
        <v>(1990,50,'1990.12.15',18,34,46,51,81),</v>
      </c>
    </row>
    <row r="1765" spans="1:18" x14ac:dyDescent="0.25">
      <c r="A1765" s="7" t="s">
        <v>411</v>
      </c>
      <c r="B1765" s="8" t="s">
        <v>122</v>
      </c>
      <c r="C1765" s="10">
        <f t="shared" si="83"/>
        <v>33229</v>
      </c>
      <c r="D1765" t="s">
        <v>11</v>
      </c>
      <c r="E1765" t="s">
        <v>12</v>
      </c>
      <c r="F1765" t="s">
        <v>11</v>
      </c>
      <c r="G1765" t="s">
        <v>12</v>
      </c>
      <c r="H1765" t="s">
        <v>11</v>
      </c>
      <c r="I1765" t="s">
        <v>12</v>
      </c>
      <c r="J1765" t="s">
        <v>11</v>
      </c>
      <c r="K1765" t="s">
        <v>12</v>
      </c>
      <c r="L1765" s="12" t="s">
        <v>42</v>
      </c>
      <c r="M1765" s="12" t="s">
        <v>127</v>
      </c>
      <c r="N1765" s="12" t="s">
        <v>21</v>
      </c>
      <c r="O1765" s="12" t="s">
        <v>36</v>
      </c>
      <c r="P1765" s="12" t="s">
        <v>98</v>
      </c>
      <c r="Q1765" s="7" t="str">
        <f t="shared" si="82"/>
        <v>(1990,51,'1990.12.22',3,14,36,38,42,0),</v>
      </c>
      <c r="R1765" s="7" t="str">
        <f t="shared" si="84"/>
        <v>(1990,51,'1990.12.22',3,14,36,38,42),</v>
      </c>
    </row>
    <row r="1766" spans="1:18" x14ac:dyDescent="0.25">
      <c r="A1766" s="7" t="s">
        <v>411</v>
      </c>
      <c r="B1766" s="8" t="s">
        <v>99</v>
      </c>
      <c r="C1766" s="10">
        <f t="shared" si="83"/>
        <v>33236</v>
      </c>
      <c r="D1766" t="s">
        <v>11</v>
      </c>
      <c r="E1766" t="s">
        <v>12</v>
      </c>
      <c r="F1766" t="s">
        <v>11</v>
      </c>
      <c r="G1766" t="s">
        <v>12</v>
      </c>
      <c r="H1766" t="s">
        <v>11</v>
      </c>
      <c r="I1766" t="s">
        <v>12</v>
      </c>
      <c r="J1766" t="s">
        <v>11</v>
      </c>
      <c r="K1766" t="s">
        <v>12</v>
      </c>
      <c r="L1766" s="12" t="s">
        <v>64</v>
      </c>
      <c r="M1766" s="12" t="s">
        <v>98</v>
      </c>
      <c r="N1766" s="12" t="s">
        <v>34</v>
      </c>
      <c r="O1766" s="12" t="s">
        <v>123</v>
      </c>
      <c r="P1766" s="12" t="s">
        <v>63</v>
      </c>
      <c r="Q1766" s="7" t="str">
        <f t="shared" si="82"/>
        <v>(1990,52,'1990.12.29',35,42,49,54,78,0),</v>
      </c>
      <c r="R1766" s="7" t="str">
        <f t="shared" si="84"/>
        <v>(1990,52,'1990.12.29',35,42,49,54,78),</v>
      </c>
    </row>
    <row r="1767" spans="1:18" x14ac:dyDescent="0.25">
      <c r="A1767" s="7" t="s">
        <v>5848</v>
      </c>
      <c r="B1767" s="8" t="s">
        <v>108</v>
      </c>
      <c r="C1767" s="10">
        <f t="shared" si="83"/>
        <v>33243</v>
      </c>
      <c r="D1767" t="s">
        <v>11</v>
      </c>
      <c r="E1767" t="s">
        <v>12</v>
      </c>
      <c r="F1767" t="s">
        <v>11</v>
      </c>
      <c r="G1767" t="s">
        <v>12</v>
      </c>
      <c r="H1767" t="s">
        <v>11</v>
      </c>
      <c r="I1767" t="s">
        <v>12</v>
      </c>
      <c r="J1767" t="s">
        <v>11</v>
      </c>
      <c r="K1767" t="s">
        <v>12</v>
      </c>
      <c r="L1767" s="12" t="s">
        <v>44</v>
      </c>
      <c r="M1767" s="12" t="s">
        <v>133</v>
      </c>
      <c r="N1767" s="12" t="s">
        <v>81</v>
      </c>
      <c r="O1767" s="12" t="s">
        <v>169</v>
      </c>
      <c r="P1767" s="12" t="s">
        <v>151</v>
      </c>
      <c r="Q1767" s="7" t="str">
        <f t="shared" si="82"/>
        <v>(1991,1,'1991.01.05',21,45,47,58,79,0),</v>
      </c>
      <c r="R1767" s="7" t="str">
        <f t="shared" si="84"/>
        <v>(1991,1,'1991.01.05',21,45,47,58,79),</v>
      </c>
    </row>
    <row r="1768" spans="1:18" x14ac:dyDescent="0.25">
      <c r="A1768" s="7" t="s">
        <v>5848</v>
      </c>
      <c r="B1768" s="8" t="s">
        <v>207</v>
      </c>
      <c r="C1768" s="10">
        <f t="shared" si="83"/>
        <v>33250</v>
      </c>
      <c r="D1768" t="s">
        <v>11</v>
      </c>
      <c r="E1768" t="s">
        <v>12</v>
      </c>
      <c r="F1768" t="s">
        <v>11</v>
      </c>
      <c r="G1768" t="s">
        <v>12</v>
      </c>
      <c r="H1768" t="s">
        <v>11</v>
      </c>
      <c r="I1768" t="s">
        <v>12</v>
      </c>
      <c r="J1768" t="s">
        <v>11</v>
      </c>
      <c r="K1768" t="s">
        <v>12</v>
      </c>
      <c r="L1768" s="12" t="s">
        <v>32</v>
      </c>
      <c r="M1768" s="12" t="s">
        <v>126</v>
      </c>
      <c r="N1768" s="12" t="s">
        <v>10</v>
      </c>
      <c r="O1768" s="12" t="s">
        <v>239</v>
      </c>
      <c r="P1768" s="12" t="s">
        <v>468</v>
      </c>
      <c r="Q1768" s="7" t="str">
        <f t="shared" si="82"/>
        <v>(1991,2,'1991.01.12',22,28,40,73,85,0),</v>
      </c>
      <c r="R1768" s="7" t="str">
        <f t="shared" si="84"/>
        <v>(1991,2,'1991.01.12',22,28,40,73,85),</v>
      </c>
    </row>
    <row r="1769" spans="1:18" x14ac:dyDescent="0.25">
      <c r="A1769" s="7" t="s">
        <v>5848</v>
      </c>
      <c r="B1769" s="8" t="s">
        <v>42</v>
      </c>
      <c r="C1769" s="10">
        <f t="shared" si="83"/>
        <v>33257</v>
      </c>
      <c r="D1769" t="s">
        <v>11</v>
      </c>
      <c r="E1769" t="s">
        <v>12</v>
      </c>
      <c r="F1769" t="s">
        <v>11</v>
      </c>
      <c r="G1769" t="s">
        <v>12</v>
      </c>
      <c r="H1769" t="s">
        <v>11</v>
      </c>
      <c r="I1769" t="s">
        <v>12</v>
      </c>
      <c r="J1769" t="s">
        <v>11</v>
      </c>
      <c r="K1769" t="s">
        <v>12</v>
      </c>
      <c r="L1769" s="12" t="s">
        <v>31</v>
      </c>
      <c r="M1769" s="12" t="s">
        <v>127</v>
      </c>
      <c r="N1769" s="12" t="s">
        <v>152</v>
      </c>
      <c r="O1769" s="12" t="s">
        <v>105</v>
      </c>
      <c r="P1769" s="12" t="s">
        <v>468</v>
      </c>
      <c r="Q1769" s="7" t="str">
        <f t="shared" si="82"/>
        <v>(1991,3,'1991.01.19',12,14,25,50,85,0),</v>
      </c>
      <c r="R1769" s="7" t="str">
        <f t="shared" si="84"/>
        <v>(1991,3,'1991.01.19',12,14,25,50,85),</v>
      </c>
    </row>
    <row r="1770" spans="1:18" x14ac:dyDescent="0.25">
      <c r="A1770" s="7" t="s">
        <v>5848</v>
      </c>
      <c r="B1770" s="8" t="s">
        <v>168</v>
      </c>
      <c r="C1770" s="10">
        <f t="shared" si="83"/>
        <v>33264</v>
      </c>
      <c r="D1770" t="s">
        <v>11</v>
      </c>
      <c r="E1770" t="s">
        <v>12</v>
      </c>
      <c r="F1770" t="s">
        <v>11</v>
      </c>
      <c r="G1770" t="s">
        <v>12</v>
      </c>
      <c r="H1770" t="s">
        <v>11</v>
      </c>
      <c r="I1770" t="s">
        <v>12</v>
      </c>
      <c r="J1770" t="s">
        <v>11</v>
      </c>
      <c r="K1770" t="s">
        <v>12</v>
      </c>
      <c r="L1770" s="12" t="s">
        <v>232</v>
      </c>
      <c r="M1770" s="12" t="s">
        <v>124</v>
      </c>
      <c r="N1770" s="12" t="s">
        <v>35</v>
      </c>
      <c r="O1770" s="12" t="s">
        <v>63</v>
      </c>
      <c r="P1770" s="12" t="s">
        <v>301</v>
      </c>
      <c r="Q1770" s="7" t="str">
        <f t="shared" si="82"/>
        <v>(1991,4,'1991.01.26',8,62,65,78,80,0),</v>
      </c>
      <c r="R1770" s="7" t="str">
        <f t="shared" si="84"/>
        <v>(1991,4,'1991.01.26',8,62,65,78,80),</v>
      </c>
    </row>
    <row r="1771" spans="1:18" x14ac:dyDescent="0.25">
      <c r="A1771" s="7" t="s">
        <v>5848</v>
      </c>
      <c r="B1771" s="8" t="s">
        <v>89</v>
      </c>
      <c r="C1771" s="10">
        <f t="shared" si="83"/>
        <v>33271</v>
      </c>
      <c r="D1771" t="s">
        <v>11</v>
      </c>
      <c r="E1771" t="s">
        <v>12</v>
      </c>
      <c r="F1771" t="s">
        <v>11</v>
      </c>
      <c r="G1771" t="s">
        <v>12</v>
      </c>
      <c r="H1771" t="s">
        <v>11</v>
      </c>
      <c r="I1771" t="s">
        <v>12</v>
      </c>
      <c r="J1771" t="s">
        <v>11</v>
      </c>
      <c r="K1771" t="s">
        <v>12</v>
      </c>
      <c r="L1771" s="12" t="s">
        <v>55</v>
      </c>
      <c r="M1771" s="12" t="s">
        <v>71</v>
      </c>
      <c r="N1771" s="12" t="s">
        <v>34</v>
      </c>
      <c r="O1771" s="12" t="s">
        <v>245</v>
      </c>
      <c r="P1771" s="12" t="s">
        <v>215</v>
      </c>
      <c r="Q1771" s="7" t="str">
        <f t="shared" si="82"/>
        <v>(1991,5,'1991.02.02',19,31,49,74,81,0),</v>
      </c>
      <c r="R1771" s="7" t="str">
        <f t="shared" si="84"/>
        <v>(1991,5,'1991.02.02',19,31,49,74,81),</v>
      </c>
    </row>
    <row r="1772" spans="1:18" x14ac:dyDescent="0.25">
      <c r="A1772" s="7" t="s">
        <v>5848</v>
      </c>
      <c r="B1772" s="8" t="s">
        <v>270</v>
      </c>
      <c r="C1772" s="10">
        <f t="shared" si="83"/>
        <v>33278</v>
      </c>
      <c r="D1772" t="s">
        <v>11</v>
      </c>
      <c r="E1772" t="s">
        <v>12</v>
      </c>
      <c r="F1772" t="s">
        <v>11</v>
      </c>
      <c r="G1772" t="s">
        <v>12</v>
      </c>
      <c r="H1772" t="s">
        <v>11</v>
      </c>
      <c r="I1772" t="s">
        <v>12</v>
      </c>
      <c r="J1772" t="s">
        <v>11</v>
      </c>
      <c r="K1772" t="s">
        <v>12</v>
      </c>
      <c r="L1772" s="12" t="s">
        <v>80</v>
      </c>
      <c r="M1772" s="12" t="s">
        <v>25</v>
      </c>
      <c r="N1772" s="12" t="s">
        <v>10</v>
      </c>
      <c r="O1772" s="12" t="s">
        <v>122</v>
      </c>
      <c r="P1772" s="12" t="s">
        <v>124</v>
      </c>
      <c r="Q1772" s="7" t="str">
        <f t="shared" si="82"/>
        <v>(1991,6,'1991.02.09',32,34,40,51,62,0),</v>
      </c>
      <c r="R1772" s="7" t="str">
        <f t="shared" si="84"/>
        <v>(1991,6,'1991.02.09',32,34,40,51,62),</v>
      </c>
    </row>
    <row r="1773" spans="1:18" x14ac:dyDescent="0.25">
      <c r="A1773" s="7" t="s">
        <v>5848</v>
      </c>
      <c r="B1773" s="8" t="s">
        <v>53</v>
      </c>
      <c r="C1773" s="10">
        <f t="shared" si="83"/>
        <v>33285</v>
      </c>
      <c r="D1773" t="s">
        <v>11</v>
      </c>
      <c r="E1773" t="s">
        <v>12</v>
      </c>
      <c r="F1773" t="s">
        <v>11</v>
      </c>
      <c r="G1773" t="s">
        <v>12</v>
      </c>
      <c r="H1773" t="s">
        <v>11</v>
      </c>
      <c r="I1773" t="s">
        <v>12</v>
      </c>
      <c r="J1773" t="s">
        <v>11</v>
      </c>
      <c r="K1773" t="s">
        <v>12</v>
      </c>
      <c r="L1773" s="12" t="s">
        <v>23</v>
      </c>
      <c r="M1773" s="12" t="s">
        <v>91</v>
      </c>
      <c r="N1773" s="12" t="s">
        <v>47</v>
      </c>
      <c r="O1773" s="12" t="s">
        <v>56</v>
      </c>
      <c r="P1773" s="12" t="s">
        <v>151</v>
      </c>
      <c r="Q1773" s="7" t="str">
        <f t="shared" si="82"/>
        <v>(1991,7,'1991.02.16',60,61,69,71,79,0),</v>
      </c>
      <c r="R1773" s="7" t="str">
        <f t="shared" si="84"/>
        <v>(1991,7,'1991.02.16',60,61,69,71,79),</v>
      </c>
    </row>
    <row r="1774" spans="1:18" x14ac:dyDescent="0.25">
      <c r="A1774" s="7" t="s">
        <v>5848</v>
      </c>
      <c r="B1774" s="8" t="s">
        <v>232</v>
      </c>
      <c r="C1774" s="10">
        <f t="shared" si="83"/>
        <v>33292</v>
      </c>
      <c r="D1774" t="s">
        <v>11</v>
      </c>
      <c r="E1774" t="s">
        <v>12</v>
      </c>
      <c r="F1774" t="s">
        <v>11</v>
      </c>
      <c r="G1774" t="s">
        <v>12</v>
      </c>
      <c r="H1774" t="s">
        <v>11</v>
      </c>
      <c r="I1774" t="s">
        <v>12</v>
      </c>
      <c r="J1774" t="s">
        <v>11</v>
      </c>
      <c r="K1774" t="s">
        <v>12</v>
      </c>
      <c r="L1774" s="12" t="s">
        <v>19</v>
      </c>
      <c r="M1774" s="12" t="s">
        <v>46</v>
      </c>
      <c r="N1774" s="12" t="s">
        <v>214</v>
      </c>
      <c r="O1774" s="12" t="s">
        <v>63</v>
      </c>
      <c r="P1774" s="12" t="s">
        <v>622</v>
      </c>
      <c r="Q1774" s="7" t="str">
        <f t="shared" si="82"/>
        <v>(1991,8,'1991.02.23',18,37,64,78,82,0),</v>
      </c>
      <c r="R1774" s="7" t="str">
        <f t="shared" si="84"/>
        <v>(1991,8,'1991.02.23',18,37,64,78,82),</v>
      </c>
    </row>
    <row r="1775" spans="1:18" x14ac:dyDescent="0.25">
      <c r="A1775" s="7" t="s">
        <v>5848</v>
      </c>
      <c r="B1775" s="8" t="s">
        <v>198</v>
      </c>
      <c r="C1775" s="10">
        <f t="shared" si="83"/>
        <v>33299</v>
      </c>
      <c r="D1775" t="s">
        <v>11</v>
      </c>
      <c r="E1775" t="s">
        <v>12</v>
      </c>
      <c r="F1775" t="s">
        <v>11</v>
      </c>
      <c r="G1775" t="s">
        <v>12</v>
      </c>
      <c r="H1775" t="s">
        <v>11</v>
      </c>
      <c r="I1775" t="s">
        <v>12</v>
      </c>
      <c r="J1775" t="s">
        <v>11</v>
      </c>
      <c r="K1775" t="s">
        <v>12</v>
      </c>
      <c r="L1775" s="12" t="s">
        <v>53</v>
      </c>
      <c r="M1775" s="12" t="s">
        <v>74</v>
      </c>
      <c r="N1775" s="12" t="s">
        <v>200</v>
      </c>
      <c r="O1775" s="12" t="s">
        <v>73</v>
      </c>
      <c r="P1775" s="12" t="s">
        <v>269</v>
      </c>
      <c r="Q1775" s="7" t="str">
        <f t="shared" si="82"/>
        <v>(1991,9,'1991.03.02',7,26,70,76,87,0),</v>
      </c>
      <c r="R1775" s="7" t="str">
        <f t="shared" si="84"/>
        <v>(1991,9,'1991.03.02',7,26,70,76,87),</v>
      </c>
    </row>
    <row r="1776" spans="1:18" x14ac:dyDescent="0.25">
      <c r="A1776" s="7" t="s">
        <v>5848</v>
      </c>
      <c r="B1776" s="8" t="s">
        <v>62</v>
      </c>
      <c r="C1776" s="10">
        <f t="shared" si="83"/>
        <v>33306</v>
      </c>
      <c r="D1776" t="s">
        <v>11</v>
      </c>
      <c r="E1776" t="s">
        <v>12</v>
      </c>
      <c r="F1776" t="s">
        <v>11</v>
      </c>
      <c r="G1776" t="s">
        <v>12</v>
      </c>
      <c r="H1776" t="s">
        <v>11</v>
      </c>
      <c r="I1776" t="s">
        <v>12</v>
      </c>
      <c r="J1776" t="s">
        <v>11</v>
      </c>
      <c r="K1776" t="s">
        <v>12</v>
      </c>
      <c r="L1776" s="12" t="s">
        <v>55</v>
      </c>
      <c r="M1776" s="12" t="s">
        <v>163</v>
      </c>
      <c r="N1776" s="12" t="s">
        <v>150</v>
      </c>
      <c r="O1776" s="12" t="s">
        <v>248</v>
      </c>
      <c r="P1776" s="12" t="s">
        <v>233</v>
      </c>
      <c r="Q1776" s="7" t="str">
        <f t="shared" si="82"/>
        <v>(1991,10,'1991.03.09',19,23,57,63,66,0),</v>
      </c>
      <c r="R1776" s="7" t="str">
        <f t="shared" si="84"/>
        <v>(1991,10,'1991.03.09',19,23,57,63,66),</v>
      </c>
    </row>
    <row r="1777" spans="1:18" x14ac:dyDescent="0.25">
      <c r="A1777" s="7" t="s">
        <v>5848</v>
      </c>
      <c r="B1777" s="8" t="s">
        <v>83</v>
      </c>
      <c r="C1777" s="10">
        <f t="shared" si="83"/>
        <v>33313</v>
      </c>
      <c r="D1777" t="s">
        <v>11</v>
      </c>
      <c r="E1777" t="s">
        <v>12</v>
      </c>
      <c r="F1777" t="s">
        <v>11</v>
      </c>
      <c r="G1777" t="s">
        <v>12</v>
      </c>
      <c r="H1777" t="s">
        <v>11</v>
      </c>
      <c r="I1777" t="s">
        <v>12</v>
      </c>
      <c r="J1777" t="s">
        <v>11</v>
      </c>
      <c r="K1777" t="s">
        <v>12</v>
      </c>
      <c r="L1777" s="12" t="s">
        <v>83</v>
      </c>
      <c r="M1777" s="12" t="s">
        <v>31</v>
      </c>
      <c r="N1777" s="12" t="s">
        <v>98</v>
      </c>
      <c r="O1777" s="12" t="s">
        <v>73</v>
      </c>
      <c r="P1777" s="12" t="s">
        <v>125</v>
      </c>
      <c r="Q1777" s="7" t="str">
        <f t="shared" si="82"/>
        <v>(1991,11,'1991.03.16',11,12,42,76,83,0),</v>
      </c>
      <c r="R1777" s="7" t="str">
        <f t="shared" si="84"/>
        <v>(1991,11,'1991.03.16',11,12,42,76,83),</v>
      </c>
    </row>
    <row r="1778" spans="1:18" x14ac:dyDescent="0.25">
      <c r="A1778" s="7" t="s">
        <v>5848</v>
      </c>
      <c r="B1778" s="8" t="s">
        <v>31</v>
      </c>
      <c r="C1778" s="10">
        <f t="shared" si="83"/>
        <v>33320</v>
      </c>
      <c r="D1778" t="s">
        <v>11</v>
      </c>
      <c r="E1778" t="s">
        <v>12</v>
      </c>
      <c r="F1778" t="s">
        <v>11</v>
      </c>
      <c r="G1778" t="s">
        <v>12</v>
      </c>
      <c r="H1778" t="s">
        <v>11</v>
      </c>
      <c r="I1778" t="s">
        <v>12</v>
      </c>
      <c r="J1778" t="s">
        <v>11</v>
      </c>
      <c r="K1778" t="s">
        <v>12</v>
      </c>
      <c r="L1778" s="12" t="s">
        <v>31</v>
      </c>
      <c r="M1778" s="12" t="s">
        <v>13</v>
      </c>
      <c r="N1778" s="12" t="s">
        <v>105</v>
      </c>
      <c r="O1778" s="12" t="s">
        <v>91</v>
      </c>
      <c r="P1778" s="12" t="s">
        <v>201</v>
      </c>
      <c r="Q1778" s="7" t="str">
        <f t="shared" si="82"/>
        <v>(1991,12,'1991.03.23',12,41,50,61,72,0),</v>
      </c>
      <c r="R1778" s="7" t="str">
        <f t="shared" si="84"/>
        <v>(1991,12,'1991.03.23',12,41,50,61,72),</v>
      </c>
    </row>
    <row r="1779" spans="1:18" x14ac:dyDescent="0.25">
      <c r="A1779" s="7" t="s">
        <v>5848</v>
      </c>
      <c r="B1779" s="8" t="s">
        <v>65</v>
      </c>
      <c r="C1779" s="10">
        <f t="shared" si="83"/>
        <v>33327</v>
      </c>
      <c r="D1779" t="s">
        <v>11</v>
      </c>
      <c r="E1779" t="s">
        <v>12</v>
      </c>
      <c r="F1779" t="s">
        <v>11</v>
      </c>
      <c r="G1779" t="s">
        <v>12</v>
      </c>
      <c r="H1779" t="s">
        <v>11</v>
      </c>
      <c r="I1779" t="s">
        <v>12</v>
      </c>
      <c r="J1779" t="s">
        <v>11</v>
      </c>
      <c r="K1779" t="s">
        <v>12</v>
      </c>
      <c r="L1779" s="12" t="s">
        <v>270</v>
      </c>
      <c r="M1779" s="12" t="s">
        <v>232</v>
      </c>
      <c r="N1779" s="12" t="s">
        <v>163</v>
      </c>
      <c r="O1779" s="12" t="s">
        <v>56</v>
      </c>
      <c r="P1779" s="12" t="s">
        <v>125</v>
      </c>
      <c r="Q1779" s="7" t="str">
        <f t="shared" si="82"/>
        <v>(1991,13,'1991.03.30',6,8,23,71,83,0),</v>
      </c>
      <c r="R1779" s="7" t="str">
        <f t="shared" si="84"/>
        <v>(1991,13,'1991.03.30',6,8,23,71,83),</v>
      </c>
    </row>
    <row r="1780" spans="1:18" x14ac:dyDescent="0.25">
      <c r="A1780" s="7" t="s">
        <v>5848</v>
      </c>
      <c r="B1780" s="8" t="s">
        <v>127</v>
      </c>
      <c r="C1780" s="10">
        <f t="shared" si="83"/>
        <v>33334</v>
      </c>
      <c r="D1780" t="s">
        <v>11</v>
      </c>
      <c r="E1780" t="s">
        <v>12</v>
      </c>
      <c r="F1780" t="s">
        <v>11</v>
      </c>
      <c r="G1780" t="s">
        <v>12</v>
      </c>
      <c r="H1780" t="s">
        <v>11</v>
      </c>
      <c r="I1780" t="s">
        <v>12</v>
      </c>
      <c r="J1780" t="s">
        <v>11</v>
      </c>
      <c r="K1780" t="s">
        <v>12</v>
      </c>
      <c r="L1780" s="12" t="s">
        <v>89</v>
      </c>
      <c r="M1780" s="12" t="s">
        <v>198</v>
      </c>
      <c r="N1780" s="12" t="s">
        <v>214</v>
      </c>
      <c r="O1780" s="12" t="s">
        <v>233</v>
      </c>
      <c r="P1780" s="12" t="s">
        <v>201</v>
      </c>
      <c r="Q1780" s="7" t="str">
        <f t="shared" si="82"/>
        <v>(1991,14,'1991.04.06',5,9,64,66,72,0),</v>
      </c>
      <c r="R1780" s="7" t="str">
        <f t="shared" si="84"/>
        <v>(1991,14,'1991.04.06',5,9,64,66,72),</v>
      </c>
    </row>
    <row r="1781" spans="1:18" x14ac:dyDescent="0.25">
      <c r="A1781" s="7" t="s">
        <v>5848</v>
      </c>
      <c r="B1781" s="8" t="s">
        <v>54</v>
      </c>
      <c r="C1781" s="10">
        <f t="shared" si="83"/>
        <v>33341</v>
      </c>
      <c r="D1781" t="s">
        <v>11</v>
      </c>
      <c r="E1781" t="s">
        <v>12</v>
      </c>
      <c r="F1781" t="s">
        <v>11</v>
      </c>
      <c r="G1781" t="s">
        <v>12</v>
      </c>
      <c r="H1781" t="s">
        <v>11</v>
      </c>
      <c r="I1781" t="s">
        <v>12</v>
      </c>
      <c r="J1781" t="s">
        <v>11</v>
      </c>
      <c r="K1781" t="s">
        <v>12</v>
      </c>
      <c r="L1781" s="12" t="s">
        <v>21</v>
      </c>
      <c r="M1781" s="12" t="s">
        <v>91</v>
      </c>
      <c r="N1781" s="12" t="s">
        <v>214</v>
      </c>
      <c r="O1781" s="12" t="s">
        <v>106</v>
      </c>
      <c r="P1781" s="12" t="s">
        <v>208</v>
      </c>
      <c r="Q1781" s="7" t="str">
        <f t="shared" si="82"/>
        <v>(1991,15,'1991.04.13',36,61,64,75,88,0),</v>
      </c>
      <c r="R1781" s="7" t="str">
        <f t="shared" si="84"/>
        <v>(1991,15,'1991.04.13',36,61,64,75,88),</v>
      </c>
    </row>
    <row r="1782" spans="1:18" x14ac:dyDescent="0.25">
      <c r="A1782" s="7" t="s">
        <v>5848</v>
      </c>
      <c r="B1782" s="8" t="s">
        <v>43</v>
      </c>
      <c r="C1782" s="10">
        <f t="shared" si="83"/>
        <v>33348</v>
      </c>
      <c r="D1782" t="s">
        <v>11</v>
      </c>
      <c r="E1782" t="s">
        <v>12</v>
      </c>
      <c r="F1782" t="s">
        <v>11</v>
      </c>
      <c r="G1782" t="s">
        <v>12</v>
      </c>
      <c r="H1782" t="s">
        <v>11</v>
      </c>
      <c r="I1782" t="s">
        <v>12</v>
      </c>
      <c r="J1782" t="s">
        <v>11</v>
      </c>
      <c r="K1782" t="s">
        <v>12</v>
      </c>
      <c r="L1782" s="12" t="s">
        <v>80</v>
      </c>
      <c r="M1782" s="12" t="s">
        <v>13</v>
      </c>
      <c r="N1782" s="12" t="s">
        <v>122</v>
      </c>
      <c r="O1782" s="12" t="s">
        <v>35</v>
      </c>
      <c r="P1782" s="12" t="s">
        <v>143</v>
      </c>
      <c r="Q1782" s="7" t="str">
        <f t="shared" si="82"/>
        <v>(1991,16,'1991.04.20',32,41,51,65,77,0),</v>
      </c>
      <c r="R1782" s="7" t="str">
        <f t="shared" si="84"/>
        <v>(1991,16,'1991.04.20',32,41,51,65,77),</v>
      </c>
    </row>
    <row r="1783" spans="1:18" x14ac:dyDescent="0.25">
      <c r="A1783" s="7" t="s">
        <v>5848</v>
      </c>
      <c r="B1783" s="8" t="s">
        <v>90</v>
      </c>
      <c r="C1783" s="10">
        <f t="shared" si="83"/>
        <v>33355</v>
      </c>
      <c r="D1783" t="s">
        <v>11</v>
      </c>
      <c r="E1783" t="s">
        <v>12</v>
      </c>
      <c r="F1783" t="s">
        <v>11</v>
      </c>
      <c r="G1783" t="s">
        <v>12</v>
      </c>
      <c r="H1783" t="s">
        <v>11</v>
      </c>
      <c r="I1783" t="s">
        <v>12</v>
      </c>
      <c r="J1783" t="s">
        <v>11</v>
      </c>
      <c r="K1783" t="s">
        <v>12</v>
      </c>
      <c r="L1783" s="12" t="s">
        <v>108</v>
      </c>
      <c r="M1783" s="12" t="s">
        <v>19</v>
      </c>
      <c r="N1783" s="12" t="s">
        <v>126</v>
      </c>
      <c r="O1783" s="12" t="s">
        <v>20</v>
      </c>
      <c r="P1783" s="12" t="s">
        <v>208</v>
      </c>
      <c r="Q1783" s="7" t="str">
        <f t="shared" si="82"/>
        <v>(1991,17,'1991.04.27',1,18,28,33,88,0),</v>
      </c>
      <c r="R1783" s="7" t="str">
        <f t="shared" si="84"/>
        <v>(1991,17,'1991.04.27',1,18,28,33,88),</v>
      </c>
    </row>
    <row r="1784" spans="1:18" x14ac:dyDescent="0.25">
      <c r="A1784" s="7" t="s">
        <v>5848</v>
      </c>
      <c r="B1784" s="8" t="s">
        <v>19</v>
      </c>
      <c r="C1784" s="10">
        <f t="shared" si="83"/>
        <v>33362</v>
      </c>
      <c r="D1784" t="s">
        <v>11</v>
      </c>
      <c r="E1784" t="s">
        <v>12</v>
      </c>
      <c r="F1784" t="s">
        <v>11</v>
      </c>
      <c r="G1784" t="s">
        <v>12</v>
      </c>
      <c r="H1784" t="s">
        <v>11</v>
      </c>
      <c r="I1784" t="s">
        <v>12</v>
      </c>
      <c r="J1784" t="s">
        <v>11</v>
      </c>
      <c r="K1784" t="s">
        <v>12</v>
      </c>
      <c r="L1784" s="12" t="s">
        <v>270</v>
      </c>
      <c r="M1784" s="12" t="s">
        <v>46</v>
      </c>
      <c r="N1784" s="12" t="s">
        <v>13</v>
      </c>
      <c r="O1784" s="12" t="s">
        <v>214</v>
      </c>
      <c r="P1784" s="12" t="s">
        <v>186</v>
      </c>
      <c r="Q1784" s="7" t="str">
        <f t="shared" si="82"/>
        <v>(1991,18,'1991.05.04',6,37,41,64,90,0),</v>
      </c>
      <c r="R1784" s="7" t="str">
        <f t="shared" si="84"/>
        <v>(1991,18,'1991.05.04',6,37,41,64,90),</v>
      </c>
    </row>
    <row r="1785" spans="1:18" x14ac:dyDescent="0.25">
      <c r="A1785" s="7" t="s">
        <v>5848</v>
      </c>
      <c r="B1785" s="8" t="s">
        <v>55</v>
      </c>
      <c r="C1785" s="10">
        <f t="shared" si="83"/>
        <v>33369</v>
      </c>
      <c r="D1785" t="s">
        <v>11</v>
      </c>
      <c r="E1785" t="s">
        <v>12</v>
      </c>
      <c r="F1785" t="s">
        <v>11</v>
      </c>
      <c r="G1785" t="s">
        <v>12</v>
      </c>
      <c r="H1785" t="s">
        <v>11</v>
      </c>
      <c r="I1785" t="s">
        <v>12</v>
      </c>
      <c r="J1785" t="s">
        <v>11</v>
      </c>
      <c r="K1785" t="s">
        <v>12</v>
      </c>
      <c r="L1785" s="12" t="s">
        <v>207</v>
      </c>
      <c r="M1785" s="12" t="s">
        <v>31</v>
      </c>
      <c r="N1785" s="12" t="s">
        <v>105</v>
      </c>
      <c r="O1785" s="12" t="s">
        <v>124</v>
      </c>
      <c r="P1785" s="12" t="s">
        <v>245</v>
      </c>
      <c r="Q1785" s="7" t="str">
        <f t="shared" si="82"/>
        <v>(1991,19,'1991.05.11',2,12,50,62,74,0),</v>
      </c>
      <c r="R1785" s="7" t="str">
        <f t="shared" si="84"/>
        <v>(1991,19,'1991.05.11',2,12,50,62,74),</v>
      </c>
    </row>
    <row r="1786" spans="1:18" x14ac:dyDescent="0.25">
      <c r="A1786" s="7" t="s">
        <v>5848</v>
      </c>
      <c r="B1786" s="8" t="s">
        <v>115</v>
      </c>
      <c r="C1786" s="10">
        <f t="shared" si="83"/>
        <v>33376</v>
      </c>
      <c r="D1786" t="s">
        <v>11</v>
      </c>
      <c r="E1786" t="s">
        <v>12</v>
      </c>
      <c r="F1786" t="s">
        <v>11</v>
      </c>
      <c r="G1786" t="s">
        <v>12</v>
      </c>
      <c r="H1786" t="s">
        <v>11</v>
      </c>
      <c r="I1786" t="s">
        <v>12</v>
      </c>
      <c r="J1786" t="s">
        <v>11</v>
      </c>
      <c r="K1786" t="s">
        <v>12</v>
      </c>
      <c r="L1786" s="12" t="s">
        <v>198</v>
      </c>
      <c r="M1786" s="12" t="s">
        <v>64</v>
      </c>
      <c r="N1786" s="12" t="s">
        <v>199</v>
      </c>
      <c r="O1786" s="12" t="s">
        <v>23</v>
      </c>
      <c r="P1786" s="12" t="s">
        <v>125</v>
      </c>
      <c r="Q1786" s="7" t="str">
        <f t="shared" si="82"/>
        <v>(1991,20,'1991.05.18',9,35,53,60,83,0),</v>
      </c>
      <c r="R1786" s="7" t="str">
        <f t="shared" si="84"/>
        <v>(1991,20,'1991.05.18',9,35,53,60,83),</v>
      </c>
    </row>
    <row r="1787" spans="1:18" x14ac:dyDescent="0.25">
      <c r="A1787" s="7" t="s">
        <v>5848</v>
      </c>
      <c r="B1787" s="8" t="s">
        <v>44</v>
      </c>
      <c r="C1787" s="10">
        <f t="shared" si="83"/>
        <v>33383</v>
      </c>
      <c r="D1787" t="s">
        <v>11</v>
      </c>
      <c r="E1787" t="s">
        <v>12</v>
      </c>
      <c r="F1787" t="s">
        <v>11</v>
      </c>
      <c r="G1787" t="s">
        <v>12</v>
      </c>
      <c r="H1787" t="s">
        <v>11</v>
      </c>
      <c r="I1787" t="s">
        <v>12</v>
      </c>
      <c r="J1787" t="s">
        <v>11</v>
      </c>
      <c r="K1787" t="s">
        <v>12</v>
      </c>
      <c r="L1787" s="12" t="s">
        <v>108</v>
      </c>
      <c r="M1787" s="12" t="s">
        <v>71</v>
      </c>
      <c r="N1787" s="12" t="s">
        <v>25</v>
      </c>
      <c r="O1787" s="12" t="s">
        <v>105</v>
      </c>
      <c r="P1787" s="12" t="s">
        <v>233</v>
      </c>
      <c r="Q1787" s="7" t="str">
        <f t="shared" si="82"/>
        <v>(1991,21,'1991.05.25',1,31,34,50,66,0),</v>
      </c>
      <c r="R1787" s="7" t="str">
        <f t="shared" si="84"/>
        <v>(1991,21,'1991.05.25',1,31,34,50,66),</v>
      </c>
    </row>
    <row r="1788" spans="1:18" x14ac:dyDescent="0.25">
      <c r="A1788" s="7" t="s">
        <v>5848</v>
      </c>
      <c r="B1788" s="8" t="s">
        <v>32</v>
      </c>
      <c r="C1788" s="10">
        <f t="shared" si="83"/>
        <v>33390</v>
      </c>
      <c r="D1788" t="s">
        <v>11</v>
      </c>
      <c r="E1788" t="s">
        <v>12</v>
      </c>
      <c r="F1788" t="s">
        <v>11</v>
      </c>
      <c r="G1788" t="s">
        <v>12</v>
      </c>
      <c r="H1788" t="s">
        <v>11</v>
      </c>
      <c r="I1788" t="s">
        <v>12</v>
      </c>
      <c r="J1788" t="s">
        <v>11</v>
      </c>
      <c r="K1788" t="s">
        <v>12</v>
      </c>
      <c r="L1788" s="12" t="s">
        <v>89</v>
      </c>
      <c r="M1788" s="12" t="s">
        <v>32</v>
      </c>
      <c r="N1788" s="12" t="s">
        <v>134</v>
      </c>
      <c r="O1788" s="12" t="s">
        <v>150</v>
      </c>
      <c r="P1788" s="12" t="s">
        <v>245</v>
      </c>
      <c r="Q1788" s="7" t="str">
        <f t="shared" si="82"/>
        <v>(1991,22,'1991.06.01',5,22,56,57,74,0),</v>
      </c>
      <c r="R1788" s="7" t="str">
        <f t="shared" si="84"/>
        <v>(1991,22,'1991.06.01',5,22,56,57,74),</v>
      </c>
    </row>
    <row r="1789" spans="1:18" x14ac:dyDescent="0.25">
      <c r="A1789" s="7" t="s">
        <v>5848</v>
      </c>
      <c r="B1789" s="8" t="s">
        <v>163</v>
      </c>
      <c r="C1789" s="10">
        <f t="shared" si="83"/>
        <v>33397</v>
      </c>
      <c r="D1789" t="s">
        <v>11</v>
      </c>
      <c r="E1789" t="s">
        <v>12</v>
      </c>
      <c r="F1789" t="s">
        <v>11</v>
      </c>
      <c r="G1789" t="s">
        <v>12</v>
      </c>
      <c r="H1789" t="s">
        <v>11</v>
      </c>
      <c r="I1789" t="s">
        <v>12</v>
      </c>
      <c r="J1789" t="s">
        <v>11</v>
      </c>
      <c r="K1789" t="s">
        <v>12</v>
      </c>
      <c r="L1789" s="12" t="s">
        <v>83</v>
      </c>
      <c r="M1789" s="12" t="s">
        <v>99</v>
      </c>
      <c r="N1789" s="12" t="s">
        <v>245</v>
      </c>
      <c r="O1789" s="12" t="s">
        <v>308</v>
      </c>
      <c r="P1789" s="12" t="s">
        <v>186</v>
      </c>
      <c r="Q1789" s="7" t="str">
        <f t="shared" si="82"/>
        <v>(1991,23,'1991.06.08',11,52,74,86,90,0),</v>
      </c>
      <c r="R1789" s="7" t="str">
        <f t="shared" si="84"/>
        <v>(1991,23,'1991.06.08',11,52,74,86,90),</v>
      </c>
    </row>
    <row r="1790" spans="1:18" x14ac:dyDescent="0.25">
      <c r="A1790" s="7" t="s">
        <v>5848</v>
      </c>
      <c r="B1790" s="8" t="s">
        <v>33</v>
      </c>
      <c r="C1790" s="10">
        <f t="shared" si="83"/>
        <v>33404</v>
      </c>
      <c r="D1790" t="s">
        <v>11</v>
      </c>
      <c r="E1790" t="s">
        <v>12</v>
      </c>
      <c r="F1790" t="s">
        <v>11</v>
      </c>
      <c r="G1790" t="s">
        <v>12</v>
      </c>
      <c r="H1790" t="s">
        <v>11</v>
      </c>
      <c r="I1790" t="s">
        <v>12</v>
      </c>
      <c r="J1790" t="s">
        <v>11</v>
      </c>
      <c r="K1790" t="s">
        <v>12</v>
      </c>
      <c r="L1790" s="12" t="s">
        <v>46</v>
      </c>
      <c r="M1790" s="12" t="s">
        <v>199</v>
      </c>
      <c r="N1790" s="12" t="s">
        <v>169</v>
      </c>
      <c r="O1790" s="12" t="s">
        <v>47</v>
      </c>
      <c r="P1790" s="12" t="s">
        <v>379</v>
      </c>
      <c r="Q1790" s="7" t="str">
        <f t="shared" si="82"/>
        <v>(1991,24,'1991.06.15',37,53,58,69,89,0),</v>
      </c>
      <c r="R1790" s="7" t="str">
        <f t="shared" si="84"/>
        <v>(1991,24,'1991.06.15',37,53,58,69,89),</v>
      </c>
    </row>
    <row r="1791" spans="1:18" x14ac:dyDescent="0.25">
      <c r="A1791" s="7" t="s">
        <v>5848</v>
      </c>
      <c r="B1791" s="8" t="s">
        <v>152</v>
      </c>
      <c r="C1791" s="10">
        <f t="shared" si="83"/>
        <v>33411</v>
      </c>
      <c r="D1791" t="s">
        <v>11</v>
      </c>
      <c r="E1791" t="s">
        <v>12</v>
      </c>
      <c r="F1791" t="s">
        <v>11</v>
      </c>
      <c r="G1791" t="s">
        <v>12</v>
      </c>
      <c r="H1791" t="s">
        <v>11</v>
      </c>
      <c r="I1791" t="s">
        <v>12</v>
      </c>
      <c r="J1791" t="s">
        <v>11</v>
      </c>
      <c r="K1791" t="s">
        <v>12</v>
      </c>
      <c r="L1791" s="12" t="s">
        <v>53</v>
      </c>
      <c r="M1791" s="12" t="s">
        <v>65</v>
      </c>
      <c r="N1791" s="12" t="s">
        <v>135</v>
      </c>
      <c r="O1791" s="12" t="s">
        <v>134</v>
      </c>
      <c r="P1791" s="12" t="s">
        <v>125</v>
      </c>
      <c r="Q1791" s="7" t="str">
        <f t="shared" si="82"/>
        <v>(1991,25,'1991.06.22',7,13,27,56,83,0),</v>
      </c>
      <c r="R1791" s="7" t="str">
        <f t="shared" si="84"/>
        <v>(1991,25,'1991.06.22',7,13,27,56,83),</v>
      </c>
    </row>
    <row r="1792" spans="1:18" x14ac:dyDescent="0.25">
      <c r="A1792" s="7" t="s">
        <v>5848</v>
      </c>
      <c r="B1792" s="8" t="s">
        <v>74</v>
      </c>
      <c r="C1792" s="10">
        <f t="shared" si="83"/>
        <v>33418</v>
      </c>
      <c r="D1792" t="s">
        <v>11</v>
      </c>
      <c r="E1792" t="s">
        <v>12</v>
      </c>
      <c r="F1792" t="s">
        <v>11</v>
      </c>
      <c r="G1792" t="s">
        <v>12</v>
      </c>
      <c r="H1792" t="s">
        <v>11</v>
      </c>
      <c r="I1792" t="s">
        <v>12</v>
      </c>
      <c r="J1792" t="s">
        <v>11</v>
      </c>
      <c r="K1792" t="s">
        <v>12</v>
      </c>
      <c r="L1792" s="12" t="s">
        <v>163</v>
      </c>
      <c r="M1792" s="12" t="s">
        <v>142</v>
      </c>
      <c r="N1792" s="12" t="s">
        <v>23</v>
      </c>
      <c r="O1792" s="12" t="s">
        <v>125</v>
      </c>
      <c r="P1792" s="12" t="s">
        <v>186</v>
      </c>
      <c r="Q1792" s="7" t="str">
        <f t="shared" si="82"/>
        <v>(1991,26,'1991.06.29',23,44,60,83,90,0),</v>
      </c>
      <c r="R1792" s="7" t="str">
        <f t="shared" si="84"/>
        <v>(1991,26,'1991.06.29',23,44,60,83,90),</v>
      </c>
    </row>
    <row r="1793" spans="1:18" x14ac:dyDescent="0.25">
      <c r="A1793" s="7" t="s">
        <v>5848</v>
      </c>
      <c r="B1793" s="8" t="s">
        <v>135</v>
      </c>
      <c r="C1793" s="10">
        <f t="shared" si="83"/>
        <v>33425</v>
      </c>
      <c r="D1793" t="s">
        <v>11</v>
      </c>
      <c r="E1793" t="s">
        <v>12</v>
      </c>
      <c r="F1793" t="s">
        <v>11</v>
      </c>
      <c r="G1793" t="s">
        <v>12</v>
      </c>
      <c r="H1793" t="s">
        <v>11</v>
      </c>
      <c r="I1793" t="s">
        <v>12</v>
      </c>
      <c r="J1793" t="s">
        <v>11</v>
      </c>
      <c r="K1793" t="s">
        <v>12</v>
      </c>
      <c r="L1793" s="12" t="s">
        <v>168</v>
      </c>
      <c r="M1793" s="12" t="s">
        <v>270</v>
      </c>
      <c r="N1793" s="12" t="s">
        <v>163</v>
      </c>
      <c r="O1793" s="12" t="s">
        <v>64</v>
      </c>
      <c r="P1793" s="12" t="s">
        <v>35</v>
      </c>
      <c r="Q1793" s="7" t="str">
        <f t="shared" si="82"/>
        <v>(1991,27,'1991.07.06',4,6,23,35,65,0),</v>
      </c>
      <c r="R1793" s="7" t="str">
        <f t="shared" si="84"/>
        <v>(1991,27,'1991.07.06',4,6,23,35,65),</v>
      </c>
    </row>
    <row r="1794" spans="1:18" x14ac:dyDescent="0.25">
      <c r="A1794" s="7" t="s">
        <v>5848</v>
      </c>
      <c r="B1794" s="8" t="s">
        <v>126</v>
      </c>
      <c r="C1794" s="10">
        <f t="shared" si="83"/>
        <v>33432</v>
      </c>
      <c r="D1794" t="s">
        <v>11</v>
      </c>
      <c r="E1794" t="s">
        <v>12</v>
      </c>
      <c r="F1794" t="s">
        <v>11</v>
      </c>
      <c r="G1794" t="s">
        <v>12</v>
      </c>
      <c r="H1794" t="s">
        <v>11</v>
      </c>
      <c r="I1794" t="s">
        <v>12</v>
      </c>
      <c r="J1794" t="s">
        <v>11</v>
      </c>
      <c r="K1794" t="s">
        <v>12</v>
      </c>
      <c r="L1794" s="12" t="s">
        <v>62</v>
      </c>
      <c r="M1794" s="12" t="s">
        <v>65</v>
      </c>
      <c r="N1794" s="12" t="s">
        <v>90</v>
      </c>
      <c r="O1794" s="12" t="s">
        <v>152</v>
      </c>
      <c r="P1794" s="12" t="s">
        <v>47</v>
      </c>
      <c r="Q1794" s="7" t="str">
        <f t="shared" ref="Q1794:Q1857" si="85">"("&amp;A1794&amp;","&amp;B1794&amp;",'"&amp;TEXT(C1794,"éééé.hh.nn")&amp;"',"&amp;L1794&amp;","&amp;M1794&amp;","&amp;N1794&amp;","&amp;O1794&amp;","&amp;P1794&amp;",0)"&amp;IF(P1795&lt;&gt;0,",","")</f>
        <v>(1991,28,'1991.07.13',10,13,17,25,69,0),</v>
      </c>
      <c r="R1794" s="7" t="str">
        <f t="shared" si="84"/>
        <v>(1991,28,'1991.07.13',10,13,17,25,69),</v>
      </c>
    </row>
    <row r="1795" spans="1:18" x14ac:dyDescent="0.25">
      <c r="A1795" s="7" t="s">
        <v>5848</v>
      </c>
      <c r="B1795" s="8" t="s">
        <v>116</v>
      </c>
      <c r="C1795" s="10">
        <f t="shared" ref="C1795:C1858" si="86">+C1794+7</f>
        <v>33439</v>
      </c>
      <c r="D1795" t="s">
        <v>11</v>
      </c>
      <c r="E1795" t="s">
        <v>12</v>
      </c>
      <c r="F1795" t="s">
        <v>11</v>
      </c>
      <c r="G1795" t="s">
        <v>12</v>
      </c>
      <c r="H1795" t="s">
        <v>11</v>
      </c>
      <c r="I1795" t="s">
        <v>12</v>
      </c>
      <c r="J1795" t="s">
        <v>11</v>
      </c>
      <c r="K1795" t="s">
        <v>12</v>
      </c>
      <c r="L1795" s="12" t="s">
        <v>65</v>
      </c>
      <c r="M1795" s="12" t="s">
        <v>33</v>
      </c>
      <c r="N1795" s="12" t="s">
        <v>20</v>
      </c>
      <c r="O1795" s="12" t="s">
        <v>248</v>
      </c>
      <c r="P1795" s="12" t="s">
        <v>201</v>
      </c>
      <c r="Q1795" s="7" t="str">
        <f t="shared" si="85"/>
        <v>(1991,29,'1991.07.20',13,24,33,63,72,0),</v>
      </c>
      <c r="R1795" s="7" t="str">
        <f t="shared" ref="R1795:R1858" si="87">IF(TRIM(P1795)="","","("&amp;A1795&amp;","&amp;B1795&amp;",'"&amp;TEXT(C1795,"éééé.hh.nn")&amp;"',"&amp;L1795&amp;","&amp;M1795&amp;","&amp;N1795&amp;","&amp;O1795&amp;","&amp;P1795&amp;")"&amp;IF(P1796=0,";",","))</f>
        <v>(1991,29,'1991.07.20',13,24,33,63,72),</v>
      </c>
    </row>
    <row r="1796" spans="1:18" x14ac:dyDescent="0.25">
      <c r="A1796" s="7" t="s">
        <v>5848</v>
      </c>
      <c r="B1796" s="8" t="s">
        <v>107</v>
      </c>
      <c r="C1796" s="10">
        <f t="shared" si="86"/>
        <v>33446</v>
      </c>
      <c r="D1796" t="s">
        <v>11</v>
      </c>
      <c r="E1796" t="s">
        <v>12</v>
      </c>
      <c r="F1796" t="s">
        <v>11</v>
      </c>
      <c r="G1796" t="s">
        <v>12</v>
      </c>
      <c r="H1796" t="s">
        <v>11</v>
      </c>
      <c r="I1796" t="s">
        <v>12</v>
      </c>
      <c r="J1796" t="s">
        <v>11</v>
      </c>
      <c r="K1796" t="s">
        <v>12</v>
      </c>
      <c r="L1796" s="12" t="s">
        <v>152</v>
      </c>
      <c r="M1796" s="12" t="s">
        <v>13</v>
      </c>
      <c r="N1796" s="12" t="s">
        <v>192</v>
      </c>
      <c r="O1796" s="12" t="s">
        <v>200</v>
      </c>
      <c r="P1796" s="12" t="s">
        <v>246</v>
      </c>
      <c r="Q1796" s="7" t="str">
        <f t="shared" si="85"/>
        <v>(1991,30,'1991.07.27',25,41,46,70,84,0),</v>
      </c>
      <c r="R1796" s="7" t="str">
        <f t="shared" si="87"/>
        <v>(1991,30,'1991.07.27',25,41,46,70,84),</v>
      </c>
    </row>
    <row r="1797" spans="1:18" x14ac:dyDescent="0.25">
      <c r="A1797" s="7" t="s">
        <v>5848</v>
      </c>
      <c r="B1797" s="8" t="s">
        <v>71</v>
      </c>
      <c r="C1797" s="10">
        <f t="shared" si="86"/>
        <v>33453</v>
      </c>
      <c r="D1797" t="s">
        <v>11</v>
      </c>
      <c r="E1797" t="s">
        <v>12</v>
      </c>
      <c r="F1797" t="s">
        <v>11</v>
      </c>
      <c r="G1797" t="s">
        <v>12</v>
      </c>
      <c r="H1797" t="s">
        <v>11</v>
      </c>
      <c r="I1797" t="s">
        <v>12</v>
      </c>
      <c r="J1797" t="s">
        <v>11</v>
      </c>
      <c r="K1797" t="s">
        <v>12</v>
      </c>
      <c r="L1797" s="12" t="s">
        <v>32</v>
      </c>
      <c r="M1797" s="12" t="s">
        <v>64</v>
      </c>
      <c r="N1797" s="12" t="s">
        <v>45</v>
      </c>
      <c r="O1797" s="12" t="s">
        <v>248</v>
      </c>
      <c r="P1797" s="12" t="s">
        <v>468</v>
      </c>
      <c r="Q1797" s="7" t="str">
        <f t="shared" si="85"/>
        <v>(1991,31,'1991.08.03',22,35,43,63,85,0),</v>
      </c>
      <c r="R1797" s="7" t="str">
        <f t="shared" si="87"/>
        <v>(1991,31,'1991.08.03',22,35,43,63,85),</v>
      </c>
    </row>
    <row r="1798" spans="1:18" x14ac:dyDescent="0.25">
      <c r="A1798" s="7" t="s">
        <v>5848</v>
      </c>
      <c r="B1798" s="8" t="s">
        <v>80</v>
      </c>
      <c r="C1798" s="10">
        <f t="shared" si="86"/>
        <v>33460</v>
      </c>
      <c r="D1798" t="s">
        <v>11</v>
      </c>
      <c r="E1798" t="s">
        <v>12</v>
      </c>
      <c r="F1798" t="s">
        <v>11</v>
      </c>
      <c r="G1798" t="s">
        <v>12</v>
      </c>
      <c r="H1798" t="s">
        <v>11</v>
      </c>
      <c r="I1798" t="s">
        <v>12</v>
      </c>
      <c r="J1798" t="s">
        <v>11</v>
      </c>
      <c r="K1798" t="s">
        <v>12</v>
      </c>
      <c r="L1798" s="12" t="s">
        <v>65</v>
      </c>
      <c r="M1798" s="12" t="s">
        <v>32</v>
      </c>
      <c r="N1798" s="12" t="s">
        <v>163</v>
      </c>
      <c r="O1798" s="12" t="s">
        <v>45</v>
      </c>
      <c r="P1798" s="12" t="s">
        <v>379</v>
      </c>
      <c r="Q1798" s="7" t="str">
        <f t="shared" si="85"/>
        <v>(1991,32,'1991.08.10',13,22,23,43,89,0),</v>
      </c>
      <c r="R1798" s="7" t="str">
        <f t="shared" si="87"/>
        <v>(1991,32,'1991.08.10',13,22,23,43,89),</v>
      </c>
    </row>
    <row r="1799" spans="1:18" x14ac:dyDescent="0.25">
      <c r="A1799" s="7" t="s">
        <v>5848</v>
      </c>
      <c r="B1799" s="8" t="s">
        <v>20</v>
      </c>
      <c r="C1799" s="10">
        <f t="shared" si="86"/>
        <v>33467</v>
      </c>
      <c r="D1799" t="s">
        <v>11</v>
      </c>
      <c r="E1799" t="s">
        <v>12</v>
      </c>
      <c r="F1799" t="s">
        <v>11</v>
      </c>
      <c r="G1799" t="s">
        <v>12</v>
      </c>
      <c r="H1799" t="s">
        <v>11</v>
      </c>
      <c r="I1799" t="s">
        <v>12</v>
      </c>
      <c r="J1799" t="s">
        <v>11</v>
      </c>
      <c r="K1799" t="s">
        <v>12</v>
      </c>
      <c r="L1799" s="12" t="s">
        <v>198</v>
      </c>
      <c r="M1799" s="12" t="s">
        <v>62</v>
      </c>
      <c r="N1799" s="12" t="s">
        <v>65</v>
      </c>
      <c r="O1799" s="12" t="s">
        <v>23</v>
      </c>
      <c r="P1799" s="12" t="s">
        <v>214</v>
      </c>
      <c r="Q1799" s="7" t="str">
        <f t="shared" si="85"/>
        <v>(1991,33,'1991.08.17',9,10,13,60,64,0),</v>
      </c>
      <c r="R1799" s="7" t="str">
        <f t="shared" si="87"/>
        <v>(1991,33,'1991.08.17',9,10,13,60,64),</v>
      </c>
    </row>
    <row r="1800" spans="1:18" x14ac:dyDescent="0.25">
      <c r="A1800" s="7" t="s">
        <v>5848</v>
      </c>
      <c r="B1800" s="8" t="s">
        <v>25</v>
      </c>
      <c r="C1800" s="10">
        <f t="shared" si="86"/>
        <v>33474</v>
      </c>
      <c r="D1800" t="s">
        <v>11</v>
      </c>
      <c r="E1800" t="s">
        <v>12</v>
      </c>
      <c r="F1800" t="s">
        <v>11</v>
      </c>
      <c r="G1800" t="s">
        <v>12</v>
      </c>
      <c r="H1800" t="s">
        <v>11</v>
      </c>
      <c r="I1800" t="s">
        <v>12</v>
      </c>
      <c r="J1800" t="s">
        <v>11</v>
      </c>
      <c r="K1800" t="s">
        <v>12</v>
      </c>
      <c r="L1800" s="12" t="s">
        <v>107</v>
      </c>
      <c r="M1800" s="12" t="s">
        <v>80</v>
      </c>
      <c r="N1800" s="12" t="s">
        <v>34</v>
      </c>
      <c r="O1800" s="12" t="s">
        <v>123</v>
      </c>
      <c r="P1800" s="12" t="s">
        <v>35</v>
      </c>
      <c r="Q1800" s="7" t="str">
        <f t="shared" si="85"/>
        <v>(1991,34,'1991.08.24',30,32,49,54,65,0),</v>
      </c>
      <c r="R1800" s="7" t="str">
        <f t="shared" si="87"/>
        <v>(1991,34,'1991.08.24',30,32,49,54,65),</v>
      </c>
    </row>
    <row r="1801" spans="1:18" x14ac:dyDescent="0.25">
      <c r="A1801" s="7" t="s">
        <v>5848</v>
      </c>
      <c r="B1801" s="8" t="s">
        <v>64</v>
      </c>
      <c r="C1801" s="10">
        <f t="shared" si="86"/>
        <v>33481</v>
      </c>
      <c r="D1801" t="s">
        <v>11</v>
      </c>
      <c r="E1801" t="s">
        <v>12</v>
      </c>
      <c r="F1801" t="s">
        <v>11</v>
      </c>
      <c r="G1801" t="s">
        <v>12</v>
      </c>
      <c r="H1801" t="s">
        <v>11</v>
      </c>
      <c r="I1801" t="s">
        <v>12</v>
      </c>
      <c r="J1801" t="s">
        <v>11</v>
      </c>
      <c r="K1801" t="s">
        <v>12</v>
      </c>
      <c r="L1801" s="12" t="s">
        <v>34</v>
      </c>
      <c r="M1801" s="12" t="s">
        <v>199</v>
      </c>
      <c r="N1801" s="12" t="s">
        <v>233</v>
      </c>
      <c r="O1801" s="12" t="s">
        <v>151</v>
      </c>
      <c r="P1801" s="12" t="s">
        <v>125</v>
      </c>
      <c r="Q1801" s="7" t="str">
        <f t="shared" si="85"/>
        <v>(1991,35,'1991.08.31',49,53,66,79,83,0),</v>
      </c>
      <c r="R1801" s="7" t="str">
        <f t="shared" si="87"/>
        <v>(1991,35,'1991.08.31',49,53,66,79,83),</v>
      </c>
    </row>
    <row r="1802" spans="1:18" x14ac:dyDescent="0.25">
      <c r="A1802" s="7" t="s">
        <v>5848</v>
      </c>
      <c r="B1802" s="8" t="s">
        <v>21</v>
      </c>
      <c r="C1802" s="10">
        <f t="shared" si="86"/>
        <v>33488</v>
      </c>
      <c r="D1802" t="s">
        <v>11</v>
      </c>
      <c r="E1802" t="s">
        <v>12</v>
      </c>
      <c r="F1802" t="s">
        <v>11</v>
      </c>
      <c r="G1802" t="s">
        <v>12</v>
      </c>
      <c r="H1802" t="s">
        <v>11</v>
      </c>
      <c r="I1802" t="s">
        <v>12</v>
      </c>
      <c r="J1802" t="s">
        <v>11</v>
      </c>
      <c r="K1802" t="s">
        <v>12</v>
      </c>
      <c r="L1802" s="12" t="s">
        <v>21</v>
      </c>
      <c r="M1802" s="12" t="s">
        <v>23</v>
      </c>
      <c r="N1802" s="12" t="s">
        <v>72</v>
      </c>
      <c r="O1802" s="12" t="s">
        <v>200</v>
      </c>
      <c r="P1802" s="12" t="s">
        <v>301</v>
      </c>
      <c r="Q1802" s="7" t="str">
        <f t="shared" si="85"/>
        <v>(1991,36,'1991.09.07',36,60,67,70,80,0),</v>
      </c>
      <c r="R1802" s="7" t="str">
        <f t="shared" si="87"/>
        <v>(1991,36,'1991.09.07',36,60,67,70,80),</v>
      </c>
    </row>
    <row r="1803" spans="1:18" x14ac:dyDescent="0.25">
      <c r="A1803" s="7" t="s">
        <v>5848</v>
      </c>
      <c r="B1803" s="8" t="s">
        <v>46</v>
      </c>
      <c r="C1803" s="10">
        <f t="shared" si="86"/>
        <v>33495</v>
      </c>
      <c r="D1803" t="s">
        <v>11</v>
      </c>
      <c r="E1803" t="s">
        <v>12</v>
      </c>
      <c r="F1803" t="s">
        <v>11</v>
      </c>
      <c r="G1803" t="s">
        <v>12</v>
      </c>
      <c r="H1803" t="s">
        <v>11</v>
      </c>
      <c r="I1803" t="s">
        <v>12</v>
      </c>
      <c r="J1803" t="s">
        <v>11</v>
      </c>
      <c r="K1803" t="s">
        <v>12</v>
      </c>
      <c r="L1803" s="12" t="s">
        <v>42</v>
      </c>
      <c r="M1803" s="12" t="s">
        <v>62</v>
      </c>
      <c r="N1803" s="12" t="s">
        <v>54</v>
      </c>
      <c r="O1803" s="12" t="s">
        <v>33</v>
      </c>
      <c r="P1803" s="12" t="s">
        <v>200</v>
      </c>
      <c r="Q1803" s="7" t="str">
        <f t="shared" si="85"/>
        <v>(1991,37,'1991.09.14',3,10,15,24,70,0),</v>
      </c>
      <c r="R1803" s="7" t="str">
        <f t="shared" si="87"/>
        <v>(1991,37,'1991.09.14',3,10,15,24,70),</v>
      </c>
    </row>
    <row r="1804" spans="1:18" x14ac:dyDescent="0.25">
      <c r="A1804" s="7" t="s">
        <v>5848</v>
      </c>
      <c r="B1804" s="8" t="s">
        <v>36</v>
      </c>
      <c r="C1804" s="10">
        <f t="shared" si="86"/>
        <v>33502</v>
      </c>
      <c r="D1804" t="s">
        <v>11</v>
      </c>
      <c r="E1804" t="s">
        <v>12</v>
      </c>
      <c r="F1804" t="s">
        <v>11</v>
      </c>
      <c r="G1804" t="s">
        <v>12</v>
      </c>
      <c r="H1804" t="s">
        <v>11</v>
      </c>
      <c r="I1804" t="s">
        <v>12</v>
      </c>
      <c r="J1804" t="s">
        <v>11</v>
      </c>
      <c r="K1804" t="s">
        <v>12</v>
      </c>
      <c r="L1804" s="12" t="s">
        <v>107</v>
      </c>
      <c r="M1804" s="12" t="s">
        <v>133</v>
      </c>
      <c r="N1804" s="12" t="s">
        <v>105</v>
      </c>
      <c r="O1804" s="12" t="s">
        <v>92</v>
      </c>
      <c r="P1804" s="12" t="s">
        <v>301</v>
      </c>
      <c r="Q1804" s="7" t="str">
        <f t="shared" si="85"/>
        <v>(1991,38,'1991.09.21',30,45,50,68,80,0),</v>
      </c>
      <c r="R1804" s="7" t="str">
        <f t="shared" si="87"/>
        <v>(1991,38,'1991.09.21',30,45,50,68,80),</v>
      </c>
    </row>
    <row r="1805" spans="1:18" x14ac:dyDescent="0.25">
      <c r="A1805" s="7" t="s">
        <v>5848</v>
      </c>
      <c r="B1805" s="8" t="s">
        <v>24</v>
      </c>
      <c r="C1805" s="10">
        <f t="shared" si="86"/>
        <v>33509</v>
      </c>
      <c r="D1805" t="s">
        <v>11</v>
      </c>
      <c r="E1805" t="s">
        <v>12</v>
      </c>
      <c r="F1805" t="s">
        <v>11</v>
      </c>
      <c r="G1805" t="s">
        <v>12</v>
      </c>
      <c r="H1805" t="s">
        <v>11</v>
      </c>
      <c r="I1805" t="s">
        <v>12</v>
      </c>
      <c r="J1805" t="s">
        <v>11</v>
      </c>
      <c r="K1805" t="s">
        <v>12</v>
      </c>
      <c r="L1805" s="12" t="s">
        <v>83</v>
      </c>
      <c r="M1805" s="12" t="s">
        <v>123</v>
      </c>
      <c r="N1805" s="12" t="s">
        <v>91</v>
      </c>
      <c r="O1805" s="12" t="s">
        <v>215</v>
      </c>
      <c r="P1805" s="12" t="s">
        <v>308</v>
      </c>
      <c r="Q1805" s="7" t="str">
        <f t="shared" si="85"/>
        <v>(1991,39,'1991.09.28',11,54,61,81,86,0),</v>
      </c>
      <c r="R1805" s="7" t="str">
        <f t="shared" si="87"/>
        <v>(1991,39,'1991.09.28',11,54,61,81,86),</v>
      </c>
    </row>
    <row r="1806" spans="1:18" x14ac:dyDescent="0.25">
      <c r="A1806" s="7" t="s">
        <v>5848</v>
      </c>
      <c r="B1806" s="8" t="s">
        <v>10</v>
      </c>
      <c r="C1806" s="10">
        <f t="shared" si="86"/>
        <v>33516</v>
      </c>
      <c r="D1806" t="s">
        <v>11</v>
      </c>
      <c r="E1806" t="s">
        <v>12</v>
      </c>
      <c r="F1806" t="s">
        <v>11</v>
      </c>
      <c r="G1806" t="s">
        <v>12</v>
      </c>
      <c r="H1806" t="s">
        <v>11</v>
      </c>
      <c r="I1806" t="s">
        <v>12</v>
      </c>
      <c r="J1806" t="s">
        <v>11</v>
      </c>
      <c r="K1806" t="s">
        <v>12</v>
      </c>
      <c r="L1806" s="12" t="s">
        <v>55</v>
      </c>
      <c r="M1806" s="12" t="s">
        <v>13</v>
      </c>
      <c r="N1806" s="12" t="s">
        <v>150</v>
      </c>
      <c r="O1806" s="12" t="s">
        <v>214</v>
      </c>
      <c r="P1806" s="12" t="s">
        <v>200</v>
      </c>
      <c r="Q1806" s="7" t="str">
        <f t="shared" si="85"/>
        <v>(1991,40,'1991.10.05',19,41,57,64,70,0),</v>
      </c>
      <c r="R1806" s="7" t="str">
        <f t="shared" si="87"/>
        <v>(1991,40,'1991.10.05',19,41,57,64,70),</v>
      </c>
    </row>
    <row r="1807" spans="1:18" x14ac:dyDescent="0.25">
      <c r="A1807" s="7" t="s">
        <v>5848</v>
      </c>
      <c r="B1807" s="8" t="s">
        <v>13</v>
      </c>
      <c r="C1807" s="10">
        <f t="shared" si="86"/>
        <v>33523</v>
      </c>
      <c r="D1807" t="s">
        <v>11</v>
      </c>
      <c r="E1807" t="s">
        <v>12</v>
      </c>
      <c r="F1807" t="s">
        <v>11</v>
      </c>
      <c r="G1807" t="s">
        <v>12</v>
      </c>
      <c r="H1807" t="s">
        <v>11</v>
      </c>
      <c r="I1807" t="s">
        <v>12</v>
      </c>
      <c r="J1807" t="s">
        <v>11</v>
      </c>
      <c r="K1807" t="s">
        <v>12</v>
      </c>
      <c r="L1807" s="12" t="s">
        <v>198</v>
      </c>
      <c r="M1807" s="12" t="s">
        <v>83</v>
      </c>
      <c r="N1807" s="12" t="s">
        <v>142</v>
      </c>
      <c r="O1807" s="12" t="s">
        <v>34</v>
      </c>
      <c r="P1807" s="12" t="s">
        <v>468</v>
      </c>
      <c r="Q1807" s="7" t="str">
        <f t="shared" si="85"/>
        <v>(1991,41,'1991.10.12',9,11,44,49,85,0),</v>
      </c>
      <c r="R1807" s="7" t="str">
        <f t="shared" si="87"/>
        <v>(1991,41,'1991.10.12',9,11,44,49,85),</v>
      </c>
    </row>
    <row r="1808" spans="1:18" x14ac:dyDescent="0.25">
      <c r="A1808" s="7" t="s">
        <v>5848</v>
      </c>
      <c r="B1808" s="8" t="s">
        <v>98</v>
      </c>
      <c r="C1808" s="10">
        <f t="shared" si="86"/>
        <v>33530</v>
      </c>
      <c r="D1808" t="s">
        <v>11</v>
      </c>
      <c r="E1808" t="s">
        <v>12</v>
      </c>
      <c r="F1808" t="s">
        <v>11</v>
      </c>
      <c r="G1808" t="s">
        <v>12</v>
      </c>
      <c r="H1808" t="s">
        <v>11</v>
      </c>
      <c r="I1808" t="s">
        <v>12</v>
      </c>
      <c r="J1808" t="s">
        <v>11</v>
      </c>
      <c r="K1808" t="s">
        <v>12</v>
      </c>
      <c r="L1808" s="12" t="s">
        <v>53</v>
      </c>
      <c r="M1808" s="12" t="s">
        <v>62</v>
      </c>
      <c r="N1808" s="12" t="s">
        <v>74</v>
      </c>
      <c r="O1808" s="12" t="s">
        <v>248</v>
      </c>
      <c r="P1808" s="12" t="s">
        <v>201</v>
      </c>
      <c r="Q1808" s="7" t="str">
        <f t="shared" si="85"/>
        <v>(1991,42,'1991.10.19',7,10,26,63,72,0),</v>
      </c>
      <c r="R1808" s="7" t="str">
        <f t="shared" si="87"/>
        <v>(1991,42,'1991.10.19',7,10,26,63,72),</v>
      </c>
    </row>
    <row r="1809" spans="1:18" x14ac:dyDescent="0.25">
      <c r="A1809" s="7" t="s">
        <v>5848</v>
      </c>
      <c r="B1809" s="8" t="s">
        <v>45</v>
      </c>
      <c r="C1809" s="10">
        <f t="shared" si="86"/>
        <v>33537</v>
      </c>
      <c r="D1809" t="s">
        <v>11</v>
      </c>
      <c r="E1809" t="s">
        <v>12</v>
      </c>
      <c r="F1809" t="s">
        <v>11</v>
      </c>
      <c r="G1809" t="s">
        <v>12</v>
      </c>
      <c r="H1809" t="s">
        <v>11</v>
      </c>
      <c r="I1809" t="s">
        <v>12</v>
      </c>
      <c r="J1809" t="s">
        <v>11</v>
      </c>
      <c r="K1809" t="s">
        <v>12</v>
      </c>
      <c r="L1809" s="12" t="s">
        <v>44</v>
      </c>
      <c r="M1809" s="12" t="s">
        <v>45</v>
      </c>
      <c r="N1809" s="12" t="s">
        <v>134</v>
      </c>
      <c r="O1809" s="12" t="s">
        <v>35</v>
      </c>
      <c r="P1809" s="12" t="s">
        <v>233</v>
      </c>
      <c r="Q1809" s="7" t="str">
        <f t="shared" si="85"/>
        <v>(1991,43,'1991.10.26',21,43,56,65,66,0),</v>
      </c>
      <c r="R1809" s="7" t="str">
        <f t="shared" si="87"/>
        <v>(1991,43,'1991.10.26',21,43,56,65,66),</v>
      </c>
    </row>
    <row r="1810" spans="1:18" x14ac:dyDescent="0.25">
      <c r="A1810" s="7" t="s">
        <v>5848</v>
      </c>
      <c r="B1810" s="8" t="s">
        <v>142</v>
      </c>
      <c r="C1810" s="10">
        <f t="shared" si="86"/>
        <v>33544</v>
      </c>
      <c r="D1810" t="s">
        <v>11</v>
      </c>
      <c r="E1810" t="s">
        <v>12</v>
      </c>
      <c r="F1810" t="s">
        <v>11</v>
      </c>
      <c r="G1810" t="s">
        <v>12</v>
      </c>
      <c r="H1810" t="s">
        <v>11</v>
      </c>
      <c r="I1810" t="s">
        <v>12</v>
      </c>
      <c r="J1810" t="s">
        <v>11</v>
      </c>
      <c r="K1810" t="s">
        <v>12</v>
      </c>
      <c r="L1810" s="12" t="s">
        <v>116</v>
      </c>
      <c r="M1810" s="12" t="s">
        <v>98</v>
      </c>
      <c r="N1810" s="12" t="s">
        <v>47</v>
      </c>
      <c r="O1810" s="12" t="s">
        <v>468</v>
      </c>
      <c r="P1810" s="12" t="s">
        <v>308</v>
      </c>
      <c r="Q1810" s="7" t="str">
        <f t="shared" si="85"/>
        <v>(1991,44,'1991.11.02',29,42,69,85,86,0),</v>
      </c>
      <c r="R1810" s="7" t="str">
        <f t="shared" si="87"/>
        <v>(1991,44,'1991.11.02',29,42,69,85,86),</v>
      </c>
    </row>
    <row r="1811" spans="1:18" x14ac:dyDescent="0.25">
      <c r="A1811" s="7" t="s">
        <v>5848</v>
      </c>
      <c r="B1811" s="8" t="s">
        <v>133</v>
      </c>
      <c r="C1811" s="10">
        <f t="shared" si="86"/>
        <v>33551</v>
      </c>
      <c r="D1811" t="s">
        <v>11</v>
      </c>
      <c r="E1811" t="s">
        <v>12</v>
      </c>
      <c r="F1811" t="s">
        <v>11</v>
      </c>
      <c r="G1811" t="s">
        <v>12</v>
      </c>
      <c r="H1811" t="s">
        <v>11</v>
      </c>
      <c r="I1811" t="s">
        <v>12</v>
      </c>
      <c r="J1811" t="s">
        <v>11</v>
      </c>
      <c r="K1811" t="s">
        <v>12</v>
      </c>
      <c r="L1811" s="12" t="s">
        <v>83</v>
      </c>
      <c r="M1811" s="12" t="s">
        <v>54</v>
      </c>
      <c r="N1811" s="12" t="s">
        <v>43</v>
      </c>
      <c r="O1811" s="12" t="s">
        <v>36</v>
      </c>
      <c r="P1811" s="12" t="s">
        <v>35</v>
      </c>
      <c r="Q1811" s="7" t="str">
        <f t="shared" si="85"/>
        <v>(1991,45,'1991.11.09',11,15,16,38,65,0),</v>
      </c>
      <c r="R1811" s="7" t="str">
        <f t="shared" si="87"/>
        <v>(1991,45,'1991.11.09',11,15,16,38,65),</v>
      </c>
    </row>
    <row r="1812" spans="1:18" x14ac:dyDescent="0.25">
      <c r="A1812" s="7" t="s">
        <v>5848</v>
      </c>
      <c r="B1812" s="8" t="s">
        <v>192</v>
      </c>
      <c r="C1812" s="10">
        <f t="shared" si="86"/>
        <v>33558</v>
      </c>
      <c r="D1812" t="s">
        <v>11</v>
      </c>
      <c r="E1812" t="s">
        <v>12</v>
      </c>
      <c r="F1812" t="s">
        <v>11</v>
      </c>
      <c r="G1812" t="s">
        <v>12</v>
      </c>
      <c r="H1812" t="s">
        <v>11</v>
      </c>
      <c r="I1812" t="s">
        <v>12</v>
      </c>
      <c r="J1812" t="s">
        <v>11</v>
      </c>
      <c r="K1812" t="s">
        <v>12</v>
      </c>
      <c r="L1812" s="12" t="s">
        <v>126</v>
      </c>
      <c r="M1812" s="12" t="s">
        <v>24</v>
      </c>
      <c r="N1812" s="12" t="s">
        <v>175</v>
      </c>
      <c r="O1812" s="12" t="s">
        <v>92</v>
      </c>
      <c r="P1812" s="12" t="s">
        <v>56</v>
      </c>
      <c r="Q1812" s="7" t="str">
        <f t="shared" si="85"/>
        <v>(1991,46,'1991.11.16',28,39,55,68,71,0),</v>
      </c>
      <c r="R1812" s="7" t="str">
        <f t="shared" si="87"/>
        <v>(1991,46,'1991.11.16',28,39,55,68,71),</v>
      </c>
    </row>
    <row r="1813" spans="1:18" x14ac:dyDescent="0.25">
      <c r="A1813" s="7" t="s">
        <v>5848</v>
      </c>
      <c r="B1813" s="8" t="s">
        <v>81</v>
      </c>
      <c r="C1813" s="10">
        <f t="shared" si="86"/>
        <v>33565</v>
      </c>
      <c r="D1813" t="s">
        <v>11</v>
      </c>
      <c r="E1813" t="s">
        <v>12</v>
      </c>
      <c r="F1813" t="s">
        <v>11</v>
      </c>
      <c r="G1813" t="s">
        <v>12</v>
      </c>
      <c r="H1813" t="s">
        <v>11</v>
      </c>
      <c r="I1813" t="s">
        <v>12</v>
      </c>
      <c r="J1813" t="s">
        <v>11</v>
      </c>
      <c r="K1813" t="s">
        <v>12</v>
      </c>
      <c r="L1813" s="12" t="s">
        <v>43</v>
      </c>
      <c r="M1813" s="12" t="s">
        <v>44</v>
      </c>
      <c r="N1813" s="12" t="s">
        <v>152</v>
      </c>
      <c r="O1813" s="12" t="s">
        <v>46</v>
      </c>
      <c r="P1813" s="12" t="s">
        <v>308</v>
      </c>
      <c r="Q1813" s="7" t="str">
        <f t="shared" si="85"/>
        <v>(1991,47,'1991.11.23',16,21,25,37,86,0),</v>
      </c>
      <c r="R1813" s="7" t="str">
        <f t="shared" si="87"/>
        <v>(1991,47,'1991.11.23',16,21,25,37,86),</v>
      </c>
    </row>
    <row r="1814" spans="1:18" x14ac:dyDescent="0.25">
      <c r="A1814" s="7" t="s">
        <v>5848</v>
      </c>
      <c r="B1814" s="8" t="s">
        <v>22</v>
      </c>
      <c r="C1814" s="10">
        <f t="shared" si="86"/>
        <v>33572</v>
      </c>
      <c r="D1814" t="s">
        <v>11</v>
      </c>
      <c r="E1814" t="s">
        <v>12</v>
      </c>
      <c r="F1814" t="s">
        <v>11</v>
      </c>
      <c r="G1814" t="s">
        <v>12</v>
      </c>
      <c r="H1814" t="s">
        <v>11</v>
      </c>
      <c r="I1814" t="s">
        <v>12</v>
      </c>
      <c r="J1814" t="s">
        <v>11</v>
      </c>
      <c r="K1814" t="s">
        <v>12</v>
      </c>
      <c r="L1814" s="12" t="s">
        <v>65</v>
      </c>
      <c r="M1814" s="12" t="s">
        <v>25</v>
      </c>
      <c r="N1814" s="12" t="s">
        <v>72</v>
      </c>
      <c r="O1814" s="12" t="s">
        <v>92</v>
      </c>
      <c r="P1814" s="12" t="s">
        <v>63</v>
      </c>
      <c r="Q1814" s="7" t="str">
        <f t="shared" si="85"/>
        <v>(1991,48,'1991.11.30',13,34,67,68,78,0),</v>
      </c>
      <c r="R1814" s="7" t="str">
        <f t="shared" si="87"/>
        <v>(1991,48,'1991.11.30',13,34,67,68,78),</v>
      </c>
    </row>
    <row r="1815" spans="1:18" x14ac:dyDescent="0.25">
      <c r="A1815" s="7" t="s">
        <v>5848</v>
      </c>
      <c r="B1815" s="8" t="s">
        <v>34</v>
      </c>
      <c r="C1815" s="10">
        <f t="shared" si="86"/>
        <v>33579</v>
      </c>
      <c r="D1815" t="s">
        <v>11</v>
      </c>
      <c r="E1815" t="s">
        <v>12</v>
      </c>
      <c r="F1815" t="s">
        <v>11</v>
      </c>
      <c r="G1815" t="s">
        <v>12</v>
      </c>
      <c r="H1815" t="s">
        <v>11</v>
      </c>
      <c r="I1815" t="s">
        <v>12</v>
      </c>
      <c r="J1815" t="s">
        <v>11</v>
      </c>
      <c r="K1815" t="s">
        <v>12</v>
      </c>
      <c r="L1815" s="12" t="s">
        <v>232</v>
      </c>
      <c r="M1815" s="12" t="s">
        <v>91</v>
      </c>
      <c r="N1815" s="12" t="s">
        <v>239</v>
      </c>
      <c r="O1815" s="12" t="s">
        <v>245</v>
      </c>
      <c r="P1815" s="12" t="s">
        <v>246</v>
      </c>
      <c r="Q1815" s="7" t="str">
        <f t="shared" si="85"/>
        <v>(1991,49,'1991.12.07',8,61,73,74,84,0),</v>
      </c>
      <c r="R1815" s="7" t="str">
        <f t="shared" si="87"/>
        <v>(1991,49,'1991.12.07',8,61,73,74,84),</v>
      </c>
    </row>
    <row r="1816" spans="1:18" x14ac:dyDescent="0.25">
      <c r="A1816" s="7" t="s">
        <v>5848</v>
      </c>
      <c r="B1816" s="8" t="s">
        <v>105</v>
      </c>
      <c r="C1816" s="10">
        <f t="shared" si="86"/>
        <v>33586</v>
      </c>
      <c r="D1816" t="s">
        <v>11</v>
      </c>
      <c r="E1816" t="s">
        <v>12</v>
      </c>
      <c r="F1816" t="s">
        <v>11</v>
      </c>
      <c r="G1816" t="s">
        <v>12</v>
      </c>
      <c r="H1816" t="s">
        <v>11</v>
      </c>
      <c r="I1816" t="s">
        <v>12</v>
      </c>
      <c r="J1816" t="s">
        <v>11</v>
      </c>
      <c r="K1816" t="s">
        <v>12</v>
      </c>
      <c r="L1816" s="12" t="s">
        <v>108</v>
      </c>
      <c r="M1816" s="12" t="s">
        <v>107</v>
      </c>
      <c r="N1816" s="12" t="s">
        <v>23</v>
      </c>
      <c r="O1816" s="12" t="s">
        <v>200</v>
      </c>
      <c r="P1816" s="12" t="s">
        <v>269</v>
      </c>
      <c r="Q1816" s="7" t="str">
        <f t="shared" si="85"/>
        <v>(1991,50,'1991.12.14',1,30,60,70,87,0),</v>
      </c>
      <c r="R1816" s="7" t="str">
        <f t="shared" si="87"/>
        <v>(1991,50,'1991.12.14',1,30,60,70,87),</v>
      </c>
    </row>
    <row r="1817" spans="1:18" x14ac:dyDescent="0.25">
      <c r="A1817" s="7" t="s">
        <v>5848</v>
      </c>
      <c r="B1817" s="8" t="s">
        <v>122</v>
      </c>
      <c r="C1817" s="10">
        <f t="shared" si="86"/>
        <v>33593</v>
      </c>
      <c r="D1817" t="s">
        <v>11</v>
      </c>
      <c r="E1817" t="s">
        <v>12</v>
      </c>
      <c r="F1817" t="s">
        <v>11</v>
      </c>
      <c r="G1817" t="s">
        <v>12</v>
      </c>
      <c r="H1817" t="s">
        <v>11</v>
      </c>
      <c r="I1817" t="s">
        <v>12</v>
      </c>
      <c r="J1817" t="s">
        <v>11</v>
      </c>
      <c r="K1817" t="s">
        <v>12</v>
      </c>
      <c r="L1817" s="12" t="s">
        <v>163</v>
      </c>
      <c r="M1817" s="12" t="s">
        <v>80</v>
      </c>
      <c r="N1817" s="12" t="s">
        <v>22</v>
      </c>
      <c r="O1817" s="12" t="s">
        <v>91</v>
      </c>
      <c r="P1817" s="12" t="s">
        <v>186</v>
      </c>
      <c r="Q1817" s="7" t="str">
        <f t="shared" si="85"/>
        <v>(1991,51,'1991.12.21',23,32,48,61,90,0),</v>
      </c>
      <c r="R1817" s="7" t="str">
        <f t="shared" si="87"/>
        <v>(1991,51,'1991.12.21',23,32,48,61,90),</v>
      </c>
    </row>
    <row r="1818" spans="1:18" x14ac:dyDescent="0.25">
      <c r="A1818" s="7" t="s">
        <v>5848</v>
      </c>
      <c r="B1818" s="8" t="s">
        <v>99</v>
      </c>
      <c r="C1818" s="10">
        <f t="shared" si="86"/>
        <v>33600</v>
      </c>
      <c r="D1818" t="s">
        <v>11</v>
      </c>
      <c r="E1818" t="s">
        <v>12</v>
      </c>
      <c r="F1818" t="s">
        <v>11</v>
      </c>
      <c r="G1818" t="s">
        <v>12</v>
      </c>
      <c r="H1818" t="s">
        <v>11</v>
      </c>
      <c r="I1818" t="s">
        <v>12</v>
      </c>
      <c r="J1818" t="s">
        <v>11</v>
      </c>
      <c r="K1818" t="s">
        <v>12</v>
      </c>
      <c r="L1818" s="12" t="s">
        <v>89</v>
      </c>
      <c r="M1818" s="12" t="s">
        <v>24</v>
      </c>
      <c r="N1818" s="12" t="s">
        <v>248</v>
      </c>
      <c r="O1818" s="12" t="s">
        <v>301</v>
      </c>
      <c r="P1818" s="12" t="s">
        <v>208</v>
      </c>
      <c r="Q1818" s="7" t="str">
        <f t="shared" si="85"/>
        <v>(1991,52,'1991.12.28',5,39,63,80,88,0),</v>
      </c>
      <c r="R1818" s="7" t="str">
        <f t="shared" si="87"/>
        <v>(1991,52,'1991.12.28',5,39,63,80,88),</v>
      </c>
    </row>
    <row r="1819" spans="1:18" x14ac:dyDescent="0.25">
      <c r="A1819" s="7" t="s">
        <v>5847</v>
      </c>
      <c r="B1819" s="8" t="s">
        <v>108</v>
      </c>
      <c r="C1819" s="10">
        <f t="shared" si="86"/>
        <v>33607</v>
      </c>
      <c r="D1819" t="s">
        <v>11</v>
      </c>
      <c r="E1819" t="s">
        <v>12</v>
      </c>
      <c r="F1819" t="s">
        <v>11</v>
      </c>
      <c r="G1819" t="s">
        <v>12</v>
      </c>
      <c r="H1819" t="s">
        <v>11</v>
      </c>
      <c r="I1819" t="s">
        <v>12</v>
      </c>
      <c r="J1819" t="s">
        <v>11</v>
      </c>
      <c r="K1819" t="s">
        <v>12</v>
      </c>
      <c r="L1819" s="12" t="s">
        <v>33</v>
      </c>
      <c r="M1819" s="12" t="s">
        <v>36</v>
      </c>
      <c r="N1819" s="12" t="s">
        <v>24</v>
      </c>
      <c r="O1819" s="12" t="s">
        <v>23</v>
      </c>
      <c r="P1819" s="12" t="s">
        <v>47</v>
      </c>
      <c r="Q1819" s="7" t="str">
        <f t="shared" si="85"/>
        <v>(1992,1,'1992.01.04',24,38,39,60,69,0),</v>
      </c>
      <c r="R1819" s="7" t="str">
        <f t="shared" si="87"/>
        <v>(1992,1,'1992.01.04',24,38,39,60,69),</v>
      </c>
    </row>
    <row r="1820" spans="1:18" x14ac:dyDescent="0.25">
      <c r="A1820" s="7" t="s">
        <v>5847</v>
      </c>
      <c r="B1820" s="8" t="s">
        <v>207</v>
      </c>
      <c r="C1820" s="10">
        <f t="shared" si="86"/>
        <v>33614</v>
      </c>
      <c r="D1820" t="s">
        <v>11</v>
      </c>
      <c r="E1820" t="s">
        <v>12</v>
      </c>
      <c r="F1820" t="s">
        <v>11</v>
      </c>
      <c r="G1820" t="s">
        <v>12</v>
      </c>
      <c r="H1820" t="s">
        <v>11</v>
      </c>
      <c r="I1820" t="s">
        <v>12</v>
      </c>
      <c r="J1820" t="s">
        <v>11</v>
      </c>
      <c r="K1820" t="s">
        <v>12</v>
      </c>
      <c r="L1820" s="12" t="s">
        <v>74</v>
      </c>
      <c r="M1820" s="12" t="s">
        <v>20</v>
      </c>
      <c r="N1820" s="12" t="s">
        <v>36</v>
      </c>
      <c r="O1820" s="12" t="s">
        <v>45</v>
      </c>
      <c r="P1820" s="12" t="s">
        <v>199</v>
      </c>
      <c r="Q1820" s="7" t="str">
        <f t="shared" si="85"/>
        <v>(1992,2,'1992.01.11',26,33,38,43,53,0),</v>
      </c>
      <c r="R1820" s="7" t="str">
        <f t="shared" si="87"/>
        <v>(1992,2,'1992.01.11',26,33,38,43,53),</v>
      </c>
    </row>
    <row r="1821" spans="1:18" x14ac:dyDescent="0.25">
      <c r="A1821" s="7" t="s">
        <v>5847</v>
      </c>
      <c r="B1821" s="8" t="s">
        <v>42</v>
      </c>
      <c r="C1821" s="10">
        <f t="shared" si="86"/>
        <v>33621</v>
      </c>
      <c r="D1821" t="s">
        <v>11</v>
      </c>
      <c r="E1821" t="s">
        <v>12</v>
      </c>
      <c r="F1821" t="s">
        <v>11</v>
      </c>
      <c r="G1821" t="s">
        <v>12</v>
      </c>
      <c r="H1821" t="s">
        <v>11</v>
      </c>
      <c r="I1821" t="s">
        <v>12</v>
      </c>
      <c r="J1821" t="s">
        <v>11</v>
      </c>
      <c r="K1821" t="s">
        <v>12</v>
      </c>
      <c r="L1821" s="12" t="s">
        <v>89</v>
      </c>
      <c r="M1821" s="12" t="s">
        <v>135</v>
      </c>
      <c r="N1821" s="12" t="s">
        <v>82</v>
      </c>
      <c r="O1821" s="12" t="s">
        <v>269</v>
      </c>
      <c r="P1821" s="12" t="s">
        <v>379</v>
      </c>
      <c r="Q1821" s="7" t="str">
        <f t="shared" si="85"/>
        <v>(1992,3,'1992.01.18',5,27,59,87,89,0),</v>
      </c>
      <c r="R1821" s="7" t="str">
        <f t="shared" si="87"/>
        <v>(1992,3,'1992.01.18',5,27,59,87,89),</v>
      </c>
    </row>
    <row r="1822" spans="1:18" x14ac:dyDescent="0.25">
      <c r="A1822" s="7" t="s">
        <v>5847</v>
      </c>
      <c r="B1822" s="8" t="s">
        <v>168</v>
      </c>
      <c r="C1822" s="10">
        <f t="shared" si="86"/>
        <v>33628</v>
      </c>
      <c r="D1822" t="s">
        <v>11</v>
      </c>
      <c r="E1822" t="s">
        <v>12</v>
      </c>
      <c r="F1822" t="s">
        <v>11</v>
      </c>
      <c r="G1822" t="s">
        <v>12</v>
      </c>
      <c r="H1822" t="s">
        <v>11</v>
      </c>
      <c r="I1822" t="s">
        <v>12</v>
      </c>
      <c r="J1822" t="s">
        <v>11</v>
      </c>
      <c r="K1822" t="s">
        <v>12</v>
      </c>
      <c r="L1822" s="12" t="s">
        <v>89</v>
      </c>
      <c r="M1822" s="12" t="s">
        <v>71</v>
      </c>
      <c r="N1822" s="12" t="s">
        <v>45</v>
      </c>
      <c r="O1822" s="12" t="s">
        <v>47</v>
      </c>
      <c r="P1822" s="12" t="s">
        <v>151</v>
      </c>
      <c r="Q1822" s="7" t="str">
        <f t="shared" si="85"/>
        <v>(1992,4,'1992.01.25',5,31,43,69,79,0),</v>
      </c>
      <c r="R1822" s="7" t="str">
        <f t="shared" si="87"/>
        <v>(1992,4,'1992.01.25',5,31,43,69,79),</v>
      </c>
    </row>
    <row r="1823" spans="1:18" x14ac:dyDescent="0.25">
      <c r="A1823" s="7" t="s">
        <v>5847</v>
      </c>
      <c r="B1823" s="8" t="s">
        <v>89</v>
      </c>
      <c r="C1823" s="10">
        <f t="shared" si="86"/>
        <v>33635</v>
      </c>
      <c r="D1823" t="s">
        <v>11</v>
      </c>
      <c r="E1823" t="s">
        <v>12</v>
      </c>
      <c r="F1823" t="s">
        <v>11</v>
      </c>
      <c r="G1823" t="s">
        <v>12</v>
      </c>
      <c r="H1823" t="s">
        <v>11</v>
      </c>
      <c r="I1823" t="s">
        <v>12</v>
      </c>
      <c r="J1823" t="s">
        <v>11</v>
      </c>
      <c r="K1823" t="s">
        <v>12</v>
      </c>
      <c r="L1823" s="12" t="s">
        <v>65</v>
      </c>
      <c r="M1823" s="12" t="s">
        <v>21</v>
      </c>
      <c r="N1823" s="12" t="s">
        <v>133</v>
      </c>
      <c r="O1823" s="12" t="s">
        <v>22</v>
      </c>
      <c r="P1823" s="12" t="s">
        <v>214</v>
      </c>
      <c r="Q1823" s="7" t="str">
        <f t="shared" si="85"/>
        <v>(1992,5,'1992.02.01',13,36,45,48,64,0),</v>
      </c>
      <c r="R1823" s="7" t="str">
        <f t="shared" si="87"/>
        <v>(1992,5,'1992.02.01',13,36,45,48,64),</v>
      </c>
    </row>
    <row r="1824" spans="1:18" x14ac:dyDescent="0.25">
      <c r="A1824" s="7" t="s">
        <v>5847</v>
      </c>
      <c r="B1824" s="8" t="s">
        <v>270</v>
      </c>
      <c r="C1824" s="10">
        <f t="shared" si="86"/>
        <v>33642</v>
      </c>
      <c r="D1824" t="s">
        <v>11</v>
      </c>
      <c r="E1824" t="s">
        <v>12</v>
      </c>
      <c r="F1824" t="s">
        <v>11</v>
      </c>
      <c r="G1824" t="s">
        <v>12</v>
      </c>
      <c r="H1824" t="s">
        <v>11</v>
      </c>
      <c r="I1824" t="s">
        <v>12</v>
      </c>
      <c r="J1824" t="s">
        <v>11</v>
      </c>
      <c r="K1824" t="s">
        <v>12</v>
      </c>
      <c r="L1824" s="12" t="s">
        <v>198</v>
      </c>
      <c r="M1824" s="12" t="s">
        <v>33</v>
      </c>
      <c r="N1824" s="12" t="s">
        <v>98</v>
      </c>
      <c r="O1824" s="12" t="s">
        <v>150</v>
      </c>
      <c r="P1824" s="12" t="s">
        <v>47</v>
      </c>
      <c r="Q1824" s="7" t="str">
        <f t="shared" si="85"/>
        <v>(1992,6,'1992.02.08',9,24,42,57,69,0),</v>
      </c>
      <c r="R1824" s="7" t="str">
        <f t="shared" si="87"/>
        <v>(1992,6,'1992.02.08',9,24,42,57,69),</v>
      </c>
    </row>
    <row r="1825" spans="1:18" x14ac:dyDescent="0.25">
      <c r="A1825" s="7" t="s">
        <v>5847</v>
      </c>
      <c r="B1825" s="8" t="s">
        <v>53</v>
      </c>
      <c r="C1825" s="10">
        <f t="shared" si="86"/>
        <v>33649</v>
      </c>
      <c r="D1825" t="s">
        <v>11</v>
      </c>
      <c r="E1825" t="s">
        <v>12</v>
      </c>
      <c r="F1825" t="s">
        <v>11</v>
      </c>
      <c r="G1825" t="s">
        <v>12</v>
      </c>
      <c r="H1825" t="s">
        <v>11</v>
      </c>
      <c r="I1825" t="s">
        <v>12</v>
      </c>
      <c r="J1825" t="s">
        <v>11</v>
      </c>
      <c r="K1825" t="s">
        <v>12</v>
      </c>
      <c r="L1825" s="12" t="s">
        <v>62</v>
      </c>
      <c r="M1825" s="12" t="s">
        <v>55</v>
      </c>
      <c r="N1825" s="12" t="s">
        <v>56</v>
      </c>
      <c r="O1825" s="12" t="s">
        <v>73</v>
      </c>
      <c r="P1825" s="12" t="s">
        <v>301</v>
      </c>
      <c r="Q1825" s="7" t="str">
        <f t="shared" si="85"/>
        <v>(1992,7,'1992.02.15',10,19,71,76,80,0),</v>
      </c>
      <c r="R1825" s="7" t="str">
        <f t="shared" si="87"/>
        <v>(1992,7,'1992.02.15',10,19,71,76,80),</v>
      </c>
    </row>
    <row r="1826" spans="1:18" x14ac:dyDescent="0.25">
      <c r="A1826" s="7" t="s">
        <v>5847</v>
      </c>
      <c r="B1826" s="8" t="s">
        <v>232</v>
      </c>
      <c r="C1826" s="10">
        <f t="shared" si="86"/>
        <v>33656</v>
      </c>
      <c r="D1826" t="s">
        <v>11</v>
      </c>
      <c r="E1826" t="s">
        <v>12</v>
      </c>
      <c r="F1826" t="s">
        <v>11</v>
      </c>
      <c r="G1826" t="s">
        <v>12</v>
      </c>
      <c r="H1826" t="s">
        <v>11</v>
      </c>
      <c r="I1826" t="s">
        <v>12</v>
      </c>
      <c r="J1826" t="s">
        <v>11</v>
      </c>
      <c r="K1826" t="s">
        <v>12</v>
      </c>
      <c r="L1826" s="12" t="s">
        <v>198</v>
      </c>
      <c r="M1826" s="12" t="s">
        <v>31</v>
      </c>
      <c r="N1826" s="12" t="s">
        <v>127</v>
      </c>
      <c r="O1826" s="12" t="s">
        <v>90</v>
      </c>
      <c r="P1826" s="12" t="s">
        <v>13</v>
      </c>
      <c r="Q1826" s="7" t="str">
        <f t="shared" si="85"/>
        <v>(1992,8,'1992.02.22',9,12,14,17,41,0),</v>
      </c>
      <c r="R1826" s="7" t="str">
        <f t="shared" si="87"/>
        <v>(1992,8,'1992.02.22',9,12,14,17,41),</v>
      </c>
    </row>
    <row r="1827" spans="1:18" x14ac:dyDescent="0.25">
      <c r="A1827" s="7" t="s">
        <v>5847</v>
      </c>
      <c r="B1827" s="8" t="s">
        <v>198</v>
      </c>
      <c r="C1827" s="10">
        <f t="shared" si="86"/>
        <v>33663</v>
      </c>
      <c r="D1827" t="s">
        <v>11</v>
      </c>
      <c r="E1827" t="s">
        <v>12</v>
      </c>
      <c r="F1827" t="s">
        <v>11</v>
      </c>
      <c r="G1827" t="s">
        <v>12</v>
      </c>
      <c r="H1827" t="s">
        <v>11</v>
      </c>
      <c r="I1827" t="s">
        <v>12</v>
      </c>
      <c r="J1827" t="s">
        <v>11</v>
      </c>
      <c r="K1827" t="s">
        <v>12</v>
      </c>
      <c r="L1827" s="12" t="s">
        <v>43</v>
      </c>
      <c r="M1827" s="12" t="s">
        <v>22</v>
      </c>
      <c r="N1827" s="12" t="s">
        <v>34</v>
      </c>
      <c r="O1827" s="12" t="s">
        <v>56</v>
      </c>
      <c r="P1827" s="12" t="s">
        <v>125</v>
      </c>
      <c r="Q1827" s="7" t="str">
        <f t="shared" si="85"/>
        <v>(1992,9,'1992.02.29',16,48,49,71,83,0),</v>
      </c>
      <c r="R1827" s="7" t="str">
        <f t="shared" si="87"/>
        <v>(1992,9,'1992.02.29',16,48,49,71,83),</v>
      </c>
    </row>
    <row r="1828" spans="1:18" x14ac:dyDescent="0.25">
      <c r="A1828" s="7" t="s">
        <v>5847</v>
      </c>
      <c r="B1828" s="8" t="s">
        <v>62</v>
      </c>
      <c r="C1828" s="10">
        <f t="shared" si="86"/>
        <v>33670</v>
      </c>
      <c r="D1828" t="s">
        <v>11</v>
      </c>
      <c r="E1828" t="s">
        <v>12</v>
      </c>
      <c r="F1828" t="s">
        <v>11</v>
      </c>
      <c r="G1828" t="s">
        <v>12</v>
      </c>
      <c r="H1828" t="s">
        <v>11</v>
      </c>
      <c r="I1828" t="s">
        <v>12</v>
      </c>
      <c r="J1828" t="s">
        <v>11</v>
      </c>
      <c r="K1828" t="s">
        <v>12</v>
      </c>
      <c r="L1828" s="12" t="s">
        <v>270</v>
      </c>
      <c r="M1828" s="12" t="s">
        <v>127</v>
      </c>
      <c r="N1828" s="12" t="s">
        <v>24</v>
      </c>
      <c r="O1828" s="12" t="s">
        <v>105</v>
      </c>
      <c r="P1828" s="12" t="s">
        <v>214</v>
      </c>
      <c r="Q1828" s="7" t="str">
        <f t="shared" si="85"/>
        <v>(1992,10,'1992.03.07',6,14,39,50,64,0),</v>
      </c>
      <c r="R1828" s="7" t="str">
        <f t="shared" si="87"/>
        <v>(1992,10,'1992.03.07',6,14,39,50,64),</v>
      </c>
    </row>
    <row r="1829" spans="1:18" x14ac:dyDescent="0.25">
      <c r="A1829" s="7" t="s">
        <v>5847</v>
      </c>
      <c r="B1829" s="8" t="s">
        <v>83</v>
      </c>
      <c r="C1829" s="10">
        <f t="shared" si="86"/>
        <v>33677</v>
      </c>
      <c r="D1829" t="s">
        <v>11</v>
      </c>
      <c r="E1829" t="s">
        <v>12</v>
      </c>
      <c r="F1829" t="s">
        <v>11</v>
      </c>
      <c r="G1829" t="s">
        <v>12</v>
      </c>
      <c r="H1829" t="s">
        <v>11</v>
      </c>
      <c r="I1829" t="s">
        <v>12</v>
      </c>
      <c r="J1829" t="s">
        <v>11</v>
      </c>
      <c r="K1829" t="s">
        <v>12</v>
      </c>
      <c r="L1829" s="12" t="s">
        <v>53</v>
      </c>
      <c r="M1829" s="12" t="s">
        <v>32</v>
      </c>
      <c r="N1829" s="12" t="s">
        <v>133</v>
      </c>
      <c r="O1829" s="12" t="s">
        <v>34</v>
      </c>
      <c r="P1829" s="12" t="s">
        <v>125</v>
      </c>
      <c r="Q1829" s="7" t="str">
        <f t="shared" si="85"/>
        <v>(1992,11,'1992.03.14',7,22,45,49,83,0),</v>
      </c>
      <c r="R1829" s="7" t="str">
        <f t="shared" si="87"/>
        <v>(1992,11,'1992.03.14',7,22,45,49,83),</v>
      </c>
    </row>
    <row r="1830" spans="1:18" x14ac:dyDescent="0.25">
      <c r="A1830" s="7" t="s">
        <v>5847</v>
      </c>
      <c r="B1830" s="8" t="s">
        <v>31</v>
      </c>
      <c r="C1830" s="10">
        <f t="shared" si="86"/>
        <v>33684</v>
      </c>
      <c r="D1830" t="s">
        <v>11</v>
      </c>
      <c r="E1830" t="s">
        <v>12</v>
      </c>
      <c r="F1830" t="s">
        <v>11</v>
      </c>
      <c r="G1830" t="s">
        <v>12</v>
      </c>
      <c r="H1830" t="s">
        <v>11</v>
      </c>
      <c r="I1830" t="s">
        <v>12</v>
      </c>
      <c r="J1830" t="s">
        <v>11</v>
      </c>
      <c r="K1830" t="s">
        <v>12</v>
      </c>
      <c r="L1830" s="12" t="s">
        <v>25</v>
      </c>
      <c r="M1830" s="12" t="s">
        <v>169</v>
      </c>
      <c r="N1830" s="12" t="s">
        <v>91</v>
      </c>
      <c r="O1830" s="12" t="s">
        <v>35</v>
      </c>
      <c r="P1830" s="12" t="s">
        <v>106</v>
      </c>
      <c r="Q1830" s="7" t="str">
        <f t="shared" si="85"/>
        <v>(1992,12,'1992.03.21',34,58,61,65,75,0),</v>
      </c>
      <c r="R1830" s="7" t="str">
        <f t="shared" si="87"/>
        <v>(1992,12,'1992.03.21',34,58,61,65,75),</v>
      </c>
    </row>
    <row r="1831" spans="1:18" x14ac:dyDescent="0.25">
      <c r="A1831" s="7" t="s">
        <v>5847</v>
      </c>
      <c r="B1831" s="8" t="s">
        <v>65</v>
      </c>
      <c r="C1831" s="10">
        <f t="shared" si="86"/>
        <v>33691</v>
      </c>
      <c r="D1831" t="s">
        <v>11</v>
      </c>
      <c r="E1831" t="s">
        <v>12</v>
      </c>
      <c r="F1831" t="s">
        <v>11</v>
      </c>
      <c r="G1831" t="s">
        <v>12</v>
      </c>
      <c r="H1831" t="s">
        <v>11</v>
      </c>
      <c r="I1831" t="s">
        <v>12</v>
      </c>
      <c r="J1831" t="s">
        <v>11</v>
      </c>
      <c r="K1831" t="s">
        <v>12</v>
      </c>
      <c r="L1831" s="12" t="s">
        <v>24</v>
      </c>
      <c r="M1831" s="12" t="s">
        <v>123</v>
      </c>
      <c r="N1831" s="12" t="s">
        <v>169</v>
      </c>
      <c r="O1831" s="12" t="s">
        <v>239</v>
      </c>
      <c r="P1831" s="12" t="s">
        <v>245</v>
      </c>
      <c r="Q1831" s="7" t="str">
        <f t="shared" si="85"/>
        <v>(1992,13,'1992.03.28',39,54,58,73,74,0),</v>
      </c>
      <c r="R1831" s="7" t="str">
        <f t="shared" si="87"/>
        <v>(1992,13,'1992.03.28',39,54,58,73,74),</v>
      </c>
    </row>
    <row r="1832" spans="1:18" x14ac:dyDescent="0.25">
      <c r="A1832" s="7" t="s">
        <v>5847</v>
      </c>
      <c r="B1832" s="8" t="s">
        <v>127</v>
      </c>
      <c r="C1832" s="10">
        <f t="shared" si="86"/>
        <v>33698</v>
      </c>
      <c r="D1832" t="s">
        <v>11</v>
      </c>
      <c r="E1832" t="s">
        <v>12</v>
      </c>
      <c r="F1832" t="s">
        <v>11</v>
      </c>
      <c r="G1832" t="s">
        <v>12</v>
      </c>
      <c r="H1832" t="s">
        <v>11</v>
      </c>
      <c r="I1832" t="s">
        <v>12</v>
      </c>
      <c r="J1832" t="s">
        <v>11</v>
      </c>
      <c r="K1832" t="s">
        <v>12</v>
      </c>
      <c r="L1832" s="12" t="s">
        <v>83</v>
      </c>
      <c r="M1832" s="12" t="s">
        <v>81</v>
      </c>
      <c r="N1832" s="12" t="s">
        <v>134</v>
      </c>
      <c r="O1832" s="12" t="s">
        <v>214</v>
      </c>
      <c r="P1832" s="12" t="s">
        <v>239</v>
      </c>
      <c r="Q1832" s="7" t="str">
        <f t="shared" si="85"/>
        <v>(1992,14,'1992.04.04',11,47,56,64,73,0),</v>
      </c>
      <c r="R1832" s="7" t="str">
        <f t="shared" si="87"/>
        <v>(1992,14,'1992.04.04',11,47,56,64,73),</v>
      </c>
    </row>
    <row r="1833" spans="1:18" x14ac:dyDescent="0.25">
      <c r="A1833" s="7" t="s">
        <v>5847</v>
      </c>
      <c r="B1833" s="8" t="s">
        <v>54</v>
      </c>
      <c r="C1833" s="10">
        <f t="shared" si="86"/>
        <v>33705</v>
      </c>
      <c r="D1833" t="s">
        <v>11</v>
      </c>
      <c r="E1833" t="s">
        <v>12</v>
      </c>
      <c r="F1833" t="s">
        <v>11</v>
      </c>
      <c r="G1833" t="s">
        <v>12</v>
      </c>
      <c r="H1833" t="s">
        <v>11</v>
      </c>
      <c r="I1833" t="s">
        <v>12</v>
      </c>
      <c r="J1833" t="s">
        <v>11</v>
      </c>
      <c r="K1833" t="s">
        <v>12</v>
      </c>
      <c r="L1833" s="12" t="s">
        <v>232</v>
      </c>
      <c r="M1833" s="12" t="s">
        <v>133</v>
      </c>
      <c r="N1833" s="12" t="s">
        <v>169</v>
      </c>
      <c r="O1833" s="12" t="s">
        <v>201</v>
      </c>
      <c r="P1833" s="12" t="s">
        <v>301</v>
      </c>
      <c r="Q1833" s="7" t="str">
        <f t="shared" si="85"/>
        <v>(1992,15,'1992.04.11',8,45,58,72,80,0),</v>
      </c>
      <c r="R1833" s="7" t="str">
        <f t="shared" si="87"/>
        <v>(1992,15,'1992.04.11',8,45,58,72,80),</v>
      </c>
    </row>
    <row r="1834" spans="1:18" x14ac:dyDescent="0.25">
      <c r="A1834" s="7" t="s">
        <v>5847</v>
      </c>
      <c r="B1834" s="8" t="s">
        <v>43</v>
      </c>
      <c r="C1834" s="10">
        <f t="shared" si="86"/>
        <v>33712</v>
      </c>
      <c r="D1834" t="s">
        <v>11</v>
      </c>
      <c r="E1834" t="s">
        <v>12</v>
      </c>
      <c r="F1834" t="s">
        <v>11</v>
      </c>
      <c r="G1834" t="s">
        <v>12</v>
      </c>
      <c r="H1834" t="s">
        <v>11</v>
      </c>
      <c r="I1834" t="s">
        <v>12</v>
      </c>
      <c r="J1834" t="s">
        <v>11</v>
      </c>
      <c r="K1834" t="s">
        <v>12</v>
      </c>
      <c r="L1834" s="12" t="s">
        <v>62</v>
      </c>
      <c r="M1834" s="12" t="s">
        <v>115</v>
      </c>
      <c r="N1834" s="12" t="s">
        <v>32</v>
      </c>
      <c r="O1834" s="12" t="s">
        <v>22</v>
      </c>
      <c r="P1834" s="12" t="s">
        <v>201</v>
      </c>
      <c r="Q1834" s="7" t="str">
        <f t="shared" si="85"/>
        <v>(1992,16,'1992.04.18',10,20,22,48,72,0),</v>
      </c>
      <c r="R1834" s="7" t="str">
        <f t="shared" si="87"/>
        <v>(1992,16,'1992.04.18',10,20,22,48,72),</v>
      </c>
    </row>
    <row r="1835" spans="1:18" x14ac:dyDescent="0.25">
      <c r="A1835" s="7" t="s">
        <v>5847</v>
      </c>
      <c r="B1835" s="8" t="s">
        <v>90</v>
      </c>
      <c r="C1835" s="10">
        <f t="shared" si="86"/>
        <v>33719</v>
      </c>
      <c r="D1835" t="s">
        <v>11</v>
      </c>
      <c r="E1835" t="s">
        <v>12</v>
      </c>
      <c r="F1835" t="s">
        <v>11</v>
      </c>
      <c r="G1835" t="s">
        <v>12</v>
      </c>
      <c r="H1835" t="s">
        <v>11</v>
      </c>
      <c r="I1835" t="s">
        <v>12</v>
      </c>
      <c r="J1835" t="s">
        <v>11</v>
      </c>
      <c r="K1835" t="s">
        <v>12</v>
      </c>
      <c r="L1835" s="12" t="s">
        <v>64</v>
      </c>
      <c r="M1835" s="12" t="s">
        <v>22</v>
      </c>
      <c r="N1835" s="12" t="s">
        <v>56</v>
      </c>
      <c r="O1835" s="12" t="s">
        <v>63</v>
      </c>
      <c r="P1835" s="12" t="s">
        <v>125</v>
      </c>
      <c r="Q1835" s="7" t="str">
        <f t="shared" si="85"/>
        <v>(1992,17,'1992.04.25',35,48,71,78,83,0),</v>
      </c>
      <c r="R1835" s="7" t="str">
        <f t="shared" si="87"/>
        <v>(1992,17,'1992.04.25',35,48,71,78,83),</v>
      </c>
    </row>
    <row r="1836" spans="1:18" x14ac:dyDescent="0.25">
      <c r="A1836" s="7" t="s">
        <v>5847</v>
      </c>
      <c r="B1836" s="8" t="s">
        <v>19</v>
      </c>
      <c r="C1836" s="10">
        <f t="shared" si="86"/>
        <v>33726</v>
      </c>
      <c r="D1836" t="s">
        <v>11</v>
      </c>
      <c r="E1836" t="s">
        <v>12</v>
      </c>
      <c r="F1836" t="s">
        <v>11</v>
      </c>
      <c r="G1836" t="s">
        <v>12</v>
      </c>
      <c r="H1836" t="s">
        <v>11</v>
      </c>
      <c r="I1836" t="s">
        <v>12</v>
      </c>
      <c r="J1836" t="s">
        <v>11</v>
      </c>
      <c r="K1836" t="s">
        <v>12</v>
      </c>
      <c r="L1836" s="12" t="s">
        <v>43</v>
      </c>
      <c r="M1836" s="12" t="s">
        <v>55</v>
      </c>
      <c r="N1836" s="12" t="s">
        <v>13</v>
      </c>
      <c r="O1836" s="12" t="s">
        <v>142</v>
      </c>
      <c r="P1836" s="12" t="s">
        <v>308</v>
      </c>
      <c r="Q1836" s="7" t="str">
        <f t="shared" si="85"/>
        <v>(1992,18,'1992.05.02',16,19,41,44,86,0),</v>
      </c>
      <c r="R1836" s="7" t="str">
        <f t="shared" si="87"/>
        <v>(1992,18,'1992.05.02',16,19,41,44,86),</v>
      </c>
    </row>
    <row r="1837" spans="1:18" x14ac:dyDescent="0.25">
      <c r="A1837" s="7" t="s">
        <v>5847</v>
      </c>
      <c r="B1837" s="8" t="s">
        <v>55</v>
      </c>
      <c r="C1837" s="10">
        <f t="shared" si="86"/>
        <v>33733</v>
      </c>
      <c r="D1837" t="s">
        <v>11</v>
      </c>
      <c r="E1837" t="s">
        <v>12</v>
      </c>
      <c r="F1837" t="s">
        <v>11</v>
      </c>
      <c r="G1837" t="s">
        <v>12</v>
      </c>
      <c r="H1837" t="s">
        <v>11</v>
      </c>
      <c r="I1837" t="s">
        <v>12</v>
      </c>
      <c r="J1837" t="s">
        <v>11</v>
      </c>
      <c r="K1837" t="s">
        <v>12</v>
      </c>
      <c r="L1837" s="12" t="s">
        <v>53</v>
      </c>
      <c r="M1837" s="12" t="s">
        <v>127</v>
      </c>
      <c r="N1837" s="12" t="s">
        <v>23</v>
      </c>
      <c r="O1837" s="12" t="s">
        <v>233</v>
      </c>
      <c r="P1837" s="12" t="s">
        <v>308</v>
      </c>
      <c r="Q1837" s="7" t="str">
        <f t="shared" si="85"/>
        <v>(1992,19,'1992.05.09',7,14,60,66,86,0),</v>
      </c>
      <c r="R1837" s="7" t="str">
        <f t="shared" si="87"/>
        <v>(1992,19,'1992.05.09',7,14,60,66,86),</v>
      </c>
    </row>
    <row r="1838" spans="1:18" x14ac:dyDescent="0.25">
      <c r="A1838" s="7" t="s">
        <v>5847</v>
      </c>
      <c r="B1838" s="8" t="s">
        <v>115</v>
      </c>
      <c r="C1838" s="10">
        <f t="shared" si="86"/>
        <v>33740</v>
      </c>
      <c r="D1838" t="s">
        <v>11</v>
      </c>
      <c r="E1838" t="s">
        <v>12</v>
      </c>
      <c r="F1838" t="s">
        <v>11</v>
      </c>
      <c r="G1838" t="s">
        <v>12</v>
      </c>
      <c r="H1838" t="s">
        <v>11</v>
      </c>
      <c r="I1838" t="s">
        <v>12</v>
      </c>
      <c r="J1838" t="s">
        <v>11</v>
      </c>
      <c r="K1838" t="s">
        <v>12</v>
      </c>
      <c r="L1838" s="12" t="s">
        <v>89</v>
      </c>
      <c r="M1838" s="12" t="s">
        <v>152</v>
      </c>
      <c r="N1838" s="12" t="s">
        <v>80</v>
      </c>
      <c r="O1838" s="12" t="s">
        <v>248</v>
      </c>
      <c r="P1838" s="12" t="s">
        <v>106</v>
      </c>
      <c r="Q1838" s="7" t="str">
        <f t="shared" si="85"/>
        <v>(1992,20,'1992.05.16',5,25,32,63,75,0),</v>
      </c>
      <c r="R1838" s="7" t="str">
        <f t="shared" si="87"/>
        <v>(1992,20,'1992.05.16',5,25,32,63,75),</v>
      </c>
    </row>
    <row r="1839" spans="1:18" x14ac:dyDescent="0.25">
      <c r="A1839" s="7" t="s">
        <v>5847</v>
      </c>
      <c r="B1839" s="8" t="s">
        <v>44</v>
      </c>
      <c r="C1839" s="10">
        <f t="shared" si="86"/>
        <v>33747</v>
      </c>
      <c r="D1839" t="s">
        <v>11</v>
      </c>
      <c r="E1839" t="s">
        <v>12</v>
      </c>
      <c r="F1839" t="s">
        <v>11</v>
      </c>
      <c r="G1839" t="s">
        <v>12</v>
      </c>
      <c r="H1839" t="s">
        <v>11</v>
      </c>
      <c r="I1839" t="s">
        <v>12</v>
      </c>
      <c r="J1839" t="s">
        <v>11</v>
      </c>
      <c r="K1839" t="s">
        <v>12</v>
      </c>
      <c r="L1839" s="12" t="s">
        <v>55</v>
      </c>
      <c r="M1839" s="12" t="s">
        <v>44</v>
      </c>
      <c r="N1839" s="12" t="s">
        <v>46</v>
      </c>
      <c r="O1839" s="12" t="s">
        <v>98</v>
      </c>
      <c r="P1839" s="12" t="s">
        <v>56</v>
      </c>
      <c r="Q1839" s="7" t="str">
        <f t="shared" si="85"/>
        <v>(1992,21,'1992.05.23',19,21,37,42,71,0),</v>
      </c>
      <c r="R1839" s="7" t="str">
        <f t="shared" si="87"/>
        <v>(1992,21,'1992.05.23',19,21,37,42,71),</v>
      </c>
    </row>
    <row r="1840" spans="1:18" x14ac:dyDescent="0.25">
      <c r="A1840" s="7" t="s">
        <v>5847</v>
      </c>
      <c r="B1840" s="8" t="s">
        <v>32</v>
      </c>
      <c r="C1840" s="10">
        <f t="shared" si="86"/>
        <v>33754</v>
      </c>
      <c r="D1840" t="s">
        <v>11</v>
      </c>
      <c r="E1840" t="s">
        <v>12</v>
      </c>
      <c r="F1840" t="s">
        <v>11</v>
      </c>
      <c r="G1840" t="s">
        <v>12</v>
      </c>
      <c r="H1840" t="s">
        <v>11</v>
      </c>
      <c r="I1840" t="s">
        <v>12</v>
      </c>
      <c r="J1840" t="s">
        <v>11</v>
      </c>
      <c r="K1840" t="s">
        <v>12</v>
      </c>
      <c r="L1840" s="12" t="s">
        <v>89</v>
      </c>
      <c r="M1840" s="12" t="s">
        <v>198</v>
      </c>
      <c r="N1840" s="12" t="s">
        <v>64</v>
      </c>
      <c r="O1840" s="12" t="s">
        <v>21</v>
      </c>
      <c r="P1840" s="12" t="s">
        <v>91</v>
      </c>
      <c r="Q1840" s="7" t="str">
        <f t="shared" si="85"/>
        <v>(1992,22,'1992.05.30',5,9,35,36,61,0),</v>
      </c>
      <c r="R1840" s="7" t="str">
        <f t="shared" si="87"/>
        <v>(1992,22,'1992.05.30',5,9,35,36,61),</v>
      </c>
    </row>
    <row r="1841" spans="1:18" x14ac:dyDescent="0.25">
      <c r="A1841" s="7" t="s">
        <v>5847</v>
      </c>
      <c r="B1841" s="8" t="s">
        <v>163</v>
      </c>
      <c r="C1841" s="10">
        <f t="shared" si="86"/>
        <v>33761</v>
      </c>
      <c r="D1841" t="s">
        <v>11</v>
      </c>
      <c r="E1841" t="s">
        <v>12</v>
      </c>
      <c r="F1841" t="s">
        <v>11</v>
      </c>
      <c r="G1841" t="s">
        <v>12</v>
      </c>
      <c r="H1841" t="s">
        <v>11</v>
      </c>
      <c r="I1841" t="s">
        <v>12</v>
      </c>
      <c r="J1841" t="s">
        <v>11</v>
      </c>
      <c r="K1841" t="s">
        <v>12</v>
      </c>
      <c r="L1841" s="12" t="s">
        <v>116</v>
      </c>
      <c r="M1841" s="12" t="s">
        <v>25</v>
      </c>
      <c r="N1841" s="12" t="s">
        <v>46</v>
      </c>
      <c r="O1841" s="12" t="s">
        <v>81</v>
      </c>
      <c r="P1841" s="12" t="s">
        <v>186</v>
      </c>
      <c r="Q1841" s="7" t="str">
        <f t="shared" si="85"/>
        <v>(1992,23,'1992.06.06',29,34,37,47,90,0),</v>
      </c>
      <c r="R1841" s="7" t="str">
        <f t="shared" si="87"/>
        <v>(1992,23,'1992.06.06',29,34,37,47,90),</v>
      </c>
    </row>
    <row r="1842" spans="1:18" x14ac:dyDescent="0.25">
      <c r="A1842" s="7" t="s">
        <v>5847</v>
      </c>
      <c r="B1842" s="8" t="s">
        <v>33</v>
      </c>
      <c r="C1842" s="10">
        <f t="shared" si="86"/>
        <v>33768</v>
      </c>
      <c r="D1842" t="s">
        <v>11</v>
      </c>
      <c r="E1842" t="s">
        <v>12</v>
      </c>
      <c r="F1842" t="s">
        <v>11</v>
      </c>
      <c r="G1842" t="s">
        <v>12</v>
      </c>
      <c r="H1842" t="s">
        <v>11</v>
      </c>
      <c r="I1842" t="s">
        <v>12</v>
      </c>
      <c r="J1842" t="s">
        <v>11</v>
      </c>
      <c r="K1842" t="s">
        <v>12</v>
      </c>
      <c r="L1842" s="12" t="s">
        <v>168</v>
      </c>
      <c r="M1842" s="12" t="s">
        <v>55</v>
      </c>
      <c r="N1842" s="12" t="s">
        <v>44</v>
      </c>
      <c r="O1842" s="12" t="s">
        <v>34</v>
      </c>
      <c r="P1842" s="12" t="s">
        <v>248</v>
      </c>
      <c r="Q1842" s="7" t="str">
        <f t="shared" si="85"/>
        <v>(1992,24,'1992.06.13',4,19,21,49,63,0),</v>
      </c>
      <c r="R1842" s="7" t="str">
        <f t="shared" si="87"/>
        <v>(1992,24,'1992.06.13',4,19,21,49,63),</v>
      </c>
    </row>
    <row r="1843" spans="1:18" x14ac:dyDescent="0.25">
      <c r="A1843" s="7" t="s">
        <v>5847</v>
      </c>
      <c r="B1843" s="8" t="s">
        <v>152</v>
      </c>
      <c r="C1843" s="10">
        <f t="shared" si="86"/>
        <v>33775</v>
      </c>
      <c r="D1843" t="s">
        <v>11</v>
      </c>
      <c r="E1843" t="s">
        <v>12</v>
      </c>
      <c r="F1843" t="s">
        <v>11</v>
      </c>
      <c r="G1843" t="s">
        <v>12</v>
      </c>
      <c r="H1843" t="s">
        <v>11</v>
      </c>
      <c r="I1843" t="s">
        <v>12</v>
      </c>
      <c r="J1843" t="s">
        <v>11</v>
      </c>
      <c r="K1843" t="s">
        <v>12</v>
      </c>
      <c r="L1843" s="12" t="s">
        <v>62</v>
      </c>
      <c r="M1843" s="12" t="s">
        <v>192</v>
      </c>
      <c r="N1843" s="12" t="s">
        <v>82</v>
      </c>
      <c r="O1843" s="12" t="s">
        <v>248</v>
      </c>
      <c r="P1843" s="12" t="s">
        <v>215</v>
      </c>
      <c r="Q1843" s="7" t="str">
        <f t="shared" si="85"/>
        <v>(1992,25,'1992.06.20',10,46,59,63,81,0),</v>
      </c>
      <c r="R1843" s="7" t="str">
        <f t="shared" si="87"/>
        <v>(1992,25,'1992.06.20',10,46,59,63,81),</v>
      </c>
    </row>
    <row r="1844" spans="1:18" x14ac:dyDescent="0.25">
      <c r="A1844" s="7" t="s">
        <v>5847</v>
      </c>
      <c r="B1844" s="8" t="s">
        <v>74</v>
      </c>
      <c r="C1844" s="10">
        <f t="shared" si="86"/>
        <v>33782</v>
      </c>
      <c r="D1844" t="s">
        <v>11</v>
      </c>
      <c r="E1844" t="s">
        <v>12</v>
      </c>
      <c r="F1844" t="s">
        <v>11</v>
      </c>
      <c r="G1844" t="s">
        <v>12</v>
      </c>
      <c r="H1844" t="s">
        <v>11</v>
      </c>
      <c r="I1844" t="s">
        <v>12</v>
      </c>
      <c r="J1844" t="s">
        <v>11</v>
      </c>
      <c r="K1844" t="s">
        <v>12</v>
      </c>
      <c r="L1844" s="12" t="s">
        <v>20</v>
      </c>
      <c r="M1844" s="12" t="s">
        <v>25</v>
      </c>
      <c r="N1844" s="12" t="s">
        <v>134</v>
      </c>
      <c r="O1844" s="12" t="s">
        <v>124</v>
      </c>
      <c r="P1844" s="12" t="s">
        <v>215</v>
      </c>
      <c r="Q1844" s="7" t="str">
        <f t="shared" si="85"/>
        <v>(1992,26,'1992.06.27',33,34,56,62,81,0),</v>
      </c>
      <c r="R1844" s="7" t="str">
        <f t="shared" si="87"/>
        <v>(1992,26,'1992.06.27',33,34,56,62,81),</v>
      </c>
    </row>
    <row r="1845" spans="1:18" x14ac:dyDescent="0.25">
      <c r="A1845" s="7" t="s">
        <v>5847</v>
      </c>
      <c r="B1845" s="8" t="s">
        <v>135</v>
      </c>
      <c r="C1845" s="10">
        <f t="shared" si="86"/>
        <v>33789</v>
      </c>
      <c r="D1845" t="s">
        <v>11</v>
      </c>
      <c r="E1845" t="s">
        <v>12</v>
      </c>
      <c r="F1845" t="s">
        <v>11</v>
      </c>
      <c r="G1845" t="s">
        <v>12</v>
      </c>
      <c r="H1845" t="s">
        <v>11</v>
      </c>
      <c r="I1845" t="s">
        <v>12</v>
      </c>
      <c r="J1845" t="s">
        <v>11</v>
      </c>
      <c r="K1845" t="s">
        <v>12</v>
      </c>
      <c r="L1845" s="12" t="s">
        <v>270</v>
      </c>
      <c r="M1845" s="12" t="s">
        <v>232</v>
      </c>
      <c r="N1845" s="12" t="s">
        <v>80</v>
      </c>
      <c r="O1845" s="12" t="s">
        <v>199</v>
      </c>
      <c r="P1845" s="12" t="s">
        <v>186</v>
      </c>
      <c r="Q1845" s="7" t="str">
        <f t="shared" si="85"/>
        <v>(1992,27,'1992.07.04',6,8,32,53,90,0),</v>
      </c>
      <c r="R1845" s="7" t="str">
        <f t="shared" si="87"/>
        <v>(1992,27,'1992.07.04',6,8,32,53,90),</v>
      </c>
    </row>
    <row r="1846" spans="1:18" x14ac:dyDescent="0.25">
      <c r="A1846" s="7" t="s">
        <v>5847</v>
      </c>
      <c r="B1846" s="8" t="s">
        <v>126</v>
      </c>
      <c r="C1846" s="10">
        <f t="shared" si="86"/>
        <v>33796</v>
      </c>
      <c r="D1846" t="s">
        <v>11</v>
      </c>
      <c r="E1846" t="s">
        <v>12</v>
      </c>
      <c r="F1846" t="s">
        <v>11</v>
      </c>
      <c r="G1846" t="s">
        <v>12</v>
      </c>
      <c r="H1846" t="s">
        <v>11</v>
      </c>
      <c r="I1846" t="s">
        <v>12</v>
      </c>
      <c r="J1846" t="s">
        <v>11</v>
      </c>
      <c r="K1846" t="s">
        <v>12</v>
      </c>
      <c r="L1846" s="12" t="s">
        <v>43</v>
      </c>
      <c r="M1846" s="12" t="s">
        <v>20</v>
      </c>
      <c r="N1846" s="12" t="s">
        <v>142</v>
      </c>
      <c r="O1846" s="12" t="s">
        <v>73</v>
      </c>
      <c r="P1846" s="12" t="s">
        <v>301</v>
      </c>
      <c r="Q1846" s="7" t="str">
        <f t="shared" si="85"/>
        <v>(1992,28,'1992.07.11',16,33,44,76,80,0),</v>
      </c>
      <c r="R1846" s="7" t="str">
        <f t="shared" si="87"/>
        <v>(1992,28,'1992.07.11',16,33,44,76,80),</v>
      </c>
    </row>
    <row r="1847" spans="1:18" x14ac:dyDescent="0.25">
      <c r="A1847" s="7" t="s">
        <v>5847</v>
      </c>
      <c r="B1847" s="8" t="s">
        <v>116</v>
      </c>
      <c r="C1847" s="10">
        <f t="shared" si="86"/>
        <v>33803</v>
      </c>
      <c r="D1847" t="s">
        <v>11</v>
      </c>
      <c r="E1847" t="s">
        <v>12</v>
      </c>
      <c r="F1847" t="s">
        <v>11</v>
      </c>
      <c r="G1847" t="s">
        <v>12</v>
      </c>
      <c r="H1847" t="s">
        <v>11</v>
      </c>
      <c r="I1847" t="s">
        <v>12</v>
      </c>
      <c r="J1847" t="s">
        <v>11</v>
      </c>
      <c r="K1847" t="s">
        <v>12</v>
      </c>
      <c r="L1847" s="12" t="s">
        <v>33</v>
      </c>
      <c r="M1847" s="12" t="s">
        <v>175</v>
      </c>
      <c r="N1847" s="12" t="s">
        <v>63</v>
      </c>
      <c r="O1847" s="12" t="s">
        <v>151</v>
      </c>
      <c r="P1847" s="12" t="s">
        <v>269</v>
      </c>
      <c r="Q1847" s="7" t="str">
        <f t="shared" si="85"/>
        <v>(1992,29,'1992.07.18',24,55,78,79,87,0),</v>
      </c>
      <c r="R1847" s="7" t="str">
        <f t="shared" si="87"/>
        <v>(1992,29,'1992.07.18',24,55,78,79,87),</v>
      </c>
    </row>
    <row r="1848" spans="1:18" x14ac:dyDescent="0.25">
      <c r="A1848" s="7" t="s">
        <v>5847</v>
      </c>
      <c r="B1848" s="8" t="s">
        <v>107</v>
      </c>
      <c r="C1848" s="10">
        <f t="shared" si="86"/>
        <v>33810</v>
      </c>
      <c r="D1848" t="s">
        <v>11</v>
      </c>
      <c r="E1848" t="s">
        <v>12</v>
      </c>
      <c r="F1848" t="s">
        <v>11</v>
      </c>
      <c r="G1848" t="s">
        <v>12</v>
      </c>
      <c r="H1848" t="s">
        <v>11</v>
      </c>
      <c r="I1848" t="s">
        <v>12</v>
      </c>
      <c r="J1848" t="s">
        <v>11</v>
      </c>
      <c r="K1848" t="s">
        <v>12</v>
      </c>
      <c r="L1848" s="12" t="s">
        <v>64</v>
      </c>
      <c r="M1848" s="12" t="s">
        <v>175</v>
      </c>
      <c r="N1848" s="12" t="s">
        <v>23</v>
      </c>
      <c r="O1848" s="12" t="s">
        <v>151</v>
      </c>
      <c r="P1848" s="12" t="s">
        <v>308</v>
      </c>
      <c r="Q1848" s="7" t="str">
        <f t="shared" si="85"/>
        <v>(1992,30,'1992.07.25',35,55,60,79,86,0),</v>
      </c>
      <c r="R1848" s="7" t="str">
        <f t="shared" si="87"/>
        <v>(1992,30,'1992.07.25',35,55,60,79,86),</v>
      </c>
    </row>
    <row r="1849" spans="1:18" x14ac:dyDescent="0.25">
      <c r="A1849" s="7" t="s">
        <v>5847</v>
      </c>
      <c r="B1849" s="8" t="s">
        <v>71</v>
      </c>
      <c r="C1849" s="10">
        <f t="shared" si="86"/>
        <v>33817</v>
      </c>
      <c r="D1849" t="s">
        <v>11</v>
      </c>
      <c r="E1849" t="s">
        <v>12</v>
      </c>
      <c r="F1849" t="s">
        <v>11</v>
      </c>
      <c r="G1849" t="s">
        <v>12</v>
      </c>
      <c r="H1849" t="s">
        <v>11</v>
      </c>
      <c r="I1849" t="s">
        <v>12</v>
      </c>
      <c r="J1849" t="s">
        <v>11</v>
      </c>
      <c r="K1849" t="s">
        <v>12</v>
      </c>
      <c r="L1849" s="12" t="s">
        <v>108</v>
      </c>
      <c r="M1849" s="12" t="s">
        <v>115</v>
      </c>
      <c r="N1849" s="12" t="s">
        <v>116</v>
      </c>
      <c r="O1849" s="12" t="s">
        <v>64</v>
      </c>
      <c r="P1849" s="12" t="s">
        <v>81</v>
      </c>
      <c r="Q1849" s="7" t="str">
        <f t="shared" si="85"/>
        <v>(1992,31,'1992.08.01',1,20,29,35,47,0),</v>
      </c>
      <c r="R1849" s="7" t="str">
        <f t="shared" si="87"/>
        <v>(1992,31,'1992.08.01',1,20,29,35,47),</v>
      </c>
    </row>
    <row r="1850" spans="1:18" x14ac:dyDescent="0.25">
      <c r="A1850" s="7" t="s">
        <v>5847</v>
      </c>
      <c r="B1850" s="8" t="s">
        <v>80</v>
      </c>
      <c r="C1850" s="10">
        <f t="shared" si="86"/>
        <v>33824</v>
      </c>
      <c r="D1850" t="s">
        <v>11</v>
      </c>
      <c r="E1850" t="s">
        <v>12</v>
      </c>
      <c r="F1850" t="s">
        <v>11</v>
      </c>
      <c r="G1850" t="s">
        <v>12</v>
      </c>
      <c r="H1850" t="s">
        <v>11</v>
      </c>
      <c r="I1850" t="s">
        <v>12</v>
      </c>
      <c r="J1850" t="s">
        <v>11</v>
      </c>
      <c r="K1850" t="s">
        <v>12</v>
      </c>
      <c r="L1850" s="12" t="s">
        <v>53</v>
      </c>
      <c r="M1850" s="12" t="s">
        <v>152</v>
      </c>
      <c r="N1850" s="12" t="s">
        <v>126</v>
      </c>
      <c r="O1850" s="12" t="s">
        <v>21</v>
      </c>
      <c r="P1850" s="12" t="s">
        <v>208</v>
      </c>
      <c r="Q1850" s="7" t="str">
        <f t="shared" si="85"/>
        <v>(1992,32,'1992.08.08',7,25,28,36,88,0),</v>
      </c>
      <c r="R1850" s="7" t="str">
        <f t="shared" si="87"/>
        <v>(1992,32,'1992.08.08',7,25,28,36,88),</v>
      </c>
    </row>
    <row r="1851" spans="1:18" x14ac:dyDescent="0.25">
      <c r="A1851" s="7" t="s">
        <v>5847</v>
      </c>
      <c r="B1851" s="8" t="s">
        <v>20</v>
      </c>
      <c r="C1851" s="10">
        <f t="shared" si="86"/>
        <v>33831</v>
      </c>
      <c r="D1851" t="s">
        <v>11</v>
      </c>
      <c r="E1851" t="s">
        <v>12</v>
      </c>
      <c r="F1851" t="s">
        <v>11</v>
      </c>
      <c r="G1851" t="s">
        <v>12</v>
      </c>
      <c r="H1851" t="s">
        <v>11</v>
      </c>
      <c r="I1851" t="s">
        <v>12</v>
      </c>
      <c r="J1851" t="s">
        <v>11</v>
      </c>
      <c r="K1851" t="s">
        <v>12</v>
      </c>
      <c r="L1851" s="12" t="s">
        <v>168</v>
      </c>
      <c r="M1851" s="12" t="s">
        <v>89</v>
      </c>
      <c r="N1851" s="12" t="s">
        <v>116</v>
      </c>
      <c r="O1851" s="12" t="s">
        <v>106</v>
      </c>
      <c r="P1851" s="12" t="s">
        <v>186</v>
      </c>
      <c r="Q1851" s="7" t="str">
        <f t="shared" si="85"/>
        <v>(1992,33,'1992.08.15',4,5,29,75,90,0),</v>
      </c>
      <c r="R1851" s="7" t="str">
        <f t="shared" si="87"/>
        <v>(1992,33,'1992.08.15',4,5,29,75,90),</v>
      </c>
    </row>
    <row r="1852" spans="1:18" x14ac:dyDescent="0.25">
      <c r="A1852" s="7" t="s">
        <v>5847</v>
      </c>
      <c r="B1852" s="8" t="s">
        <v>25</v>
      </c>
      <c r="C1852" s="10">
        <f t="shared" si="86"/>
        <v>33838</v>
      </c>
      <c r="D1852" t="s">
        <v>11</v>
      </c>
      <c r="E1852" t="s">
        <v>12</v>
      </c>
      <c r="F1852" t="s">
        <v>11</v>
      </c>
      <c r="G1852" t="s">
        <v>12</v>
      </c>
      <c r="H1852" t="s">
        <v>11</v>
      </c>
      <c r="I1852" t="s">
        <v>12</v>
      </c>
      <c r="J1852" t="s">
        <v>11</v>
      </c>
      <c r="K1852" t="s">
        <v>12</v>
      </c>
      <c r="L1852" s="12" t="s">
        <v>31</v>
      </c>
      <c r="M1852" s="12" t="s">
        <v>115</v>
      </c>
      <c r="N1852" s="12" t="s">
        <v>142</v>
      </c>
      <c r="O1852" s="12" t="s">
        <v>215</v>
      </c>
      <c r="P1852" s="12" t="s">
        <v>622</v>
      </c>
      <c r="Q1852" s="7" t="str">
        <f t="shared" si="85"/>
        <v>(1992,34,'1992.08.22',12,20,44,81,82,0),</v>
      </c>
      <c r="R1852" s="7" t="str">
        <f t="shared" si="87"/>
        <v>(1992,34,'1992.08.22',12,20,44,81,82),</v>
      </c>
    </row>
    <row r="1853" spans="1:18" x14ac:dyDescent="0.25">
      <c r="A1853" s="7" t="s">
        <v>5847</v>
      </c>
      <c r="B1853" s="8" t="s">
        <v>64</v>
      </c>
      <c r="C1853" s="10">
        <f t="shared" si="86"/>
        <v>33845</v>
      </c>
      <c r="D1853" t="s">
        <v>11</v>
      </c>
      <c r="E1853" t="s">
        <v>12</v>
      </c>
      <c r="F1853" t="s">
        <v>11</v>
      </c>
      <c r="G1853" t="s">
        <v>12</v>
      </c>
      <c r="H1853" t="s">
        <v>11</v>
      </c>
      <c r="I1853" t="s">
        <v>12</v>
      </c>
      <c r="J1853" t="s">
        <v>11</v>
      </c>
      <c r="K1853" t="s">
        <v>12</v>
      </c>
      <c r="L1853" s="12" t="s">
        <v>108</v>
      </c>
      <c r="M1853" s="12" t="s">
        <v>168</v>
      </c>
      <c r="N1853" s="12" t="s">
        <v>89</v>
      </c>
      <c r="O1853" s="12" t="s">
        <v>32</v>
      </c>
      <c r="P1853" s="12" t="s">
        <v>24</v>
      </c>
      <c r="Q1853" s="7" t="str">
        <f t="shared" si="85"/>
        <v>(1992,35,'1992.08.29',1,4,5,22,39,0),</v>
      </c>
      <c r="R1853" s="7" t="str">
        <f t="shared" si="87"/>
        <v>(1992,35,'1992.08.29',1,4,5,22,39),</v>
      </c>
    </row>
    <row r="1854" spans="1:18" x14ac:dyDescent="0.25">
      <c r="A1854" s="7" t="s">
        <v>5847</v>
      </c>
      <c r="B1854" s="8" t="s">
        <v>21</v>
      </c>
      <c r="C1854" s="10">
        <f t="shared" si="86"/>
        <v>33852</v>
      </c>
      <c r="D1854" t="s">
        <v>11</v>
      </c>
      <c r="E1854" t="s">
        <v>12</v>
      </c>
      <c r="F1854" t="s">
        <v>11</v>
      </c>
      <c r="G1854" t="s">
        <v>12</v>
      </c>
      <c r="H1854" t="s">
        <v>11</v>
      </c>
      <c r="I1854" t="s">
        <v>12</v>
      </c>
      <c r="J1854" t="s">
        <v>11</v>
      </c>
      <c r="K1854" t="s">
        <v>12</v>
      </c>
      <c r="L1854" s="12" t="s">
        <v>13</v>
      </c>
      <c r="M1854" s="12" t="s">
        <v>45</v>
      </c>
      <c r="N1854" s="12" t="s">
        <v>142</v>
      </c>
      <c r="O1854" s="12" t="s">
        <v>123</v>
      </c>
      <c r="P1854" s="12" t="s">
        <v>175</v>
      </c>
      <c r="Q1854" s="7" t="str">
        <f t="shared" si="85"/>
        <v>(1992,36,'1992.09.05',41,43,44,54,55,0),</v>
      </c>
      <c r="R1854" s="7" t="str">
        <f t="shared" si="87"/>
        <v>(1992,36,'1992.09.05',41,43,44,54,55),</v>
      </c>
    </row>
    <row r="1855" spans="1:18" x14ac:dyDescent="0.25">
      <c r="A1855" s="7" t="s">
        <v>5847</v>
      </c>
      <c r="B1855" s="8" t="s">
        <v>46</v>
      </c>
      <c r="C1855" s="10">
        <f t="shared" si="86"/>
        <v>33859</v>
      </c>
      <c r="D1855" t="s">
        <v>11</v>
      </c>
      <c r="E1855" t="s">
        <v>12</v>
      </c>
      <c r="F1855" t="s">
        <v>11</v>
      </c>
      <c r="G1855" t="s">
        <v>12</v>
      </c>
      <c r="H1855" t="s">
        <v>11</v>
      </c>
      <c r="I1855" t="s">
        <v>12</v>
      </c>
      <c r="J1855" t="s">
        <v>11</v>
      </c>
      <c r="K1855" t="s">
        <v>12</v>
      </c>
      <c r="L1855" s="12" t="s">
        <v>43</v>
      </c>
      <c r="M1855" s="12" t="s">
        <v>133</v>
      </c>
      <c r="N1855" s="12" t="s">
        <v>99</v>
      </c>
      <c r="O1855" s="12" t="s">
        <v>269</v>
      </c>
      <c r="P1855" s="12" t="s">
        <v>186</v>
      </c>
      <c r="Q1855" s="7" t="str">
        <f t="shared" si="85"/>
        <v>(1992,37,'1992.09.12',16,45,52,87,90,0),</v>
      </c>
      <c r="R1855" s="7" t="str">
        <f t="shared" si="87"/>
        <v>(1992,37,'1992.09.12',16,45,52,87,90),</v>
      </c>
    </row>
    <row r="1856" spans="1:18" x14ac:dyDescent="0.25">
      <c r="A1856" s="7" t="s">
        <v>5847</v>
      </c>
      <c r="B1856" s="8" t="s">
        <v>36</v>
      </c>
      <c r="C1856" s="10">
        <f t="shared" si="86"/>
        <v>33866</v>
      </c>
      <c r="D1856" t="s">
        <v>11</v>
      </c>
      <c r="E1856" t="s">
        <v>12</v>
      </c>
      <c r="F1856" t="s">
        <v>11</v>
      </c>
      <c r="G1856" t="s">
        <v>12</v>
      </c>
      <c r="H1856" t="s">
        <v>11</v>
      </c>
      <c r="I1856" t="s">
        <v>12</v>
      </c>
      <c r="J1856" t="s">
        <v>11</v>
      </c>
      <c r="K1856" t="s">
        <v>12</v>
      </c>
      <c r="L1856" s="12" t="s">
        <v>42</v>
      </c>
      <c r="M1856" s="12" t="s">
        <v>99</v>
      </c>
      <c r="N1856" s="12" t="s">
        <v>214</v>
      </c>
      <c r="O1856" s="12" t="s">
        <v>245</v>
      </c>
      <c r="P1856" s="12" t="s">
        <v>143</v>
      </c>
      <c r="Q1856" s="7" t="str">
        <f t="shared" si="85"/>
        <v>(1992,38,'1992.09.19',3,52,64,74,77,0),</v>
      </c>
      <c r="R1856" s="7" t="str">
        <f t="shared" si="87"/>
        <v>(1992,38,'1992.09.19',3,52,64,74,77),</v>
      </c>
    </row>
    <row r="1857" spans="1:18" x14ac:dyDescent="0.25">
      <c r="A1857" s="7" t="s">
        <v>5847</v>
      </c>
      <c r="B1857" s="8" t="s">
        <v>24</v>
      </c>
      <c r="C1857" s="10">
        <f t="shared" si="86"/>
        <v>33873</v>
      </c>
      <c r="D1857" t="s">
        <v>11</v>
      </c>
      <c r="E1857" t="s">
        <v>12</v>
      </c>
      <c r="F1857" t="s">
        <v>11</v>
      </c>
      <c r="G1857" t="s">
        <v>12</v>
      </c>
      <c r="H1857" t="s">
        <v>11</v>
      </c>
      <c r="I1857" t="s">
        <v>12</v>
      </c>
      <c r="J1857" t="s">
        <v>11</v>
      </c>
      <c r="K1857" t="s">
        <v>12</v>
      </c>
      <c r="L1857" s="12" t="s">
        <v>65</v>
      </c>
      <c r="M1857" s="12" t="s">
        <v>32</v>
      </c>
      <c r="N1857" s="12" t="s">
        <v>133</v>
      </c>
      <c r="O1857" s="12" t="s">
        <v>81</v>
      </c>
      <c r="P1857" s="12" t="s">
        <v>269</v>
      </c>
      <c r="Q1857" s="7" t="str">
        <f t="shared" si="85"/>
        <v>(1992,39,'1992.09.26',13,22,45,47,87,0),</v>
      </c>
      <c r="R1857" s="7" t="str">
        <f t="shared" si="87"/>
        <v>(1992,39,'1992.09.26',13,22,45,47,87),</v>
      </c>
    </row>
    <row r="1858" spans="1:18" x14ac:dyDescent="0.25">
      <c r="A1858" s="7" t="s">
        <v>5847</v>
      </c>
      <c r="B1858" s="8" t="s">
        <v>10</v>
      </c>
      <c r="C1858" s="10">
        <f t="shared" si="86"/>
        <v>33880</v>
      </c>
      <c r="D1858" t="s">
        <v>11</v>
      </c>
      <c r="E1858" t="s">
        <v>12</v>
      </c>
      <c r="F1858" t="s">
        <v>11</v>
      </c>
      <c r="G1858" t="s">
        <v>12</v>
      </c>
      <c r="H1858" t="s">
        <v>11</v>
      </c>
      <c r="I1858" t="s">
        <v>12</v>
      </c>
      <c r="J1858" t="s">
        <v>11</v>
      </c>
      <c r="K1858" t="s">
        <v>12</v>
      </c>
      <c r="L1858" s="12" t="s">
        <v>108</v>
      </c>
      <c r="M1858" s="12" t="s">
        <v>232</v>
      </c>
      <c r="N1858" s="12" t="s">
        <v>127</v>
      </c>
      <c r="O1858" s="12" t="s">
        <v>90</v>
      </c>
      <c r="P1858" s="12" t="s">
        <v>36</v>
      </c>
      <c r="Q1858" s="7" t="str">
        <f t="shared" ref="Q1858:Q1921" si="88">"("&amp;A1858&amp;","&amp;B1858&amp;",'"&amp;TEXT(C1858,"éééé.hh.nn")&amp;"',"&amp;L1858&amp;","&amp;M1858&amp;","&amp;N1858&amp;","&amp;O1858&amp;","&amp;P1858&amp;",0)"&amp;IF(P1859&lt;&gt;0,",","")</f>
        <v>(1992,40,'1992.10.03',1,8,14,17,38,0),</v>
      </c>
      <c r="R1858" s="7" t="str">
        <f t="shared" si="87"/>
        <v>(1992,40,'1992.10.03',1,8,14,17,38),</v>
      </c>
    </row>
    <row r="1859" spans="1:18" x14ac:dyDescent="0.25">
      <c r="A1859" s="7" t="s">
        <v>5847</v>
      </c>
      <c r="B1859" s="8" t="s">
        <v>13</v>
      </c>
      <c r="C1859" s="10">
        <f t="shared" ref="C1859:C1922" si="89">+C1858+7</f>
        <v>33887</v>
      </c>
      <c r="D1859" t="s">
        <v>11</v>
      </c>
      <c r="E1859" t="s">
        <v>12</v>
      </c>
      <c r="F1859" t="s">
        <v>11</v>
      </c>
      <c r="G1859" t="s">
        <v>12</v>
      </c>
      <c r="H1859" t="s">
        <v>11</v>
      </c>
      <c r="I1859" t="s">
        <v>12</v>
      </c>
      <c r="J1859" t="s">
        <v>11</v>
      </c>
      <c r="K1859" t="s">
        <v>12</v>
      </c>
      <c r="L1859" s="12" t="s">
        <v>65</v>
      </c>
      <c r="M1859" s="12" t="s">
        <v>81</v>
      </c>
      <c r="N1859" s="12" t="s">
        <v>105</v>
      </c>
      <c r="O1859" s="12" t="s">
        <v>72</v>
      </c>
      <c r="P1859" s="12" t="s">
        <v>73</v>
      </c>
      <c r="Q1859" s="7" t="str">
        <f t="shared" si="88"/>
        <v>(1992,41,'1992.10.10',13,47,50,67,76,0),</v>
      </c>
      <c r="R1859" s="7" t="str">
        <f t="shared" ref="R1859:R1922" si="90">IF(TRIM(P1859)="","","("&amp;A1859&amp;","&amp;B1859&amp;",'"&amp;TEXT(C1859,"éééé.hh.nn")&amp;"',"&amp;L1859&amp;","&amp;M1859&amp;","&amp;N1859&amp;","&amp;O1859&amp;","&amp;P1859&amp;")"&amp;IF(P1860=0,";",","))</f>
        <v>(1992,41,'1992.10.10',13,47,50,67,76),</v>
      </c>
    </row>
    <row r="1860" spans="1:18" x14ac:dyDescent="0.25">
      <c r="A1860" s="7" t="s">
        <v>5847</v>
      </c>
      <c r="B1860" s="8" t="s">
        <v>98</v>
      </c>
      <c r="C1860" s="10">
        <f t="shared" si="89"/>
        <v>33894</v>
      </c>
      <c r="D1860" t="s">
        <v>11</v>
      </c>
      <c r="E1860" t="s">
        <v>12</v>
      </c>
      <c r="F1860" t="s">
        <v>11</v>
      </c>
      <c r="G1860" t="s">
        <v>12</v>
      </c>
      <c r="H1860" t="s">
        <v>11</v>
      </c>
      <c r="I1860" t="s">
        <v>12</v>
      </c>
      <c r="J1860" t="s">
        <v>11</v>
      </c>
      <c r="K1860" t="s">
        <v>12</v>
      </c>
      <c r="L1860" s="12" t="s">
        <v>53</v>
      </c>
      <c r="M1860" s="12" t="s">
        <v>83</v>
      </c>
      <c r="N1860" s="12" t="s">
        <v>116</v>
      </c>
      <c r="O1860" s="12" t="s">
        <v>34</v>
      </c>
      <c r="P1860" s="12" t="s">
        <v>122</v>
      </c>
      <c r="Q1860" s="7" t="str">
        <f t="shared" si="88"/>
        <v>(1992,42,'1992.10.17',7,11,29,49,51,0),</v>
      </c>
      <c r="R1860" s="7" t="str">
        <f t="shared" si="90"/>
        <v>(1992,42,'1992.10.17',7,11,29,49,51),</v>
      </c>
    </row>
    <row r="1861" spans="1:18" x14ac:dyDescent="0.25">
      <c r="A1861" s="7" t="s">
        <v>5847</v>
      </c>
      <c r="B1861" s="8" t="s">
        <v>45</v>
      </c>
      <c r="C1861" s="10">
        <f t="shared" si="89"/>
        <v>33901</v>
      </c>
      <c r="D1861" t="s">
        <v>11</v>
      </c>
      <c r="E1861" t="s">
        <v>12</v>
      </c>
      <c r="F1861" t="s">
        <v>11</v>
      </c>
      <c r="G1861" t="s">
        <v>12</v>
      </c>
      <c r="H1861" t="s">
        <v>11</v>
      </c>
      <c r="I1861" t="s">
        <v>12</v>
      </c>
      <c r="J1861" t="s">
        <v>11</v>
      </c>
      <c r="K1861" t="s">
        <v>12</v>
      </c>
      <c r="L1861" s="12" t="s">
        <v>44</v>
      </c>
      <c r="M1861" s="12" t="s">
        <v>20</v>
      </c>
      <c r="N1861" s="12" t="s">
        <v>82</v>
      </c>
      <c r="O1861" s="12" t="s">
        <v>56</v>
      </c>
      <c r="P1861" s="12" t="s">
        <v>125</v>
      </c>
      <c r="Q1861" s="7" t="str">
        <f t="shared" si="88"/>
        <v>(1992,43,'1992.10.24',21,33,59,71,83,0),</v>
      </c>
      <c r="R1861" s="7" t="str">
        <f t="shared" si="90"/>
        <v>(1992,43,'1992.10.24',21,33,59,71,83),</v>
      </c>
    </row>
    <row r="1862" spans="1:18" x14ac:dyDescent="0.25">
      <c r="A1862" s="7" t="s">
        <v>5847</v>
      </c>
      <c r="B1862" s="8" t="s">
        <v>142</v>
      </c>
      <c r="C1862" s="10">
        <f t="shared" si="89"/>
        <v>33908</v>
      </c>
      <c r="D1862" t="s">
        <v>11</v>
      </c>
      <c r="E1862" t="s">
        <v>12</v>
      </c>
      <c r="F1862" t="s">
        <v>11</v>
      </c>
      <c r="G1862" t="s">
        <v>12</v>
      </c>
      <c r="H1862" t="s">
        <v>11</v>
      </c>
      <c r="I1862" t="s">
        <v>12</v>
      </c>
      <c r="J1862" t="s">
        <v>11</v>
      </c>
      <c r="K1862" t="s">
        <v>12</v>
      </c>
      <c r="L1862" s="12" t="s">
        <v>89</v>
      </c>
      <c r="M1862" s="12" t="s">
        <v>81</v>
      </c>
      <c r="N1862" s="12" t="s">
        <v>122</v>
      </c>
      <c r="O1862" s="12" t="s">
        <v>201</v>
      </c>
      <c r="P1862" s="12" t="s">
        <v>215</v>
      </c>
      <c r="Q1862" s="7" t="str">
        <f t="shared" si="88"/>
        <v>(1992,44,'1992.10.31',5,47,51,72,81,0),</v>
      </c>
      <c r="R1862" s="7" t="str">
        <f t="shared" si="90"/>
        <v>(1992,44,'1992.10.31',5,47,51,72,81),</v>
      </c>
    </row>
    <row r="1863" spans="1:18" x14ac:dyDescent="0.25">
      <c r="A1863" s="7" t="s">
        <v>5847</v>
      </c>
      <c r="B1863" s="8" t="s">
        <v>133</v>
      </c>
      <c r="C1863" s="10">
        <f t="shared" si="89"/>
        <v>33915</v>
      </c>
      <c r="D1863" t="s">
        <v>11</v>
      </c>
      <c r="E1863" t="s">
        <v>12</v>
      </c>
      <c r="F1863" t="s">
        <v>11</v>
      </c>
      <c r="G1863" t="s">
        <v>12</v>
      </c>
      <c r="H1863" t="s">
        <v>11</v>
      </c>
      <c r="I1863" t="s">
        <v>12</v>
      </c>
      <c r="J1863" t="s">
        <v>11</v>
      </c>
      <c r="K1863" t="s">
        <v>12</v>
      </c>
      <c r="L1863" s="12" t="s">
        <v>168</v>
      </c>
      <c r="M1863" s="12" t="s">
        <v>71</v>
      </c>
      <c r="N1863" s="12" t="s">
        <v>20</v>
      </c>
      <c r="O1863" s="12" t="s">
        <v>169</v>
      </c>
      <c r="P1863" s="12" t="s">
        <v>73</v>
      </c>
      <c r="Q1863" s="7" t="str">
        <f t="shared" si="88"/>
        <v>(1992,45,'1992.11.07',4,31,33,58,76,0),</v>
      </c>
      <c r="R1863" s="7" t="str">
        <f t="shared" si="90"/>
        <v>(1992,45,'1992.11.07',4,31,33,58,76),</v>
      </c>
    </row>
    <row r="1864" spans="1:18" x14ac:dyDescent="0.25">
      <c r="A1864" s="7" t="s">
        <v>5847</v>
      </c>
      <c r="B1864" s="8" t="s">
        <v>192</v>
      </c>
      <c r="C1864" s="10">
        <f t="shared" si="89"/>
        <v>33922</v>
      </c>
      <c r="D1864" t="s">
        <v>11</v>
      </c>
      <c r="E1864" t="s">
        <v>12</v>
      </c>
      <c r="F1864" t="s">
        <v>11</v>
      </c>
      <c r="G1864" t="s">
        <v>12</v>
      </c>
      <c r="H1864" t="s">
        <v>11</v>
      </c>
      <c r="I1864" t="s">
        <v>12</v>
      </c>
      <c r="J1864" t="s">
        <v>11</v>
      </c>
      <c r="K1864" t="s">
        <v>12</v>
      </c>
      <c r="L1864" s="12" t="s">
        <v>42</v>
      </c>
      <c r="M1864" s="12" t="s">
        <v>89</v>
      </c>
      <c r="N1864" s="12" t="s">
        <v>21</v>
      </c>
      <c r="O1864" s="12" t="s">
        <v>175</v>
      </c>
      <c r="P1864" s="12" t="s">
        <v>200</v>
      </c>
      <c r="Q1864" s="7" t="str">
        <f t="shared" si="88"/>
        <v>(1992,46,'1992.11.14',3,5,36,55,70,0),</v>
      </c>
      <c r="R1864" s="7" t="str">
        <f t="shared" si="90"/>
        <v>(1992,46,'1992.11.14',3,5,36,55,70),</v>
      </c>
    </row>
    <row r="1865" spans="1:18" x14ac:dyDescent="0.25">
      <c r="A1865" s="7" t="s">
        <v>5847</v>
      </c>
      <c r="B1865" s="8" t="s">
        <v>81</v>
      </c>
      <c r="C1865" s="10">
        <f t="shared" si="89"/>
        <v>33929</v>
      </c>
      <c r="D1865" t="s">
        <v>11</v>
      </c>
      <c r="E1865" t="s">
        <v>12</v>
      </c>
      <c r="F1865" t="s">
        <v>11</v>
      </c>
      <c r="G1865" t="s">
        <v>12</v>
      </c>
      <c r="H1865" t="s">
        <v>11</v>
      </c>
      <c r="I1865" t="s">
        <v>12</v>
      </c>
      <c r="J1865" t="s">
        <v>11</v>
      </c>
      <c r="K1865" t="s">
        <v>12</v>
      </c>
      <c r="L1865" s="12" t="s">
        <v>270</v>
      </c>
      <c r="M1865" s="12" t="s">
        <v>43</v>
      </c>
      <c r="N1865" s="12" t="s">
        <v>19</v>
      </c>
      <c r="O1865" s="12" t="s">
        <v>163</v>
      </c>
      <c r="P1865" s="12" t="s">
        <v>133</v>
      </c>
      <c r="Q1865" s="7" t="str">
        <f t="shared" si="88"/>
        <v>(1992,47,'1992.11.21',6,16,18,23,45,0),</v>
      </c>
      <c r="R1865" s="7" t="str">
        <f t="shared" si="90"/>
        <v>(1992,47,'1992.11.21',6,16,18,23,45),</v>
      </c>
    </row>
    <row r="1866" spans="1:18" x14ac:dyDescent="0.25">
      <c r="A1866" s="7" t="s">
        <v>5847</v>
      </c>
      <c r="B1866" s="8" t="s">
        <v>22</v>
      </c>
      <c r="C1866" s="10">
        <f t="shared" si="89"/>
        <v>33936</v>
      </c>
      <c r="D1866" t="s">
        <v>11</v>
      </c>
      <c r="E1866" t="s">
        <v>12</v>
      </c>
      <c r="F1866" t="s">
        <v>11</v>
      </c>
      <c r="G1866" t="s">
        <v>12</v>
      </c>
      <c r="H1866" t="s">
        <v>11</v>
      </c>
      <c r="I1866" t="s">
        <v>12</v>
      </c>
      <c r="J1866" t="s">
        <v>11</v>
      </c>
      <c r="K1866" t="s">
        <v>12</v>
      </c>
      <c r="L1866" s="12" t="s">
        <v>32</v>
      </c>
      <c r="M1866" s="12" t="s">
        <v>199</v>
      </c>
      <c r="N1866" s="12" t="s">
        <v>143</v>
      </c>
      <c r="O1866" s="12" t="s">
        <v>63</v>
      </c>
      <c r="P1866" s="12" t="s">
        <v>308</v>
      </c>
      <c r="Q1866" s="7" t="str">
        <f t="shared" si="88"/>
        <v>(1992,48,'1992.11.28',22,53,77,78,86,0),</v>
      </c>
      <c r="R1866" s="7" t="str">
        <f t="shared" si="90"/>
        <v>(1992,48,'1992.11.28',22,53,77,78,86),</v>
      </c>
    </row>
    <row r="1867" spans="1:18" x14ac:dyDescent="0.25">
      <c r="A1867" s="7" t="s">
        <v>5847</v>
      </c>
      <c r="B1867" s="8" t="s">
        <v>34</v>
      </c>
      <c r="C1867" s="10">
        <f t="shared" si="89"/>
        <v>33943</v>
      </c>
      <c r="D1867" t="s">
        <v>11</v>
      </c>
      <c r="E1867" t="s">
        <v>12</v>
      </c>
      <c r="F1867" t="s">
        <v>11</v>
      </c>
      <c r="G1867" t="s">
        <v>12</v>
      </c>
      <c r="H1867" t="s">
        <v>11</v>
      </c>
      <c r="I1867" t="s">
        <v>12</v>
      </c>
      <c r="J1867" t="s">
        <v>11</v>
      </c>
      <c r="K1867" t="s">
        <v>12</v>
      </c>
      <c r="L1867" s="12" t="s">
        <v>126</v>
      </c>
      <c r="M1867" s="12" t="s">
        <v>81</v>
      </c>
      <c r="N1867" s="12" t="s">
        <v>91</v>
      </c>
      <c r="O1867" s="12" t="s">
        <v>201</v>
      </c>
      <c r="P1867" s="12" t="s">
        <v>245</v>
      </c>
      <c r="Q1867" s="7" t="str">
        <f t="shared" si="88"/>
        <v>(1992,49,'1992.12.05',28,47,61,72,74,0),</v>
      </c>
      <c r="R1867" s="7" t="str">
        <f t="shared" si="90"/>
        <v>(1992,49,'1992.12.05',28,47,61,72,74),</v>
      </c>
    </row>
    <row r="1868" spans="1:18" x14ac:dyDescent="0.25">
      <c r="A1868" s="7" t="s">
        <v>5847</v>
      </c>
      <c r="B1868" s="8" t="s">
        <v>105</v>
      </c>
      <c r="C1868" s="10">
        <f t="shared" si="89"/>
        <v>33950</v>
      </c>
      <c r="D1868" t="s">
        <v>11</v>
      </c>
      <c r="E1868" t="s">
        <v>12</v>
      </c>
      <c r="F1868" t="s">
        <v>11</v>
      </c>
      <c r="G1868" t="s">
        <v>12</v>
      </c>
      <c r="H1868" t="s">
        <v>11</v>
      </c>
      <c r="I1868" t="s">
        <v>12</v>
      </c>
      <c r="J1868" t="s">
        <v>11</v>
      </c>
      <c r="K1868" t="s">
        <v>12</v>
      </c>
      <c r="L1868" s="12" t="s">
        <v>135</v>
      </c>
      <c r="M1868" s="12" t="s">
        <v>150</v>
      </c>
      <c r="N1868" s="12" t="s">
        <v>47</v>
      </c>
      <c r="O1868" s="12" t="s">
        <v>73</v>
      </c>
      <c r="P1868" s="12" t="s">
        <v>125</v>
      </c>
      <c r="Q1868" s="7" t="str">
        <f t="shared" si="88"/>
        <v>(1992,50,'1992.12.12',27,57,69,76,83,0),</v>
      </c>
      <c r="R1868" s="7" t="str">
        <f t="shared" si="90"/>
        <v>(1992,50,'1992.12.12',27,57,69,76,83),</v>
      </c>
    </row>
    <row r="1869" spans="1:18" x14ac:dyDescent="0.25">
      <c r="A1869" s="7" t="s">
        <v>5847</v>
      </c>
      <c r="B1869" s="8" t="s">
        <v>122</v>
      </c>
      <c r="C1869" s="10">
        <f t="shared" si="89"/>
        <v>33957</v>
      </c>
      <c r="D1869" t="s">
        <v>11</v>
      </c>
      <c r="E1869" t="s">
        <v>12</v>
      </c>
      <c r="F1869" t="s">
        <v>11</v>
      </c>
      <c r="G1869" t="s">
        <v>12</v>
      </c>
      <c r="H1869" t="s">
        <v>11</v>
      </c>
      <c r="I1869" t="s">
        <v>12</v>
      </c>
      <c r="J1869" t="s">
        <v>11</v>
      </c>
      <c r="K1869" t="s">
        <v>12</v>
      </c>
      <c r="L1869" s="12" t="s">
        <v>10</v>
      </c>
      <c r="M1869" s="12" t="s">
        <v>169</v>
      </c>
      <c r="N1869" s="12" t="s">
        <v>47</v>
      </c>
      <c r="O1869" s="12" t="s">
        <v>622</v>
      </c>
      <c r="P1869" s="12" t="s">
        <v>269</v>
      </c>
      <c r="Q1869" s="7" t="str">
        <f t="shared" si="88"/>
        <v>(1992,51,'1992.12.19',40,58,69,82,87,0),</v>
      </c>
      <c r="R1869" s="7" t="str">
        <f t="shared" si="90"/>
        <v>(1992,51,'1992.12.19',40,58,69,82,87),</v>
      </c>
    </row>
    <row r="1870" spans="1:18" x14ac:dyDescent="0.25">
      <c r="A1870" s="7" t="s">
        <v>5847</v>
      </c>
      <c r="B1870" s="8" t="s">
        <v>99</v>
      </c>
      <c r="C1870" s="10">
        <f t="shared" si="89"/>
        <v>33964</v>
      </c>
      <c r="D1870" t="s">
        <v>11</v>
      </c>
      <c r="E1870" t="s">
        <v>12</v>
      </c>
      <c r="F1870" t="s">
        <v>11</v>
      </c>
      <c r="G1870" t="s">
        <v>12</v>
      </c>
      <c r="H1870" t="s">
        <v>11</v>
      </c>
      <c r="I1870" t="s">
        <v>12</v>
      </c>
      <c r="J1870" t="s">
        <v>11</v>
      </c>
      <c r="K1870" t="s">
        <v>12</v>
      </c>
      <c r="L1870" s="12" t="s">
        <v>152</v>
      </c>
      <c r="M1870" s="12" t="s">
        <v>20</v>
      </c>
      <c r="N1870" s="12" t="s">
        <v>22</v>
      </c>
      <c r="O1870" s="12" t="s">
        <v>151</v>
      </c>
      <c r="P1870" s="12" t="s">
        <v>246</v>
      </c>
      <c r="Q1870" s="7" t="str">
        <f t="shared" si="88"/>
        <v>(1992,52,'1992.12.26',25,33,48,79,84,0),</v>
      </c>
      <c r="R1870" s="7" t="str">
        <f t="shared" si="90"/>
        <v>(1992,52,'1992.12.26',25,33,48,79,84),</v>
      </c>
    </row>
    <row r="1871" spans="1:18" x14ac:dyDescent="0.25">
      <c r="A1871" s="7" t="s">
        <v>5846</v>
      </c>
      <c r="B1871" s="8" t="s">
        <v>108</v>
      </c>
      <c r="C1871" s="10">
        <f t="shared" si="89"/>
        <v>33971</v>
      </c>
      <c r="D1871" t="s">
        <v>11</v>
      </c>
      <c r="E1871" t="s">
        <v>12</v>
      </c>
      <c r="F1871" t="s">
        <v>11</v>
      </c>
      <c r="G1871" t="s">
        <v>12</v>
      </c>
      <c r="H1871" t="s">
        <v>11</v>
      </c>
      <c r="I1871" t="s">
        <v>12</v>
      </c>
      <c r="J1871" t="s">
        <v>11</v>
      </c>
      <c r="K1871" t="s">
        <v>12</v>
      </c>
      <c r="L1871" s="12" t="s">
        <v>89</v>
      </c>
      <c r="M1871" s="12" t="s">
        <v>152</v>
      </c>
      <c r="N1871" s="12" t="s">
        <v>21</v>
      </c>
      <c r="O1871" s="12" t="s">
        <v>123</v>
      </c>
      <c r="P1871" s="12" t="s">
        <v>233</v>
      </c>
      <c r="Q1871" s="7" t="str">
        <f t="shared" si="88"/>
        <v>(1993,1,'1993.01.02',5,25,36,54,66,0),</v>
      </c>
      <c r="R1871" s="7" t="str">
        <f t="shared" si="90"/>
        <v>(1993,1,'1993.01.02',5,25,36,54,66),</v>
      </c>
    </row>
    <row r="1872" spans="1:18" x14ac:dyDescent="0.25">
      <c r="A1872" s="7" t="s">
        <v>5846</v>
      </c>
      <c r="B1872" s="8" t="s">
        <v>207</v>
      </c>
      <c r="C1872" s="10">
        <f t="shared" si="89"/>
        <v>33978</v>
      </c>
      <c r="D1872" t="s">
        <v>11</v>
      </c>
      <c r="E1872" t="s">
        <v>12</v>
      </c>
      <c r="F1872" t="s">
        <v>11</v>
      </c>
      <c r="G1872" t="s">
        <v>12</v>
      </c>
      <c r="H1872" t="s">
        <v>11</v>
      </c>
      <c r="I1872" t="s">
        <v>12</v>
      </c>
      <c r="J1872" t="s">
        <v>11</v>
      </c>
      <c r="K1872" t="s">
        <v>12</v>
      </c>
      <c r="L1872" s="12" t="s">
        <v>10</v>
      </c>
      <c r="M1872" s="12" t="s">
        <v>134</v>
      </c>
      <c r="N1872" s="12" t="s">
        <v>214</v>
      </c>
      <c r="O1872" s="12" t="s">
        <v>92</v>
      </c>
      <c r="P1872" s="12" t="s">
        <v>301</v>
      </c>
      <c r="Q1872" s="7" t="str">
        <f t="shared" si="88"/>
        <v>(1993,2,'1993.01.09',40,56,64,68,80,0),</v>
      </c>
      <c r="R1872" s="7" t="str">
        <f t="shared" si="90"/>
        <v>(1993,2,'1993.01.09',40,56,64,68,80),</v>
      </c>
    </row>
    <row r="1873" spans="1:18" x14ac:dyDescent="0.25">
      <c r="A1873" s="7" t="s">
        <v>5846</v>
      </c>
      <c r="B1873" s="8" t="s">
        <v>42</v>
      </c>
      <c r="C1873" s="10">
        <f t="shared" si="89"/>
        <v>33985</v>
      </c>
      <c r="D1873" t="s">
        <v>11</v>
      </c>
      <c r="E1873" t="s">
        <v>12</v>
      </c>
      <c r="F1873" t="s">
        <v>11</v>
      </c>
      <c r="G1873" t="s">
        <v>12</v>
      </c>
      <c r="H1873" t="s">
        <v>11</v>
      </c>
      <c r="I1873" t="s">
        <v>12</v>
      </c>
      <c r="J1873" t="s">
        <v>11</v>
      </c>
      <c r="K1873" t="s">
        <v>12</v>
      </c>
      <c r="L1873" s="12" t="s">
        <v>42</v>
      </c>
      <c r="M1873" s="12" t="s">
        <v>199</v>
      </c>
      <c r="N1873" s="12" t="s">
        <v>123</v>
      </c>
      <c r="O1873" s="12" t="s">
        <v>175</v>
      </c>
      <c r="P1873" s="12" t="s">
        <v>150</v>
      </c>
      <c r="Q1873" s="7" t="str">
        <f t="shared" si="88"/>
        <v>(1993,3,'1993.01.16',3,53,54,55,57,0),</v>
      </c>
      <c r="R1873" s="7" t="str">
        <f t="shared" si="90"/>
        <v>(1993,3,'1993.01.16',3,53,54,55,57),</v>
      </c>
    </row>
    <row r="1874" spans="1:18" x14ac:dyDescent="0.25">
      <c r="A1874" s="7" t="s">
        <v>5846</v>
      </c>
      <c r="B1874" s="8" t="s">
        <v>168</v>
      </c>
      <c r="C1874" s="10">
        <f t="shared" si="89"/>
        <v>33992</v>
      </c>
      <c r="D1874" t="s">
        <v>11</v>
      </c>
      <c r="E1874" t="s">
        <v>12</v>
      </c>
      <c r="F1874" t="s">
        <v>11</v>
      </c>
      <c r="G1874" t="s">
        <v>12</v>
      </c>
      <c r="H1874" t="s">
        <v>11</v>
      </c>
      <c r="I1874" t="s">
        <v>12</v>
      </c>
      <c r="J1874" t="s">
        <v>11</v>
      </c>
      <c r="K1874" t="s">
        <v>12</v>
      </c>
      <c r="L1874" s="12" t="s">
        <v>116</v>
      </c>
      <c r="M1874" s="12" t="s">
        <v>13</v>
      </c>
      <c r="N1874" s="12" t="s">
        <v>122</v>
      </c>
      <c r="O1874" s="12" t="s">
        <v>35</v>
      </c>
      <c r="P1874" s="12" t="s">
        <v>233</v>
      </c>
      <c r="Q1874" s="7" t="str">
        <f t="shared" si="88"/>
        <v>(1993,4,'1993.01.23',29,41,51,65,66,0),</v>
      </c>
      <c r="R1874" s="7" t="str">
        <f t="shared" si="90"/>
        <v>(1993,4,'1993.01.23',29,41,51,65,66),</v>
      </c>
    </row>
    <row r="1875" spans="1:18" x14ac:dyDescent="0.25">
      <c r="A1875" s="7" t="s">
        <v>5846</v>
      </c>
      <c r="B1875" s="8" t="s">
        <v>89</v>
      </c>
      <c r="C1875" s="10">
        <f t="shared" si="89"/>
        <v>33999</v>
      </c>
      <c r="D1875" t="s">
        <v>11</v>
      </c>
      <c r="E1875" t="s">
        <v>12</v>
      </c>
      <c r="F1875" t="s">
        <v>11</v>
      </c>
      <c r="G1875" t="s">
        <v>12</v>
      </c>
      <c r="H1875" t="s">
        <v>11</v>
      </c>
      <c r="I1875" t="s">
        <v>12</v>
      </c>
      <c r="J1875" t="s">
        <v>11</v>
      </c>
      <c r="K1875" t="s">
        <v>12</v>
      </c>
      <c r="L1875" s="12" t="s">
        <v>44</v>
      </c>
      <c r="M1875" s="12" t="s">
        <v>116</v>
      </c>
      <c r="N1875" s="12" t="s">
        <v>25</v>
      </c>
      <c r="O1875" s="12" t="s">
        <v>64</v>
      </c>
      <c r="P1875" s="12" t="s">
        <v>45</v>
      </c>
      <c r="Q1875" s="7" t="str">
        <f t="shared" si="88"/>
        <v>(1993,5,'1993.01.30',21,29,34,35,43,0),</v>
      </c>
      <c r="R1875" s="7" t="str">
        <f t="shared" si="90"/>
        <v>(1993,5,'1993.01.30',21,29,34,35,43),</v>
      </c>
    </row>
    <row r="1876" spans="1:18" x14ac:dyDescent="0.25">
      <c r="A1876" s="7" t="s">
        <v>5846</v>
      </c>
      <c r="B1876" s="8" t="s">
        <v>270</v>
      </c>
      <c r="C1876" s="10">
        <f t="shared" si="89"/>
        <v>34006</v>
      </c>
      <c r="D1876" t="s">
        <v>11</v>
      </c>
      <c r="E1876" t="s">
        <v>12</v>
      </c>
      <c r="F1876" t="s">
        <v>11</v>
      </c>
      <c r="G1876" t="s">
        <v>12</v>
      </c>
      <c r="H1876" t="s">
        <v>11</v>
      </c>
      <c r="I1876" t="s">
        <v>12</v>
      </c>
      <c r="J1876" t="s">
        <v>11</v>
      </c>
      <c r="K1876" t="s">
        <v>12</v>
      </c>
      <c r="L1876" s="12" t="s">
        <v>108</v>
      </c>
      <c r="M1876" s="12" t="s">
        <v>62</v>
      </c>
      <c r="N1876" s="12" t="s">
        <v>90</v>
      </c>
      <c r="O1876" s="12" t="s">
        <v>33</v>
      </c>
      <c r="P1876" s="12" t="s">
        <v>239</v>
      </c>
      <c r="Q1876" s="7" t="str">
        <f t="shared" si="88"/>
        <v>(1993,6,'1993.02.06',1,10,17,24,73,0),</v>
      </c>
      <c r="R1876" s="7" t="str">
        <f t="shared" si="90"/>
        <v>(1993,6,'1993.02.06',1,10,17,24,73),</v>
      </c>
    </row>
    <row r="1877" spans="1:18" x14ac:dyDescent="0.25">
      <c r="A1877" s="7" t="s">
        <v>5846</v>
      </c>
      <c r="B1877" s="8" t="s">
        <v>53</v>
      </c>
      <c r="C1877" s="10">
        <f t="shared" si="89"/>
        <v>34013</v>
      </c>
      <c r="D1877" t="s">
        <v>11</v>
      </c>
      <c r="E1877" t="s">
        <v>12</v>
      </c>
      <c r="F1877" t="s">
        <v>11</v>
      </c>
      <c r="G1877" t="s">
        <v>12</v>
      </c>
      <c r="H1877" t="s">
        <v>11</v>
      </c>
      <c r="I1877" t="s">
        <v>12</v>
      </c>
      <c r="J1877" t="s">
        <v>11</v>
      </c>
      <c r="K1877" t="s">
        <v>12</v>
      </c>
      <c r="L1877" s="12" t="s">
        <v>53</v>
      </c>
      <c r="M1877" s="12" t="s">
        <v>232</v>
      </c>
      <c r="N1877" s="12" t="s">
        <v>163</v>
      </c>
      <c r="O1877" s="12" t="s">
        <v>20</v>
      </c>
      <c r="P1877" s="12" t="s">
        <v>22</v>
      </c>
      <c r="Q1877" s="7" t="str">
        <f t="shared" si="88"/>
        <v>(1993,7,'1993.02.13',7,8,23,33,48,0),</v>
      </c>
      <c r="R1877" s="7" t="str">
        <f t="shared" si="90"/>
        <v>(1993,7,'1993.02.13',7,8,23,33,48),</v>
      </c>
    </row>
    <row r="1878" spans="1:18" x14ac:dyDescent="0.25">
      <c r="A1878" s="7" t="s">
        <v>5846</v>
      </c>
      <c r="B1878" s="8" t="s">
        <v>232</v>
      </c>
      <c r="C1878" s="10">
        <f t="shared" si="89"/>
        <v>34020</v>
      </c>
      <c r="D1878" t="s">
        <v>11</v>
      </c>
      <c r="E1878" t="s">
        <v>12</v>
      </c>
      <c r="F1878" t="s">
        <v>11</v>
      </c>
      <c r="G1878" t="s">
        <v>12</v>
      </c>
      <c r="H1878" t="s">
        <v>11</v>
      </c>
      <c r="I1878" t="s">
        <v>12</v>
      </c>
      <c r="J1878" t="s">
        <v>11</v>
      </c>
      <c r="K1878" t="s">
        <v>12</v>
      </c>
      <c r="L1878" s="12" t="s">
        <v>108</v>
      </c>
      <c r="M1878" s="12" t="s">
        <v>207</v>
      </c>
      <c r="N1878" s="12" t="s">
        <v>89</v>
      </c>
      <c r="O1878" s="12" t="s">
        <v>54</v>
      </c>
      <c r="P1878" s="12" t="s">
        <v>133</v>
      </c>
      <c r="Q1878" s="7" t="str">
        <f t="shared" si="88"/>
        <v>(1993,8,'1993.02.20',1,2,5,15,45,0),</v>
      </c>
      <c r="R1878" s="7" t="str">
        <f t="shared" si="90"/>
        <v>(1993,8,'1993.02.20',1,2,5,15,45),</v>
      </c>
    </row>
    <row r="1879" spans="1:18" x14ac:dyDescent="0.25">
      <c r="A1879" s="7" t="s">
        <v>5846</v>
      </c>
      <c r="B1879" s="8" t="s">
        <v>198</v>
      </c>
      <c r="C1879" s="10">
        <f t="shared" si="89"/>
        <v>34027</v>
      </c>
      <c r="D1879" t="s">
        <v>11</v>
      </c>
      <c r="E1879" t="s">
        <v>12</v>
      </c>
      <c r="F1879" t="s">
        <v>11</v>
      </c>
      <c r="G1879" t="s">
        <v>12</v>
      </c>
      <c r="H1879" t="s">
        <v>11</v>
      </c>
      <c r="I1879" t="s">
        <v>12</v>
      </c>
      <c r="J1879" t="s">
        <v>11</v>
      </c>
      <c r="K1879" t="s">
        <v>12</v>
      </c>
      <c r="L1879" s="12" t="s">
        <v>207</v>
      </c>
      <c r="M1879" s="12" t="s">
        <v>55</v>
      </c>
      <c r="N1879" s="12" t="s">
        <v>74</v>
      </c>
      <c r="O1879" s="12" t="s">
        <v>126</v>
      </c>
      <c r="P1879" s="12" t="s">
        <v>92</v>
      </c>
      <c r="Q1879" s="7" t="str">
        <f t="shared" si="88"/>
        <v>(1993,9,'1993.02.27',2,19,26,28,68,0),</v>
      </c>
      <c r="R1879" s="7" t="str">
        <f t="shared" si="90"/>
        <v>(1993,9,'1993.02.27',2,19,26,28,68),</v>
      </c>
    </row>
    <row r="1880" spans="1:18" x14ac:dyDescent="0.25">
      <c r="A1880" s="7" t="s">
        <v>5846</v>
      </c>
      <c r="B1880" s="8" t="s">
        <v>62</v>
      </c>
      <c r="C1880" s="10">
        <f t="shared" si="89"/>
        <v>34034</v>
      </c>
      <c r="D1880" t="s">
        <v>11</v>
      </c>
      <c r="E1880" t="s">
        <v>12</v>
      </c>
      <c r="F1880" t="s">
        <v>11</v>
      </c>
      <c r="G1880" t="s">
        <v>12</v>
      </c>
      <c r="H1880" t="s">
        <v>11</v>
      </c>
      <c r="I1880" t="s">
        <v>12</v>
      </c>
      <c r="J1880" t="s">
        <v>11</v>
      </c>
      <c r="K1880" t="s">
        <v>12</v>
      </c>
      <c r="L1880" s="12" t="s">
        <v>36</v>
      </c>
      <c r="M1880" s="12" t="s">
        <v>92</v>
      </c>
      <c r="N1880" s="12" t="s">
        <v>63</v>
      </c>
      <c r="O1880" s="12" t="s">
        <v>468</v>
      </c>
      <c r="P1880" s="12" t="s">
        <v>186</v>
      </c>
      <c r="Q1880" s="7" t="str">
        <f t="shared" si="88"/>
        <v>(1993,10,'1993.03.06',38,68,78,85,90,0),</v>
      </c>
      <c r="R1880" s="7" t="str">
        <f t="shared" si="90"/>
        <v>(1993,10,'1993.03.06',38,68,78,85,90),</v>
      </c>
    </row>
    <row r="1881" spans="1:18" x14ac:dyDescent="0.25">
      <c r="A1881" s="7" t="s">
        <v>5846</v>
      </c>
      <c r="B1881" s="8" t="s">
        <v>83</v>
      </c>
      <c r="C1881" s="10">
        <f t="shared" si="89"/>
        <v>34041</v>
      </c>
      <c r="D1881" t="s">
        <v>11</v>
      </c>
      <c r="E1881" t="s">
        <v>12</v>
      </c>
      <c r="F1881" t="s">
        <v>11</v>
      </c>
      <c r="G1881" t="s">
        <v>12</v>
      </c>
      <c r="H1881" t="s">
        <v>11</v>
      </c>
      <c r="I1881" t="s">
        <v>12</v>
      </c>
      <c r="J1881" t="s">
        <v>11</v>
      </c>
      <c r="K1881" t="s">
        <v>12</v>
      </c>
      <c r="L1881" s="12" t="s">
        <v>198</v>
      </c>
      <c r="M1881" s="12" t="s">
        <v>62</v>
      </c>
      <c r="N1881" s="12" t="s">
        <v>19</v>
      </c>
      <c r="O1881" s="12" t="s">
        <v>248</v>
      </c>
      <c r="P1881" s="12" t="s">
        <v>215</v>
      </c>
      <c r="Q1881" s="7" t="str">
        <f t="shared" si="88"/>
        <v>(1993,11,'1993.03.13',9,10,18,63,81,0),</v>
      </c>
      <c r="R1881" s="7" t="str">
        <f t="shared" si="90"/>
        <v>(1993,11,'1993.03.13',9,10,18,63,81),</v>
      </c>
    </row>
    <row r="1882" spans="1:18" x14ac:dyDescent="0.25">
      <c r="A1882" s="7" t="s">
        <v>5846</v>
      </c>
      <c r="B1882" s="8" t="s">
        <v>31</v>
      </c>
      <c r="C1882" s="10">
        <f t="shared" si="89"/>
        <v>34048</v>
      </c>
      <c r="D1882" t="s">
        <v>11</v>
      </c>
      <c r="E1882" t="s">
        <v>12</v>
      </c>
      <c r="F1882" t="s">
        <v>11</v>
      </c>
      <c r="G1882" t="s">
        <v>12</v>
      </c>
      <c r="H1882" t="s">
        <v>11</v>
      </c>
      <c r="I1882" t="s">
        <v>12</v>
      </c>
      <c r="J1882" t="s">
        <v>11</v>
      </c>
      <c r="K1882" t="s">
        <v>12</v>
      </c>
      <c r="L1882" s="12" t="s">
        <v>232</v>
      </c>
      <c r="M1882" s="12" t="s">
        <v>32</v>
      </c>
      <c r="N1882" s="12" t="s">
        <v>80</v>
      </c>
      <c r="O1882" s="12" t="s">
        <v>105</v>
      </c>
      <c r="P1882" s="12" t="s">
        <v>82</v>
      </c>
      <c r="Q1882" s="7" t="str">
        <f t="shared" si="88"/>
        <v>(1993,12,'1993.03.20',8,22,32,50,59,0),</v>
      </c>
      <c r="R1882" s="7" t="str">
        <f t="shared" si="90"/>
        <v>(1993,12,'1993.03.20',8,22,32,50,59),</v>
      </c>
    </row>
    <row r="1883" spans="1:18" x14ac:dyDescent="0.25">
      <c r="A1883" s="7" t="s">
        <v>5846</v>
      </c>
      <c r="B1883" s="8" t="s">
        <v>65</v>
      </c>
      <c r="C1883" s="10">
        <f t="shared" si="89"/>
        <v>34055</v>
      </c>
      <c r="D1883" t="s">
        <v>11</v>
      </c>
      <c r="E1883" t="s">
        <v>12</v>
      </c>
      <c r="F1883" t="s">
        <v>11</v>
      </c>
      <c r="G1883" t="s">
        <v>12</v>
      </c>
      <c r="H1883" t="s">
        <v>11</v>
      </c>
      <c r="I1883" t="s">
        <v>12</v>
      </c>
      <c r="J1883" t="s">
        <v>11</v>
      </c>
      <c r="K1883" t="s">
        <v>12</v>
      </c>
      <c r="L1883" s="12" t="s">
        <v>62</v>
      </c>
      <c r="M1883" s="12" t="s">
        <v>122</v>
      </c>
      <c r="N1883" s="12" t="s">
        <v>201</v>
      </c>
      <c r="O1883" s="12" t="s">
        <v>239</v>
      </c>
      <c r="P1883" s="12" t="s">
        <v>215</v>
      </c>
      <c r="Q1883" s="7" t="str">
        <f t="shared" si="88"/>
        <v>(1993,13,'1993.03.27',10,51,72,73,81,0),</v>
      </c>
      <c r="R1883" s="7" t="str">
        <f t="shared" si="90"/>
        <v>(1993,13,'1993.03.27',10,51,72,73,81),</v>
      </c>
    </row>
    <row r="1884" spans="1:18" x14ac:dyDescent="0.25">
      <c r="A1884" s="7" t="s">
        <v>5846</v>
      </c>
      <c r="B1884" s="8" t="s">
        <v>127</v>
      </c>
      <c r="C1884" s="10">
        <f t="shared" si="89"/>
        <v>34062</v>
      </c>
      <c r="D1884" t="s">
        <v>11</v>
      </c>
      <c r="E1884" t="s">
        <v>12</v>
      </c>
      <c r="F1884" t="s">
        <v>11</v>
      </c>
      <c r="G1884" t="s">
        <v>12</v>
      </c>
      <c r="H1884" t="s">
        <v>11</v>
      </c>
      <c r="I1884" t="s">
        <v>12</v>
      </c>
      <c r="J1884" t="s">
        <v>11</v>
      </c>
      <c r="K1884" t="s">
        <v>12</v>
      </c>
      <c r="L1884" s="12" t="s">
        <v>232</v>
      </c>
      <c r="M1884" s="12" t="s">
        <v>115</v>
      </c>
      <c r="N1884" s="12" t="s">
        <v>81</v>
      </c>
      <c r="O1884" s="12" t="s">
        <v>22</v>
      </c>
      <c r="P1884" s="12" t="s">
        <v>123</v>
      </c>
      <c r="Q1884" s="7" t="str">
        <f t="shared" si="88"/>
        <v>(1993,14,'1993.04.03',8,20,47,48,54,0),</v>
      </c>
      <c r="R1884" s="7" t="str">
        <f t="shared" si="90"/>
        <v>(1993,14,'1993.04.03',8,20,47,48,54),</v>
      </c>
    </row>
    <row r="1885" spans="1:18" x14ac:dyDescent="0.25">
      <c r="A1885" s="7" t="s">
        <v>5846</v>
      </c>
      <c r="B1885" s="8" t="s">
        <v>54</v>
      </c>
      <c r="C1885" s="10">
        <f t="shared" si="89"/>
        <v>34069</v>
      </c>
      <c r="D1885" t="s">
        <v>11</v>
      </c>
      <c r="E1885" t="s">
        <v>12</v>
      </c>
      <c r="F1885" t="s">
        <v>11</v>
      </c>
      <c r="G1885" t="s">
        <v>12</v>
      </c>
      <c r="H1885" t="s">
        <v>11</v>
      </c>
      <c r="I1885" t="s">
        <v>12</v>
      </c>
      <c r="J1885" t="s">
        <v>11</v>
      </c>
      <c r="K1885" t="s">
        <v>12</v>
      </c>
      <c r="L1885" s="12" t="s">
        <v>21</v>
      </c>
      <c r="M1885" s="12" t="s">
        <v>142</v>
      </c>
      <c r="N1885" s="12" t="s">
        <v>81</v>
      </c>
      <c r="O1885" s="12" t="s">
        <v>34</v>
      </c>
      <c r="P1885" s="12" t="s">
        <v>186</v>
      </c>
      <c r="Q1885" s="7" t="str">
        <f t="shared" si="88"/>
        <v>(1993,15,'1993.04.10',36,44,47,49,90,0),</v>
      </c>
      <c r="R1885" s="7" t="str">
        <f t="shared" si="90"/>
        <v>(1993,15,'1993.04.10',36,44,47,49,90),</v>
      </c>
    </row>
    <row r="1886" spans="1:18" x14ac:dyDescent="0.25">
      <c r="A1886" s="7" t="s">
        <v>5846</v>
      </c>
      <c r="B1886" s="8" t="s">
        <v>43</v>
      </c>
      <c r="C1886" s="10">
        <f t="shared" si="89"/>
        <v>34076</v>
      </c>
      <c r="D1886" t="s">
        <v>11</v>
      </c>
      <c r="E1886" t="s">
        <v>12</v>
      </c>
      <c r="F1886" t="s">
        <v>11</v>
      </c>
      <c r="G1886" t="s">
        <v>12</v>
      </c>
      <c r="H1886" t="s">
        <v>11</v>
      </c>
      <c r="I1886" t="s">
        <v>12</v>
      </c>
      <c r="J1886" t="s">
        <v>11</v>
      </c>
      <c r="K1886" t="s">
        <v>12</v>
      </c>
      <c r="L1886" s="12" t="s">
        <v>54</v>
      </c>
      <c r="M1886" s="12" t="s">
        <v>19</v>
      </c>
      <c r="N1886" s="12" t="s">
        <v>98</v>
      </c>
      <c r="O1886" s="12" t="s">
        <v>45</v>
      </c>
      <c r="P1886" s="12" t="s">
        <v>199</v>
      </c>
      <c r="Q1886" s="7" t="str">
        <f t="shared" si="88"/>
        <v>(1993,16,'1993.04.17',15,18,42,43,53,0),</v>
      </c>
      <c r="R1886" s="7" t="str">
        <f t="shared" si="90"/>
        <v>(1993,16,'1993.04.17',15,18,42,43,53),</v>
      </c>
    </row>
    <row r="1887" spans="1:18" x14ac:dyDescent="0.25">
      <c r="A1887" s="7" t="s">
        <v>5846</v>
      </c>
      <c r="B1887" s="8" t="s">
        <v>90</v>
      </c>
      <c r="C1887" s="10">
        <f t="shared" si="89"/>
        <v>34083</v>
      </c>
      <c r="D1887" t="s">
        <v>11</v>
      </c>
      <c r="E1887" t="s">
        <v>12</v>
      </c>
      <c r="F1887" t="s">
        <v>11</v>
      </c>
      <c r="G1887" t="s">
        <v>12</v>
      </c>
      <c r="H1887" t="s">
        <v>11</v>
      </c>
      <c r="I1887" t="s">
        <v>12</v>
      </c>
      <c r="J1887" t="s">
        <v>11</v>
      </c>
      <c r="K1887" t="s">
        <v>12</v>
      </c>
      <c r="L1887" s="12" t="s">
        <v>116</v>
      </c>
      <c r="M1887" s="12" t="s">
        <v>81</v>
      </c>
      <c r="N1887" s="12" t="s">
        <v>150</v>
      </c>
      <c r="O1887" s="12" t="s">
        <v>124</v>
      </c>
      <c r="P1887" s="12" t="s">
        <v>248</v>
      </c>
      <c r="Q1887" s="7" t="str">
        <f t="shared" si="88"/>
        <v>(1993,17,'1993.04.24',29,47,57,62,63,0),</v>
      </c>
      <c r="R1887" s="7" t="str">
        <f t="shared" si="90"/>
        <v>(1993,17,'1993.04.24',29,47,57,62,63),</v>
      </c>
    </row>
    <row r="1888" spans="1:18" x14ac:dyDescent="0.25">
      <c r="A1888" s="7" t="s">
        <v>5846</v>
      </c>
      <c r="B1888" s="8" t="s">
        <v>19</v>
      </c>
      <c r="C1888" s="10">
        <f t="shared" si="89"/>
        <v>34090</v>
      </c>
      <c r="D1888" t="s">
        <v>11</v>
      </c>
      <c r="E1888" t="s">
        <v>12</v>
      </c>
      <c r="F1888" t="s">
        <v>11</v>
      </c>
      <c r="G1888" t="s">
        <v>12</v>
      </c>
      <c r="H1888" t="s">
        <v>11</v>
      </c>
      <c r="I1888" t="s">
        <v>12</v>
      </c>
      <c r="J1888" t="s">
        <v>11</v>
      </c>
      <c r="K1888" t="s">
        <v>12</v>
      </c>
      <c r="L1888" s="12" t="s">
        <v>21</v>
      </c>
      <c r="M1888" s="12" t="s">
        <v>98</v>
      </c>
      <c r="N1888" s="12" t="s">
        <v>468</v>
      </c>
      <c r="O1888" s="12" t="s">
        <v>379</v>
      </c>
      <c r="P1888" s="12" t="s">
        <v>186</v>
      </c>
      <c r="Q1888" s="7" t="str">
        <f t="shared" si="88"/>
        <v>(1993,18,'1993.05.01',36,42,85,89,90,0),</v>
      </c>
      <c r="R1888" s="7" t="str">
        <f t="shared" si="90"/>
        <v>(1993,18,'1993.05.01',36,42,85,89,90),</v>
      </c>
    </row>
    <row r="1889" spans="1:18" x14ac:dyDescent="0.25">
      <c r="A1889" s="7" t="s">
        <v>5846</v>
      </c>
      <c r="B1889" s="8" t="s">
        <v>55</v>
      </c>
      <c r="C1889" s="10">
        <f t="shared" si="89"/>
        <v>34097</v>
      </c>
      <c r="D1889" t="s">
        <v>11</v>
      </c>
      <c r="E1889" t="s">
        <v>12</v>
      </c>
      <c r="F1889" t="s">
        <v>11</v>
      </c>
      <c r="G1889" t="s">
        <v>12</v>
      </c>
      <c r="H1889" t="s">
        <v>11</v>
      </c>
      <c r="I1889" t="s">
        <v>12</v>
      </c>
      <c r="J1889" t="s">
        <v>11</v>
      </c>
      <c r="K1889" t="s">
        <v>12</v>
      </c>
      <c r="L1889" s="12" t="s">
        <v>53</v>
      </c>
      <c r="M1889" s="12" t="s">
        <v>126</v>
      </c>
      <c r="N1889" s="12" t="s">
        <v>98</v>
      </c>
      <c r="O1889" s="12" t="s">
        <v>45</v>
      </c>
      <c r="P1889" s="12" t="s">
        <v>47</v>
      </c>
      <c r="Q1889" s="7" t="str">
        <f t="shared" si="88"/>
        <v>(1993,19,'1993.05.08',7,28,42,43,69,0),</v>
      </c>
      <c r="R1889" s="7" t="str">
        <f t="shared" si="90"/>
        <v>(1993,19,'1993.05.08',7,28,42,43,69),</v>
      </c>
    </row>
    <row r="1890" spans="1:18" x14ac:dyDescent="0.25">
      <c r="A1890" s="7" t="s">
        <v>5846</v>
      </c>
      <c r="B1890" s="8" t="s">
        <v>115</v>
      </c>
      <c r="C1890" s="10">
        <f t="shared" si="89"/>
        <v>34104</v>
      </c>
      <c r="D1890" t="s">
        <v>11</v>
      </c>
      <c r="E1890" t="s">
        <v>12</v>
      </c>
      <c r="F1890" t="s">
        <v>11</v>
      </c>
      <c r="G1890" t="s">
        <v>12</v>
      </c>
      <c r="H1890" t="s">
        <v>11</v>
      </c>
      <c r="I1890" t="s">
        <v>12</v>
      </c>
      <c r="J1890" t="s">
        <v>11</v>
      </c>
      <c r="K1890" t="s">
        <v>12</v>
      </c>
      <c r="L1890" s="12" t="s">
        <v>270</v>
      </c>
      <c r="M1890" s="12" t="s">
        <v>199</v>
      </c>
      <c r="N1890" s="12" t="s">
        <v>47</v>
      </c>
      <c r="O1890" s="12" t="s">
        <v>301</v>
      </c>
      <c r="P1890" s="12" t="s">
        <v>308</v>
      </c>
      <c r="Q1890" s="7" t="str">
        <f t="shared" si="88"/>
        <v>(1993,20,'1993.05.15',6,53,69,80,86,0),</v>
      </c>
      <c r="R1890" s="7" t="str">
        <f t="shared" si="90"/>
        <v>(1993,20,'1993.05.15',6,53,69,80,86),</v>
      </c>
    </row>
    <row r="1891" spans="1:18" x14ac:dyDescent="0.25">
      <c r="A1891" s="7" t="s">
        <v>5846</v>
      </c>
      <c r="B1891" s="8" t="s">
        <v>44</v>
      </c>
      <c r="C1891" s="10">
        <f t="shared" si="89"/>
        <v>34111</v>
      </c>
      <c r="D1891" t="s">
        <v>11</v>
      </c>
      <c r="E1891" t="s">
        <v>12</v>
      </c>
      <c r="F1891" t="s">
        <v>11</v>
      </c>
      <c r="G1891" t="s">
        <v>12</v>
      </c>
      <c r="H1891" t="s">
        <v>11</v>
      </c>
      <c r="I1891" t="s">
        <v>12</v>
      </c>
      <c r="J1891" t="s">
        <v>11</v>
      </c>
      <c r="K1891" t="s">
        <v>12</v>
      </c>
      <c r="L1891" s="12" t="s">
        <v>270</v>
      </c>
      <c r="M1891" s="12" t="s">
        <v>31</v>
      </c>
      <c r="N1891" s="12" t="s">
        <v>74</v>
      </c>
      <c r="O1891" s="12" t="s">
        <v>133</v>
      </c>
      <c r="P1891" s="12" t="s">
        <v>301</v>
      </c>
      <c r="Q1891" s="7" t="str">
        <f t="shared" si="88"/>
        <v>(1993,21,'1993.05.22',6,12,26,45,80,0),</v>
      </c>
      <c r="R1891" s="7" t="str">
        <f t="shared" si="90"/>
        <v>(1993,21,'1993.05.22',6,12,26,45,80),</v>
      </c>
    </row>
    <row r="1892" spans="1:18" x14ac:dyDescent="0.25">
      <c r="A1892" s="7" t="s">
        <v>5846</v>
      </c>
      <c r="B1892" s="8" t="s">
        <v>32</v>
      </c>
      <c r="C1892" s="10">
        <f t="shared" si="89"/>
        <v>34118</v>
      </c>
      <c r="D1892" t="s">
        <v>11</v>
      </c>
      <c r="E1892" t="s">
        <v>12</v>
      </c>
      <c r="F1892" t="s">
        <v>11</v>
      </c>
      <c r="G1892" t="s">
        <v>12</v>
      </c>
      <c r="H1892" t="s">
        <v>11</v>
      </c>
      <c r="I1892" t="s">
        <v>12</v>
      </c>
      <c r="J1892" t="s">
        <v>11</v>
      </c>
      <c r="K1892" t="s">
        <v>12</v>
      </c>
      <c r="L1892" s="12" t="s">
        <v>168</v>
      </c>
      <c r="M1892" s="12" t="s">
        <v>44</v>
      </c>
      <c r="N1892" s="12" t="s">
        <v>107</v>
      </c>
      <c r="O1892" s="12" t="s">
        <v>25</v>
      </c>
      <c r="P1892" s="12" t="s">
        <v>133</v>
      </c>
      <c r="Q1892" s="7" t="str">
        <f t="shared" si="88"/>
        <v>(1993,22,'1993.05.29',4,21,30,34,45,0),</v>
      </c>
      <c r="R1892" s="7" t="str">
        <f t="shared" si="90"/>
        <v>(1993,22,'1993.05.29',4,21,30,34,45),</v>
      </c>
    </row>
    <row r="1893" spans="1:18" x14ac:dyDescent="0.25">
      <c r="A1893" s="7" t="s">
        <v>5846</v>
      </c>
      <c r="B1893" s="8" t="s">
        <v>163</v>
      </c>
      <c r="C1893" s="10">
        <f t="shared" si="89"/>
        <v>34125</v>
      </c>
      <c r="D1893" t="s">
        <v>11</v>
      </c>
      <c r="E1893" t="s">
        <v>12</v>
      </c>
      <c r="F1893" t="s">
        <v>11</v>
      </c>
      <c r="G1893" t="s">
        <v>12</v>
      </c>
      <c r="H1893" t="s">
        <v>11</v>
      </c>
      <c r="I1893" t="s">
        <v>12</v>
      </c>
      <c r="J1893" t="s">
        <v>11</v>
      </c>
      <c r="K1893" t="s">
        <v>12</v>
      </c>
      <c r="L1893" s="12" t="s">
        <v>42</v>
      </c>
      <c r="M1893" s="12" t="s">
        <v>21</v>
      </c>
      <c r="N1893" s="12" t="s">
        <v>24</v>
      </c>
      <c r="O1893" s="12" t="s">
        <v>98</v>
      </c>
      <c r="P1893" s="12" t="s">
        <v>133</v>
      </c>
      <c r="Q1893" s="7" t="str">
        <f t="shared" si="88"/>
        <v>(1993,23,'1993.06.05',3,36,39,42,45,0),</v>
      </c>
      <c r="R1893" s="7" t="str">
        <f t="shared" si="90"/>
        <v>(1993,23,'1993.06.05',3,36,39,42,45),</v>
      </c>
    </row>
    <row r="1894" spans="1:18" x14ac:dyDescent="0.25">
      <c r="A1894" s="7" t="s">
        <v>5846</v>
      </c>
      <c r="B1894" s="8" t="s">
        <v>33</v>
      </c>
      <c r="C1894" s="10">
        <f t="shared" si="89"/>
        <v>34132</v>
      </c>
      <c r="D1894" t="s">
        <v>11</v>
      </c>
      <c r="E1894" t="s">
        <v>12</v>
      </c>
      <c r="F1894" t="s">
        <v>11</v>
      </c>
      <c r="G1894" t="s">
        <v>12</v>
      </c>
      <c r="H1894" t="s">
        <v>11</v>
      </c>
      <c r="I1894" t="s">
        <v>12</v>
      </c>
      <c r="J1894" t="s">
        <v>11</v>
      </c>
      <c r="K1894" t="s">
        <v>12</v>
      </c>
      <c r="L1894" s="12" t="s">
        <v>53</v>
      </c>
      <c r="M1894" s="12" t="s">
        <v>62</v>
      </c>
      <c r="N1894" s="12" t="s">
        <v>36</v>
      </c>
      <c r="O1894" s="12" t="s">
        <v>233</v>
      </c>
      <c r="P1894" s="12" t="s">
        <v>151</v>
      </c>
      <c r="Q1894" s="7" t="str">
        <f t="shared" si="88"/>
        <v>(1993,24,'1993.06.12',7,10,38,66,79,0),</v>
      </c>
      <c r="R1894" s="7" t="str">
        <f t="shared" si="90"/>
        <v>(1993,24,'1993.06.12',7,10,38,66,79),</v>
      </c>
    </row>
    <row r="1895" spans="1:18" x14ac:dyDescent="0.25">
      <c r="A1895" s="7" t="s">
        <v>5846</v>
      </c>
      <c r="B1895" s="8" t="s">
        <v>152</v>
      </c>
      <c r="C1895" s="10">
        <f t="shared" si="89"/>
        <v>34139</v>
      </c>
      <c r="D1895" t="s">
        <v>11</v>
      </c>
      <c r="E1895" t="s">
        <v>12</v>
      </c>
      <c r="F1895" t="s">
        <v>11</v>
      </c>
      <c r="G1895" t="s">
        <v>12</v>
      </c>
      <c r="H1895" t="s">
        <v>11</v>
      </c>
      <c r="I1895" t="s">
        <v>12</v>
      </c>
      <c r="J1895" t="s">
        <v>11</v>
      </c>
      <c r="K1895" t="s">
        <v>12</v>
      </c>
      <c r="L1895" s="12" t="s">
        <v>43</v>
      </c>
      <c r="M1895" s="12" t="s">
        <v>10</v>
      </c>
      <c r="N1895" s="12" t="s">
        <v>143</v>
      </c>
      <c r="O1895" s="12" t="s">
        <v>308</v>
      </c>
      <c r="P1895" s="12" t="s">
        <v>208</v>
      </c>
      <c r="Q1895" s="7" t="str">
        <f t="shared" si="88"/>
        <v>(1993,25,'1993.06.19',16,40,77,86,88,0),</v>
      </c>
      <c r="R1895" s="7" t="str">
        <f t="shared" si="90"/>
        <v>(1993,25,'1993.06.19',16,40,77,86,88),</v>
      </c>
    </row>
    <row r="1896" spans="1:18" x14ac:dyDescent="0.25">
      <c r="A1896" s="7" t="s">
        <v>5846</v>
      </c>
      <c r="B1896" s="8" t="s">
        <v>74</v>
      </c>
      <c r="C1896" s="10">
        <f t="shared" si="89"/>
        <v>34146</v>
      </c>
      <c r="D1896" t="s">
        <v>11</v>
      </c>
      <c r="E1896" t="s">
        <v>12</v>
      </c>
      <c r="F1896" t="s">
        <v>11</v>
      </c>
      <c r="G1896" t="s">
        <v>12</v>
      </c>
      <c r="H1896" t="s">
        <v>11</v>
      </c>
      <c r="I1896" t="s">
        <v>12</v>
      </c>
      <c r="J1896" t="s">
        <v>11</v>
      </c>
      <c r="K1896" t="s">
        <v>12</v>
      </c>
      <c r="L1896" s="12" t="s">
        <v>198</v>
      </c>
      <c r="M1896" s="12" t="s">
        <v>25</v>
      </c>
      <c r="N1896" s="12" t="s">
        <v>46</v>
      </c>
      <c r="O1896" s="12" t="s">
        <v>215</v>
      </c>
      <c r="P1896" s="12" t="s">
        <v>246</v>
      </c>
      <c r="Q1896" s="7" t="str">
        <f t="shared" si="88"/>
        <v>(1993,26,'1993.06.26',9,34,37,81,84,0),</v>
      </c>
      <c r="R1896" s="7" t="str">
        <f t="shared" si="90"/>
        <v>(1993,26,'1993.06.26',9,34,37,81,84),</v>
      </c>
    </row>
    <row r="1897" spans="1:18" x14ac:dyDescent="0.25">
      <c r="A1897" s="7" t="s">
        <v>5846</v>
      </c>
      <c r="B1897" s="8" t="s">
        <v>135</v>
      </c>
      <c r="C1897" s="10">
        <f t="shared" si="89"/>
        <v>34153</v>
      </c>
      <c r="D1897" t="s">
        <v>11</v>
      </c>
      <c r="E1897" t="s">
        <v>12</v>
      </c>
      <c r="F1897" t="s">
        <v>11</v>
      </c>
      <c r="G1897" t="s">
        <v>12</v>
      </c>
      <c r="H1897" t="s">
        <v>11</v>
      </c>
      <c r="I1897" t="s">
        <v>12</v>
      </c>
      <c r="J1897" t="s">
        <v>11</v>
      </c>
      <c r="K1897" t="s">
        <v>12</v>
      </c>
      <c r="L1897" s="12" t="s">
        <v>127</v>
      </c>
      <c r="M1897" s="12" t="s">
        <v>152</v>
      </c>
      <c r="N1897" s="12" t="s">
        <v>126</v>
      </c>
      <c r="O1897" s="12" t="s">
        <v>45</v>
      </c>
      <c r="P1897" s="12" t="s">
        <v>99</v>
      </c>
      <c r="Q1897" s="7" t="str">
        <f t="shared" si="88"/>
        <v>(1993,27,'1993.07.03',14,25,28,43,52,0),</v>
      </c>
      <c r="R1897" s="7" t="str">
        <f t="shared" si="90"/>
        <v>(1993,27,'1993.07.03',14,25,28,43,52),</v>
      </c>
    </row>
    <row r="1898" spans="1:18" x14ac:dyDescent="0.25">
      <c r="A1898" s="7" t="s">
        <v>5846</v>
      </c>
      <c r="B1898" s="8" t="s">
        <v>126</v>
      </c>
      <c r="C1898" s="10">
        <f t="shared" si="89"/>
        <v>34160</v>
      </c>
      <c r="D1898" t="s">
        <v>11</v>
      </c>
      <c r="E1898" t="s">
        <v>12</v>
      </c>
      <c r="F1898" t="s">
        <v>11</v>
      </c>
      <c r="G1898" t="s">
        <v>12</v>
      </c>
      <c r="H1898" t="s">
        <v>11</v>
      </c>
      <c r="I1898" t="s">
        <v>12</v>
      </c>
      <c r="J1898" t="s">
        <v>11</v>
      </c>
      <c r="K1898" t="s">
        <v>12</v>
      </c>
      <c r="L1898" s="12" t="s">
        <v>168</v>
      </c>
      <c r="M1898" s="12" t="s">
        <v>54</v>
      </c>
      <c r="N1898" s="12" t="s">
        <v>19</v>
      </c>
      <c r="O1898" s="12" t="s">
        <v>91</v>
      </c>
      <c r="P1898" s="12" t="s">
        <v>35</v>
      </c>
      <c r="Q1898" s="7" t="str">
        <f t="shared" si="88"/>
        <v>(1993,28,'1993.07.10',4,15,18,61,65,0),</v>
      </c>
      <c r="R1898" s="7" t="str">
        <f t="shared" si="90"/>
        <v>(1993,28,'1993.07.10',4,15,18,61,65),</v>
      </c>
    </row>
    <row r="1899" spans="1:18" x14ac:dyDescent="0.25">
      <c r="A1899" s="7" t="s">
        <v>5846</v>
      </c>
      <c r="B1899" s="8" t="s">
        <v>116</v>
      </c>
      <c r="C1899" s="10">
        <f t="shared" si="89"/>
        <v>34167</v>
      </c>
      <c r="D1899" t="s">
        <v>11</v>
      </c>
      <c r="E1899" t="s">
        <v>12</v>
      </c>
      <c r="F1899" t="s">
        <v>11</v>
      </c>
      <c r="G1899" t="s">
        <v>12</v>
      </c>
      <c r="H1899" t="s">
        <v>11</v>
      </c>
      <c r="I1899" t="s">
        <v>12</v>
      </c>
      <c r="J1899" t="s">
        <v>11</v>
      </c>
      <c r="K1899" t="s">
        <v>12</v>
      </c>
      <c r="L1899" s="12" t="s">
        <v>115</v>
      </c>
      <c r="M1899" s="12" t="s">
        <v>46</v>
      </c>
      <c r="N1899" s="12" t="s">
        <v>24</v>
      </c>
      <c r="O1899" s="12" t="s">
        <v>124</v>
      </c>
      <c r="P1899" s="12" t="s">
        <v>106</v>
      </c>
      <c r="Q1899" s="7" t="str">
        <f t="shared" si="88"/>
        <v>(1993,29,'1993.07.17',20,37,39,62,75,0),</v>
      </c>
      <c r="R1899" s="7" t="str">
        <f t="shared" si="90"/>
        <v>(1993,29,'1993.07.17',20,37,39,62,75),</v>
      </c>
    </row>
    <row r="1900" spans="1:18" x14ac:dyDescent="0.25">
      <c r="A1900" s="7" t="s">
        <v>5846</v>
      </c>
      <c r="B1900" s="8" t="s">
        <v>107</v>
      </c>
      <c r="C1900" s="10">
        <f t="shared" si="89"/>
        <v>34174</v>
      </c>
      <c r="D1900" t="s">
        <v>11</v>
      </c>
      <c r="E1900" t="s">
        <v>12</v>
      </c>
      <c r="F1900" t="s">
        <v>11</v>
      </c>
      <c r="G1900" t="s">
        <v>12</v>
      </c>
      <c r="H1900" t="s">
        <v>11</v>
      </c>
      <c r="I1900" t="s">
        <v>12</v>
      </c>
      <c r="J1900" t="s">
        <v>11</v>
      </c>
      <c r="K1900" t="s">
        <v>12</v>
      </c>
      <c r="L1900" s="12" t="s">
        <v>168</v>
      </c>
      <c r="M1900" s="12" t="s">
        <v>53</v>
      </c>
      <c r="N1900" s="12" t="s">
        <v>107</v>
      </c>
      <c r="O1900" s="12" t="s">
        <v>169</v>
      </c>
      <c r="P1900" s="12" t="s">
        <v>143</v>
      </c>
      <c r="Q1900" s="7" t="str">
        <f t="shared" si="88"/>
        <v>(1993,30,'1993.07.24',4,7,30,58,77,0),</v>
      </c>
      <c r="R1900" s="7" t="str">
        <f t="shared" si="90"/>
        <v>(1993,30,'1993.07.24',4,7,30,58,77),</v>
      </c>
    </row>
    <row r="1901" spans="1:18" x14ac:dyDescent="0.25">
      <c r="A1901" s="7" t="s">
        <v>5846</v>
      </c>
      <c r="B1901" s="8" t="s">
        <v>71</v>
      </c>
      <c r="C1901" s="10">
        <f t="shared" si="89"/>
        <v>34181</v>
      </c>
      <c r="D1901" t="s">
        <v>11</v>
      </c>
      <c r="E1901" t="s">
        <v>12</v>
      </c>
      <c r="F1901" t="s">
        <v>11</v>
      </c>
      <c r="G1901" t="s">
        <v>12</v>
      </c>
      <c r="H1901" t="s">
        <v>11</v>
      </c>
      <c r="I1901" t="s">
        <v>12</v>
      </c>
      <c r="J1901" t="s">
        <v>11</v>
      </c>
      <c r="K1901" t="s">
        <v>12</v>
      </c>
      <c r="L1901" s="12" t="s">
        <v>20</v>
      </c>
      <c r="M1901" s="12" t="s">
        <v>81</v>
      </c>
      <c r="N1901" s="12" t="s">
        <v>214</v>
      </c>
      <c r="O1901" s="12" t="s">
        <v>56</v>
      </c>
      <c r="P1901" s="12" t="s">
        <v>125</v>
      </c>
      <c r="Q1901" s="7" t="str">
        <f t="shared" si="88"/>
        <v>(1993,31,'1993.07.31',33,47,64,71,83,0),</v>
      </c>
      <c r="R1901" s="7" t="str">
        <f t="shared" si="90"/>
        <v>(1993,31,'1993.07.31',33,47,64,71,83),</v>
      </c>
    </row>
    <row r="1902" spans="1:18" x14ac:dyDescent="0.25">
      <c r="A1902" s="7" t="s">
        <v>5846</v>
      </c>
      <c r="B1902" s="8" t="s">
        <v>80</v>
      </c>
      <c r="C1902" s="10">
        <f t="shared" si="89"/>
        <v>34188</v>
      </c>
      <c r="D1902" t="s">
        <v>11</v>
      </c>
      <c r="E1902" t="s">
        <v>12</v>
      </c>
      <c r="F1902" t="s">
        <v>11</v>
      </c>
      <c r="G1902" t="s">
        <v>12</v>
      </c>
      <c r="H1902" t="s">
        <v>11</v>
      </c>
      <c r="I1902" t="s">
        <v>12</v>
      </c>
      <c r="J1902" t="s">
        <v>11</v>
      </c>
      <c r="K1902" t="s">
        <v>12</v>
      </c>
      <c r="L1902" s="12" t="s">
        <v>108</v>
      </c>
      <c r="M1902" s="12" t="s">
        <v>192</v>
      </c>
      <c r="N1902" s="12" t="s">
        <v>82</v>
      </c>
      <c r="O1902" s="12" t="s">
        <v>47</v>
      </c>
      <c r="P1902" s="12" t="s">
        <v>622</v>
      </c>
      <c r="Q1902" s="7" t="str">
        <f t="shared" si="88"/>
        <v>(1993,32,'1993.08.07',1,46,59,69,82,0),</v>
      </c>
      <c r="R1902" s="7" t="str">
        <f t="shared" si="90"/>
        <v>(1993,32,'1993.08.07',1,46,59,69,82),</v>
      </c>
    </row>
    <row r="1903" spans="1:18" x14ac:dyDescent="0.25">
      <c r="A1903" s="7" t="s">
        <v>5846</v>
      </c>
      <c r="B1903" s="8" t="s">
        <v>20</v>
      </c>
      <c r="C1903" s="10">
        <f t="shared" si="89"/>
        <v>34195</v>
      </c>
      <c r="D1903" t="s">
        <v>11</v>
      </c>
      <c r="E1903" t="s">
        <v>12</v>
      </c>
      <c r="F1903" t="s">
        <v>11</v>
      </c>
      <c r="G1903" t="s">
        <v>12</v>
      </c>
      <c r="H1903" t="s">
        <v>11</v>
      </c>
      <c r="I1903" t="s">
        <v>12</v>
      </c>
      <c r="J1903" t="s">
        <v>11</v>
      </c>
      <c r="K1903" t="s">
        <v>12</v>
      </c>
      <c r="L1903" s="12" t="s">
        <v>80</v>
      </c>
      <c r="M1903" s="12" t="s">
        <v>34</v>
      </c>
      <c r="N1903" s="12" t="s">
        <v>199</v>
      </c>
      <c r="O1903" s="12" t="s">
        <v>63</v>
      </c>
      <c r="P1903" s="12" t="s">
        <v>308</v>
      </c>
      <c r="Q1903" s="7" t="str">
        <f t="shared" si="88"/>
        <v>(1993,33,'1993.08.14',32,49,53,78,86,0),</v>
      </c>
      <c r="R1903" s="7" t="str">
        <f t="shared" si="90"/>
        <v>(1993,33,'1993.08.14',32,49,53,78,86),</v>
      </c>
    </row>
    <row r="1904" spans="1:18" x14ac:dyDescent="0.25">
      <c r="A1904" s="7" t="s">
        <v>5846</v>
      </c>
      <c r="B1904" s="8" t="s">
        <v>25</v>
      </c>
      <c r="C1904" s="10">
        <f t="shared" si="89"/>
        <v>34202</v>
      </c>
      <c r="D1904" t="s">
        <v>11</v>
      </c>
      <c r="E1904" t="s">
        <v>12</v>
      </c>
      <c r="F1904" t="s">
        <v>11</v>
      </c>
      <c r="G1904" t="s">
        <v>12</v>
      </c>
      <c r="H1904" t="s">
        <v>11</v>
      </c>
      <c r="I1904" t="s">
        <v>12</v>
      </c>
      <c r="J1904" t="s">
        <v>11</v>
      </c>
      <c r="K1904" t="s">
        <v>12</v>
      </c>
      <c r="L1904" s="12" t="s">
        <v>53</v>
      </c>
      <c r="M1904" s="12" t="s">
        <v>80</v>
      </c>
      <c r="N1904" s="12" t="s">
        <v>123</v>
      </c>
      <c r="O1904" s="12" t="s">
        <v>23</v>
      </c>
      <c r="P1904" s="12" t="s">
        <v>63</v>
      </c>
      <c r="Q1904" s="7" t="str">
        <f t="shared" si="88"/>
        <v>(1993,34,'1993.08.21',7,32,54,60,78,0),</v>
      </c>
      <c r="R1904" s="7" t="str">
        <f t="shared" si="90"/>
        <v>(1993,34,'1993.08.21',7,32,54,60,78),</v>
      </c>
    </row>
    <row r="1905" spans="1:18" x14ac:dyDescent="0.25">
      <c r="A1905" s="7" t="s">
        <v>5846</v>
      </c>
      <c r="B1905" s="8" t="s">
        <v>64</v>
      </c>
      <c r="C1905" s="10">
        <f t="shared" si="89"/>
        <v>34209</v>
      </c>
      <c r="D1905" t="s">
        <v>11</v>
      </c>
      <c r="E1905" t="s">
        <v>12</v>
      </c>
      <c r="F1905" t="s">
        <v>11</v>
      </c>
      <c r="G1905" t="s">
        <v>12</v>
      </c>
      <c r="H1905" t="s">
        <v>11</v>
      </c>
      <c r="I1905" t="s">
        <v>12</v>
      </c>
      <c r="J1905" t="s">
        <v>11</v>
      </c>
      <c r="K1905" t="s">
        <v>12</v>
      </c>
      <c r="L1905" s="12" t="s">
        <v>270</v>
      </c>
      <c r="M1905" s="12" t="s">
        <v>32</v>
      </c>
      <c r="N1905" s="12" t="s">
        <v>35</v>
      </c>
      <c r="O1905" s="12" t="s">
        <v>63</v>
      </c>
      <c r="P1905" s="12" t="s">
        <v>151</v>
      </c>
      <c r="Q1905" s="7" t="str">
        <f t="shared" si="88"/>
        <v>(1993,35,'1993.08.28',6,22,65,78,79,0),</v>
      </c>
      <c r="R1905" s="7" t="str">
        <f t="shared" si="90"/>
        <v>(1993,35,'1993.08.28',6,22,65,78,79),</v>
      </c>
    </row>
    <row r="1906" spans="1:18" x14ac:dyDescent="0.25">
      <c r="A1906" s="7" t="s">
        <v>5846</v>
      </c>
      <c r="B1906" s="8" t="s">
        <v>21</v>
      </c>
      <c r="C1906" s="10">
        <f t="shared" si="89"/>
        <v>34216</v>
      </c>
      <c r="D1906" t="s">
        <v>11</v>
      </c>
      <c r="E1906" t="s">
        <v>12</v>
      </c>
      <c r="F1906" t="s">
        <v>11</v>
      </c>
      <c r="G1906" t="s">
        <v>12</v>
      </c>
      <c r="H1906" t="s">
        <v>11</v>
      </c>
      <c r="I1906" t="s">
        <v>12</v>
      </c>
      <c r="J1906" t="s">
        <v>11</v>
      </c>
      <c r="K1906" t="s">
        <v>12</v>
      </c>
      <c r="L1906" s="12" t="s">
        <v>108</v>
      </c>
      <c r="M1906" s="12" t="s">
        <v>168</v>
      </c>
      <c r="N1906" s="12" t="s">
        <v>24</v>
      </c>
      <c r="O1906" s="12" t="s">
        <v>123</v>
      </c>
      <c r="P1906" s="12" t="s">
        <v>151</v>
      </c>
      <c r="Q1906" s="7" t="str">
        <f t="shared" si="88"/>
        <v>(1993,36,'1993.09.04',1,4,39,54,79,0),</v>
      </c>
      <c r="R1906" s="7" t="str">
        <f t="shared" si="90"/>
        <v>(1993,36,'1993.09.04',1,4,39,54,79),</v>
      </c>
    </row>
    <row r="1907" spans="1:18" x14ac:dyDescent="0.25">
      <c r="A1907" s="7" t="s">
        <v>5846</v>
      </c>
      <c r="B1907" s="8" t="s">
        <v>46</v>
      </c>
      <c r="C1907" s="10">
        <f t="shared" si="89"/>
        <v>34223</v>
      </c>
      <c r="D1907" t="s">
        <v>11</v>
      </c>
      <c r="E1907" t="s">
        <v>12</v>
      </c>
      <c r="F1907" t="s">
        <v>11</v>
      </c>
      <c r="G1907" t="s">
        <v>12</v>
      </c>
      <c r="H1907" t="s">
        <v>11</v>
      </c>
      <c r="I1907" t="s">
        <v>12</v>
      </c>
      <c r="J1907" t="s">
        <v>11</v>
      </c>
      <c r="K1907" t="s">
        <v>12</v>
      </c>
      <c r="L1907" s="12" t="s">
        <v>71</v>
      </c>
      <c r="M1907" s="12" t="s">
        <v>142</v>
      </c>
      <c r="N1907" s="12" t="s">
        <v>99</v>
      </c>
      <c r="O1907" s="12" t="s">
        <v>123</v>
      </c>
      <c r="P1907" s="12" t="s">
        <v>239</v>
      </c>
      <c r="Q1907" s="7" t="str">
        <f t="shared" si="88"/>
        <v>(1993,37,'1993.09.11',31,44,52,54,73,0),</v>
      </c>
      <c r="R1907" s="7" t="str">
        <f t="shared" si="90"/>
        <v>(1993,37,'1993.09.11',31,44,52,54,73),</v>
      </c>
    </row>
    <row r="1908" spans="1:18" x14ac:dyDescent="0.25">
      <c r="A1908" s="7" t="s">
        <v>5846</v>
      </c>
      <c r="B1908" s="8" t="s">
        <v>36</v>
      </c>
      <c r="C1908" s="10">
        <f t="shared" si="89"/>
        <v>34230</v>
      </c>
      <c r="D1908" t="s">
        <v>11</v>
      </c>
      <c r="E1908" t="s">
        <v>12</v>
      </c>
      <c r="F1908" t="s">
        <v>11</v>
      </c>
      <c r="G1908" t="s">
        <v>12</v>
      </c>
      <c r="H1908" t="s">
        <v>11</v>
      </c>
      <c r="I1908" t="s">
        <v>12</v>
      </c>
      <c r="J1908" t="s">
        <v>11</v>
      </c>
      <c r="K1908" t="s">
        <v>12</v>
      </c>
      <c r="L1908" s="12" t="s">
        <v>55</v>
      </c>
      <c r="M1908" s="12" t="s">
        <v>163</v>
      </c>
      <c r="N1908" s="12" t="s">
        <v>36</v>
      </c>
      <c r="O1908" s="12" t="s">
        <v>192</v>
      </c>
      <c r="P1908" s="12" t="s">
        <v>35</v>
      </c>
      <c r="Q1908" s="7" t="str">
        <f t="shared" si="88"/>
        <v>(1993,38,'1993.09.18',19,23,38,46,65,0),</v>
      </c>
      <c r="R1908" s="7" t="str">
        <f t="shared" si="90"/>
        <v>(1993,38,'1993.09.18',19,23,38,46,65),</v>
      </c>
    </row>
    <row r="1909" spans="1:18" x14ac:dyDescent="0.25">
      <c r="A1909" s="7" t="s">
        <v>5846</v>
      </c>
      <c r="B1909" s="8" t="s">
        <v>24</v>
      </c>
      <c r="C1909" s="10">
        <f t="shared" si="89"/>
        <v>34237</v>
      </c>
      <c r="D1909" t="s">
        <v>11</v>
      </c>
      <c r="E1909" t="s">
        <v>12</v>
      </c>
      <c r="F1909" t="s">
        <v>11</v>
      </c>
      <c r="G1909" t="s">
        <v>12</v>
      </c>
      <c r="H1909" t="s">
        <v>11</v>
      </c>
      <c r="I1909" t="s">
        <v>12</v>
      </c>
      <c r="J1909" t="s">
        <v>11</v>
      </c>
      <c r="K1909" t="s">
        <v>12</v>
      </c>
      <c r="L1909" s="12" t="s">
        <v>207</v>
      </c>
      <c r="M1909" s="12" t="s">
        <v>135</v>
      </c>
      <c r="N1909" s="12" t="s">
        <v>64</v>
      </c>
      <c r="O1909" s="12" t="s">
        <v>24</v>
      </c>
      <c r="P1909" s="12" t="s">
        <v>82</v>
      </c>
      <c r="Q1909" s="7" t="str">
        <f t="shared" si="88"/>
        <v>(1993,39,'1993.09.25',2,27,35,39,59,0),</v>
      </c>
      <c r="R1909" s="7" t="str">
        <f t="shared" si="90"/>
        <v>(1993,39,'1993.09.25',2,27,35,39,59),</v>
      </c>
    </row>
    <row r="1910" spans="1:18" x14ac:dyDescent="0.25">
      <c r="A1910" s="7" t="s">
        <v>5846</v>
      </c>
      <c r="B1910" s="8" t="s">
        <v>10</v>
      </c>
      <c r="C1910" s="10">
        <f t="shared" si="89"/>
        <v>34244</v>
      </c>
      <c r="D1910" t="s">
        <v>11</v>
      </c>
      <c r="E1910" t="s">
        <v>12</v>
      </c>
      <c r="F1910" t="s">
        <v>11</v>
      </c>
      <c r="G1910" t="s">
        <v>12</v>
      </c>
      <c r="H1910" t="s">
        <v>11</v>
      </c>
      <c r="I1910" t="s">
        <v>12</v>
      </c>
      <c r="J1910" t="s">
        <v>11</v>
      </c>
      <c r="K1910" t="s">
        <v>12</v>
      </c>
      <c r="L1910" s="12" t="s">
        <v>54</v>
      </c>
      <c r="M1910" s="12" t="s">
        <v>25</v>
      </c>
      <c r="N1910" s="12" t="s">
        <v>105</v>
      </c>
      <c r="O1910" s="12" t="s">
        <v>63</v>
      </c>
      <c r="P1910" s="12" t="s">
        <v>246</v>
      </c>
      <c r="Q1910" s="7" t="str">
        <f t="shared" si="88"/>
        <v>(1993,40,'1993.10.02',15,34,50,78,84,0),</v>
      </c>
      <c r="R1910" s="7" t="str">
        <f t="shared" si="90"/>
        <v>(1993,40,'1993.10.02',15,34,50,78,84),</v>
      </c>
    </row>
    <row r="1911" spans="1:18" x14ac:dyDescent="0.25">
      <c r="A1911" s="7" t="s">
        <v>5846</v>
      </c>
      <c r="B1911" s="8" t="s">
        <v>13</v>
      </c>
      <c r="C1911" s="10">
        <f t="shared" si="89"/>
        <v>34251</v>
      </c>
      <c r="D1911" t="s">
        <v>11</v>
      </c>
      <c r="E1911" t="s">
        <v>12</v>
      </c>
      <c r="F1911" t="s">
        <v>11</v>
      </c>
      <c r="G1911" t="s">
        <v>12</v>
      </c>
      <c r="H1911" t="s">
        <v>11</v>
      </c>
      <c r="I1911" t="s">
        <v>12</v>
      </c>
      <c r="J1911" t="s">
        <v>11</v>
      </c>
      <c r="K1911" t="s">
        <v>12</v>
      </c>
      <c r="L1911" s="12" t="s">
        <v>80</v>
      </c>
      <c r="M1911" s="12" t="s">
        <v>21</v>
      </c>
      <c r="N1911" s="12" t="s">
        <v>98</v>
      </c>
      <c r="O1911" s="12" t="s">
        <v>122</v>
      </c>
      <c r="P1911" s="12" t="s">
        <v>214</v>
      </c>
      <c r="Q1911" s="7" t="str">
        <f t="shared" si="88"/>
        <v>(1993,41,'1993.10.09',32,36,42,51,64,0),</v>
      </c>
      <c r="R1911" s="7" t="str">
        <f t="shared" si="90"/>
        <v>(1993,41,'1993.10.09',32,36,42,51,64),</v>
      </c>
    </row>
    <row r="1912" spans="1:18" x14ac:dyDescent="0.25">
      <c r="A1912" s="7" t="s">
        <v>5846</v>
      </c>
      <c r="B1912" s="8" t="s">
        <v>98</v>
      </c>
      <c r="C1912" s="10">
        <f t="shared" si="89"/>
        <v>34258</v>
      </c>
      <c r="D1912" t="s">
        <v>11</v>
      </c>
      <c r="E1912" t="s">
        <v>12</v>
      </c>
      <c r="F1912" t="s">
        <v>11</v>
      </c>
      <c r="G1912" t="s">
        <v>12</v>
      </c>
      <c r="H1912" t="s">
        <v>11</v>
      </c>
      <c r="I1912" t="s">
        <v>12</v>
      </c>
      <c r="J1912" t="s">
        <v>11</v>
      </c>
      <c r="K1912" t="s">
        <v>12</v>
      </c>
      <c r="L1912" s="12" t="s">
        <v>53</v>
      </c>
      <c r="M1912" s="12" t="s">
        <v>245</v>
      </c>
      <c r="N1912" s="12" t="s">
        <v>151</v>
      </c>
      <c r="O1912" s="12" t="s">
        <v>269</v>
      </c>
      <c r="P1912" s="12" t="s">
        <v>186</v>
      </c>
      <c r="Q1912" s="7" t="str">
        <f t="shared" si="88"/>
        <v>(1993,42,'1993.10.16',7,74,79,87,90,0),</v>
      </c>
      <c r="R1912" s="7" t="str">
        <f t="shared" si="90"/>
        <v>(1993,42,'1993.10.16',7,74,79,87,90),</v>
      </c>
    </row>
    <row r="1913" spans="1:18" x14ac:dyDescent="0.25">
      <c r="A1913" s="7" t="s">
        <v>5846</v>
      </c>
      <c r="B1913" s="8" t="s">
        <v>45</v>
      </c>
      <c r="C1913" s="10">
        <f t="shared" si="89"/>
        <v>34265</v>
      </c>
      <c r="D1913" t="s">
        <v>11</v>
      </c>
      <c r="E1913" t="s">
        <v>12</v>
      </c>
      <c r="F1913" t="s">
        <v>11</v>
      </c>
      <c r="G1913" t="s">
        <v>12</v>
      </c>
      <c r="H1913" t="s">
        <v>11</v>
      </c>
      <c r="I1913" t="s">
        <v>12</v>
      </c>
      <c r="J1913" t="s">
        <v>11</v>
      </c>
      <c r="K1913" t="s">
        <v>12</v>
      </c>
      <c r="L1913" s="12" t="s">
        <v>115</v>
      </c>
      <c r="M1913" s="12" t="s">
        <v>44</v>
      </c>
      <c r="N1913" s="12" t="s">
        <v>135</v>
      </c>
      <c r="O1913" s="12" t="s">
        <v>82</v>
      </c>
      <c r="P1913" s="12" t="s">
        <v>72</v>
      </c>
      <c r="Q1913" s="7" t="str">
        <f t="shared" si="88"/>
        <v>(1993,43,'1993.10.23',20,21,27,59,67,0),</v>
      </c>
      <c r="R1913" s="7" t="str">
        <f t="shared" si="90"/>
        <v>(1993,43,'1993.10.23',20,21,27,59,67),</v>
      </c>
    </row>
    <row r="1914" spans="1:18" x14ac:dyDescent="0.25">
      <c r="A1914" s="7" t="s">
        <v>5846</v>
      </c>
      <c r="B1914" s="8" t="s">
        <v>142</v>
      </c>
      <c r="C1914" s="10">
        <f t="shared" si="89"/>
        <v>34272</v>
      </c>
      <c r="D1914" t="s">
        <v>11</v>
      </c>
      <c r="E1914" t="s">
        <v>12</v>
      </c>
      <c r="F1914" t="s">
        <v>11</v>
      </c>
      <c r="G1914" t="s">
        <v>12</v>
      </c>
      <c r="H1914" t="s">
        <v>11</v>
      </c>
      <c r="I1914" t="s">
        <v>12</v>
      </c>
      <c r="J1914" t="s">
        <v>11</v>
      </c>
      <c r="K1914" t="s">
        <v>12</v>
      </c>
      <c r="L1914" s="12" t="s">
        <v>198</v>
      </c>
      <c r="M1914" s="12" t="s">
        <v>90</v>
      </c>
      <c r="N1914" s="12" t="s">
        <v>20</v>
      </c>
      <c r="O1914" s="12" t="s">
        <v>23</v>
      </c>
      <c r="P1914" s="12" t="s">
        <v>92</v>
      </c>
      <c r="Q1914" s="7" t="str">
        <f t="shared" si="88"/>
        <v>(1993,44,'1993.10.30',9,17,33,60,68,0),</v>
      </c>
      <c r="R1914" s="7" t="str">
        <f t="shared" si="90"/>
        <v>(1993,44,'1993.10.30',9,17,33,60,68),</v>
      </c>
    </row>
    <row r="1915" spans="1:18" x14ac:dyDescent="0.25">
      <c r="A1915" s="7" t="s">
        <v>5846</v>
      </c>
      <c r="B1915" s="8" t="s">
        <v>133</v>
      </c>
      <c r="C1915" s="10">
        <f t="shared" si="89"/>
        <v>34279</v>
      </c>
      <c r="D1915" t="s">
        <v>11</v>
      </c>
      <c r="E1915" t="s">
        <v>12</v>
      </c>
      <c r="F1915" t="s">
        <v>11</v>
      </c>
      <c r="G1915" t="s">
        <v>12</v>
      </c>
      <c r="H1915" t="s">
        <v>11</v>
      </c>
      <c r="I1915" t="s">
        <v>12</v>
      </c>
      <c r="J1915" t="s">
        <v>11</v>
      </c>
      <c r="K1915" t="s">
        <v>12</v>
      </c>
      <c r="L1915" s="12" t="s">
        <v>54</v>
      </c>
      <c r="M1915" s="12" t="s">
        <v>21</v>
      </c>
      <c r="N1915" s="12" t="s">
        <v>99</v>
      </c>
      <c r="O1915" s="12" t="s">
        <v>134</v>
      </c>
      <c r="P1915" s="12" t="s">
        <v>125</v>
      </c>
      <c r="Q1915" s="7" t="str">
        <f t="shared" si="88"/>
        <v>(1993,45,'1993.11.06',15,36,52,56,83,0),</v>
      </c>
      <c r="R1915" s="7" t="str">
        <f t="shared" si="90"/>
        <v>(1993,45,'1993.11.06',15,36,52,56,83),</v>
      </c>
    </row>
    <row r="1916" spans="1:18" x14ac:dyDescent="0.25">
      <c r="A1916" s="7" t="s">
        <v>5846</v>
      </c>
      <c r="B1916" s="8" t="s">
        <v>192</v>
      </c>
      <c r="C1916" s="10">
        <f t="shared" si="89"/>
        <v>34286</v>
      </c>
      <c r="D1916" t="s">
        <v>11</v>
      </c>
      <c r="E1916" t="s">
        <v>12</v>
      </c>
      <c r="F1916" t="s">
        <v>11</v>
      </c>
      <c r="G1916" t="s">
        <v>12</v>
      </c>
      <c r="H1916" t="s">
        <v>11</v>
      </c>
      <c r="I1916" t="s">
        <v>12</v>
      </c>
      <c r="J1916" t="s">
        <v>11</v>
      </c>
      <c r="K1916" t="s">
        <v>12</v>
      </c>
      <c r="L1916" s="12" t="s">
        <v>42</v>
      </c>
      <c r="M1916" s="12" t="s">
        <v>13</v>
      </c>
      <c r="N1916" s="12" t="s">
        <v>34</v>
      </c>
      <c r="O1916" s="12" t="s">
        <v>91</v>
      </c>
      <c r="P1916" s="12" t="s">
        <v>73</v>
      </c>
      <c r="Q1916" s="7" t="str">
        <f t="shared" si="88"/>
        <v>(1993,46,'1993.11.13',3,41,49,61,76,0),</v>
      </c>
      <c r="R1916" s="7" t="str">
        <f t="shared" si="90"/>
        <v>(1993,46,'1993.11.13',3,41,49,61,76),</v>
      </c>
    </row>
    <row r="1917" spans="1:18" x14ac:dyDescent="0.25">
      <c r="A1917" s="7" t="s">
        <v>5846</v>
      </c>
      <c r="B1917" s="8" t="s">
        <v>81</v>
      </c>
      <c r="C1917" s="10">
        <f t="shared" si="89"/>
        <v>34293</v>
      </c>
      <c r="D1917" t="s">
        <v>11</v>
      </c>
      <c r="E1917" t="s">
        <v>12</v>
      </c>
      <c r="F1917" t="s">
        <v>11</v>
      </c>
      <c r="G1917" t="s">
        <v>12</v>
      </c>
      <c r="H1917" t="s">
        <v>11</v>
      </c>
      <c r="I1917" t="s">
        <v>12</v>
      </c>
      <c r="J1917" t="s">
        <v>11</v>
      </c>
      <c r="K1917" t="s">
        <v>12</v>
      </c>
      <c r="L1917" s="12" t="s">
        <v>108</v>
      </c>
      <c r="M1917" s="12" t="s">
        <v>31</v>
      </c>
      <c r="N1917" s="12" t="s">
        <v>32</v>
      </c>
      <c r="O1917" s="12" t="s">
        <v>22</v>
      </c>
      <c r="P1917" s="12" t="s">
        <v>35</v>
      </c>
      <c r="Q1917" s="7" t="str">
        <f t="shared" si="88"/>
        <v>(1993,47,'1993.11.20',1,12,22,48,65,0),</v>
      </c>
      <c r="R1917" s="7" t="str">
        <f t="shared" si="90"/>
        <v>(1993,47,'1993.11.20',1,12,22,48,65),</v>
      </c>
    </row>
    <row r="1918" spans="1:18" x14ac:dyDescent="0.25">
      <c r="A1918" s="7" t="s">
        <v>5846</v>
      </c>
      <c r="B1918" s="8" t="s">
        <v>22</v>
      </c>
      <c r="C1918" s="10">
        <f t="shared" si="89"/>
        <v>34300</v>
      </c>
      <c r="D1918" t="s">
        <v>11</v>
      </c>
      <c r="E1918" t="s">
        <v>12</v>
      </c>
      <c r="F1918" t="s">
        <v>11</v>
      </c>
      <c r="G1918" t="s">
        <v>12</v>
      </c>
      <c r="H1918" t="s">
        <v>11</v>
      </c>
      <c r="I1918" t="s">
        <v>12</v>
      </c>
      <c r="J1918" t="s">
        <v>11</v>
      </c>
      <c r="K1918" t="s">
        <v>12</v>
      </c>
      <c r="L1918" s="12" t="s">
        <v>270</v>
      </c>
      <c r="M1918" s="12" t="s">
        <v>64</v>
      </c>
      <c r="N1918" s="12" t="s">
        <v>46</v>
      </c>
      <c r="O1918" s="12" t="s">
        <v>124</v>
      </c>
      <c r="P1918" s="12" t="s">
        <v>201</v>
      </c>
      <c r="Q1918" s="7" t="str">
        <f t="shared" si="88"/>
        <v>(1993,48,'1993.11.27',6,35,37,62,72,0),</v>
      </c>
      <c r="R1918" s="7" t="str">
        <f t="shared" si="90"/>
        <v>(1993,48,'1993.11.27',6,35,37,62,72),</v>
      </c>
    </row>
    <row r="1919" spans="1:18" x14ac:dyDescent="0.25">
      <c r="A1919" s="7" t="s">
        <v>5846</v>
      </c>
      <c r="B1919" s="8" t="s">
        <v>34</v>
      </c>
      <c r="C1919" s="10">
        <f t="shared" si="89"/>
        <v>34307</v>
      </c>
      <c r="D1919" t="s">
        <v>11</v>
      </c>
      <c r="E1919" t="s">
        <v>12</v>
      </c>
      <c r="F1919" t="s">
        <v>11</v>
      </c>
      <c r="G1919" t="s">
        <v>12</v>
      </c>
      <c r="H1919" t="s">
        <v>11</v>
      </c>
      <c r="I1919" t="s">
        <v>12</v>
      </c>
      <c r="J1919" t="s">
        <v>11</v>
      </c>
      <c r="K1919" t="s">
        <v>12</v>
      </c>
      <c r="L1919" s="12" t="s">
        <v>198</v>
      </c>
      <c r="M1919" s="12" t="s">
        <v>126</v>
      </c>
      <c r="N1919" s="12" t="s">
        <v>20</v>
      </c>
      <c r="O1919" s="12" t="s">
        <v>98</v>
      </c>
      <c r="P1919" s="12" t="s">
        <v>124</v>
      </c>
      <c r="Q1919" s="7" t="str">
        <f t="shared" si="88"/>
        <v>(1993,49,'1993.12.04',9,28,33,42,62,0),</v>
      </c>
      <c r="R1919" s="7" t="str">
        <f t="shared" si="90"/>
        <v>(1993,49,'1993.12.04',9,28,33,42,62),</v>
      </c>
    </row>
    <row r="1920" spans="1:18" x14ac:dyDescent="0.25">
      <c r="A1920" s="7" t="s">
        <v>5846</v>
      </c>
      <c r="B1920" s="8" t="s">
        <v>105</v>
      </c>
      <c r="C1920" s="10">
        <f t="shared" si="89"/>
        <v>34314</v>
      </c>
      <c r="D1920" t="s">
        <v>11</v>
      </c>
      <c r="E1920" t="s">
        <v>12</v>
      </c>
      <c r="F1920" t="s">
        <v>11</v>
      </c>
      <c r="G1920" t="s">
        <v>12</v>
      </c>
      <c r="H1920" t="s">
        <v>11</v>
      </c>
      <c r="I1920" t="s">
        <v>12</v>
      </c>
      <c r="J1920" t="s">
        <v>11</v>
      </c>
      <c r="K1920" t="s">
        <v>12</v>
      </c>
      <c r="L1920" s="12" t="s">
        <v>108</v>
      </c>
      <c r="M1920" s="12" t="s">
        <v>25</v>
      </c>
      <c r="N1920" s="12" t="s">
        <v>214</v>
      </c>
      <c r="O1920" s="12" t="s">
        <v>239</v>
      </c>
      <c r="P1920" s="12" t="s">
        <v>208</v>
      </c>
      <c r="Q1920" s="7" t="str">
        <f t="shared" si="88"/>
        <v>(1993,50,'1993.12.11',1,34,64,73,88,0),</v>
      </c>
      <c r="R1920" s="7" t="str">
        <f t="shared" si="90"/>
        <v>(1993,50,'1993.12.11',1,34,64,73,88),</v>
      </c>
    </row>
    <row r="1921" spans="1:18" x14ac:dyDescent="0.25">
      <c r="A1921" s="7" t="s">
        <v>5846</v>
      </c>
      <c r="B1921" s="8" t="s">
        <v>122</v>
      </c>
      <c r="C1921" s="10">
        <f t="shared" si="89"/>
        <v>34321</v>
      </c>
      <c r="D1921" t="s">
        <v>11</v>
      </c>
      <c r="E1921" t="s">
        <v>12</v>
      </c>
      <c r="F1921" t="s">
        <v>11</v>
      </c>
      <c r="G1921" t="s">
        <v>12</v>
      </c>
      <c r="H1921" t="s">
        <v>11</v>
      </c>
      <c r="I1921" t="s">
        <v>12</v>
      </c>
      <c r="J1921" t="s">
        <v>11</v>
      </c>
      <c r="K1921" t="s">
        <v>12</v>
      </c>
      <c r="L1921" s="12" t="s">
        <v>74</v>
      </c>
      <c r="M1921" s="12" t="s">
        <v>23</v>
      </c>
      <c r="N1921" s="12" t="s">
        <v>91</v>
      </c>
      <c r="O1921" s="12" t="s">
        <v>72</v>
      </c>
      <c r="P1921" s="12" t="s">
        <v>622</v>
      </c>
      <c r="Q1921" s="7" t="str">
        <f t="shared" si="88"/>
        <v>(1993,51,'1993.12.18',26,60,61,67,82,0),</v>
      </c>
      <c r="R1921" s="7" t="str">
        <f t="shared" si="90"/>
        <v>(1993,51,'1993.12.18',26,60,61,67,82),</v>
      </c>
    </row>
    <row r="1922" spans="1:18" x14ac:dyDescent="0.25">
      <c r="A1922" s="7" t="s">
        <v>5846</v>
      </c>
      <c r="B1922" s="8" t="s">
        <v>99</v>
      </c>
      <c r="C1922" s="10">
        <f t="shared" si="89"/>
        <v>34328</v>
      </c>
      <c r="D1922" t="s">
        <v>11</v>
      </c>
      <c r="E1922" t="s">
        <v>12</v>
      </c>
      <c r="F1922" t="s">
        <v>11</v>
      </c>
      <c r="G1922" t="s">
        <v>12</v>
      </c>
      <c r="H1922" t="s">
        <v>11</v>
      </c>
      <c r="I1922" t="s">
        <v>12</v>
      </c>
      <c r="J1922" t="s">
        <v>11</v>
      </c>
      <c r="K1922" t="s">
        <v>12</v>
      </c>
      <c r="L1922" s="12" t="s">
        <v>152</v>
      </c>
      <c r="M1922" s="12" t="s">
        <v>116</v>
      </c>
      <c r="N1922" s="12" t="s">
        <v>92</v>
      </c>
      <c r="O1922" s="12" t="s">
        <v>56</v>
      </c>
      <c r="P1922" s="12" t="s">
        <v>301</v>
      </c>
      <c r="Q1922" s="7" t="str">
        <f t="shared" ref="Q1922:Q1985" si="91">"("&amp;A1922&amp;","&amp;B1922&amp;",'"&amp;TEXT(C1922,"éééé.hh.nn")&amp;"',"&amp;L1922&amp;","&amp;M1922&amp;","&amp;N1922&amp;","&amp;O1922&amp;","&amp;P1922&amp;",0)"&amp;IF(P1923&lt;&gt;0,",","")</f>
        <v>(1993,52,'1993.12.25',25,29,68,71,80,0),</v>
      </c>
      <c r="R1922" s="7" t="str">
        <f t="shared" si="90"/>
        <v>(1993,52,'1993.12.25',25,29,68,71,80),</v>
      </c>
    </row>
    <row r="1923" spans="1:18" x14ac:dyDescent="0.25">
      <c r="A1923" s="7" t="s">
        <v>5846</v>
      </c>
      <c r="B1923" s="8" t="s">
        <v>199</v>
      </c>
      <c r="C1923" s="10">
        <f t="shared" ref="C1923:C1986" si="92">+C1922+7</f>
        <v>34335</v>
      </c>
      <c r="D1923" t="s">
        <v>11</v>
      </c>
      <c r="E1923" t="s">
        <v>12</v>
      </c>
      <c r="F1923" t="s">
        <v>11</v>
      </c>
      <c r="G1923" t="s">
        <v>12</v>
      </c>
      <c r="H1923" t="s">
        <v>11</v>
      </c>
      <c r="I1923" t="s">
        <v>12</v>
      </c>
      <c r="J1923" t="s">
        <v>11</v>
      </c>
      <c r="K1923" t="s">
        <v>12</v>
      </c>
      <c r="L1923" s="12" t="s">
        <v>62</v>
      </c>
      <c r="M1923" s="12" t="s">
        <v>43</v>
      </c>
      <c r="N1923" s="12" t="s">
        <v>135</v>
      </c>
      <c r="O1923" s="12" t="s">
        <v>45</v>
      </c>
      <c r="P1923" s="12" t="s">
        <v>200</v>
      </c>
      <c r="Q1923" s="7" t="str">
        <f t="shared" si="91"/>
        <v>(1993,53,'1994.01.01',10,16,27,43,70,0),</v>
      </c>
      <c r="R1923" s="7" t="str">
        <f t="shared" ref="R1923:R1986" si="93">IF(TRIM(P1923)="","","("&amp;A1923&amp;","&amp;B1923&amp;",'"&amp;TEXT(C1923,"éééé.hh.nn")&amp;"',"&amp;L1923&amp;","&amp;M1923&amp;","&amp;N1923&amp;","&amp;O1923&amp;","&amp;P1923&amp;")"&amp;IF(P1924=0,";",","))</f>
        <v>(1993,53,'1994.01.01',10,16,27,43,70),</v>
      </c>
    </row>
    <row r="1924" spans="1:18" x14ac:dyDescent="0.25">
      <c r="A1924" s="7" t="s">
        <v>5845</v>
      </c>
      <c r="B1924" s="8" t="s">
        <v>108</v>
      </c>
      <c r="C1924" s="10">
        <f t="shared" si="92"/>
        <v>34342</v>
      </c>
      <c r="D1924" t="s">
        <v>11</v>
      </c>
      <c r="E1924" t="s">
        <v>12</v>
      </c>
      <c r="F1924" t="s">
        <v>11</v>
      </c>
      <c r="G1924" t="s">
        <v>12</v>
      </c>
      <c r="H1924" t="s">
        <v>11</v>
      </c>
      <c r="I1924" t="s">
        <v>12</v>
      </c>
      <c r="J1924" t="s">
        <v>11</v>
      </c>
      <c r="K1924" t="s">
        <v>12</v>
      </c>
      <c r="L1924" s="12" t="s">
        <v>116</v>
      </c>
      <c r="M1924" s="12" t="s">
        <v>142</v>
      </c>
      <c r="N1924" s="12" t="s">
        <v>122</v>
      </c>
      <c r="O1924" s="12" t="s">
        <v>99</v>
      </c>
      <c r="P1924" s="12" t="s">
        <v>379</v>
      </c>
      <c r="Q1924" s="7" t="str">
        <f t="shared" si="91"/>
        <v>(1994,1,'1994.01.08',29,44,51,52,89,0),</v>
      </c>
      <c r="R1924" s="7" t="str">
        <f t="shared" si="93"/>
        <v>(1994,1,'1994.01.08',29,44,51,52,89),</v>
      </c>
    </row>
    <row r="1925" spans="1:18" x14ac:dyDescent="0.25">
      <c r="A1925" s="7" t="s">
        <v>5845</v>
      </c>
      <c r="B1925" s="8" t="s">
        <v>207</v>
      </c>
      <c r="C1925" s="10">
        <f t="shared" si="92"/>
        <v>34349</v>
      </c>
      <c r="D1925" t="s">
        <v>11</v>
      </c>
      <c r="E1925" t="s">
        <v>12</v>
      </c>
      <c r="F1925" t="s">
        <v>11</v>
      </c>
      <c r="G1925" t="s">
        <v>12</v>
      </c>
      <c r="H1925" t="s">
        <v>11</v>
      </c>
      <c r="I1925" t="s">
        <v>12</v>
      </c>
      <c r="J1925" t="s">
        <v>11</v>
      </c>
      <c r="K1925" t="s">
        <v>12</v>
      </c>
      <c r="L1925" s="12" t="s">
        <v>65</v>
      </c>
      <c r="M1925" s="12" t="s">
        <v>98</v>
      </c>
      <c r="N1925" s="12" t="s">
        <v>122</v>
      </c>
      <c r="O1925" s="12" t="s">
        <v>233</v>
      </c>
      <c r="P1925" s="12" t="s">
        <v>246</v>
      </c>
      <c r="Q1925" s="7" t="str">
        <f t="shared" si="91"/>
        <v>(1994,2,'1994.01.15',13,42,51,66,84,0),</v>
      </c>
      <c r="R1925" s="7" t="str">
        <f t="shared" si="93"/>
        <v>(1994,2,'1994.01.15',13,42,51,66,84),</v>
      </c>
    </row>
    <row r="1926" spans="1:18" x14ac:dyDescent="0.25">
      <c r="A1926" s="7" t="s">
        <v>5845</v>
      </c>
      <c r="B1926" s="8" t="s">
        <v>42</v>
      </c>
      <c r="C1926" s="10">
        <f t="shared" si="92"/>
        <v>34356</v>
      </c>
      <c r="D1926" t="s">
        <v>11</v>
      </c>
      <c r="E1926" t="s">
        <v>12</v>
      </c>
      <c r="F1926" t="s">
        <v>11</v>
      </c>
      <c r="G1926" t="s">
        <v>12</v>
      </c>
      <c r="H1926" t="s">
        <v>11</v>
      </c>
      <c r="I1926" t="s">
        <v>12</v>
      </c>
      <c r="J1926" t="s">
        <v>11</v>
      </c>
      <c r="K1926" t="s">
        <v>12</v>
      </c>
      <c r="L1926" s="12" t="s">
        <v>108</v>
      </c>
      <c r="M1926" s="12" t="s">
        <v>89</v>
      </c>
      <c r="N1926" s="12" t="s">
        <v>83</v>
      </c>
      <c r="O1926" s="12" t="s">
        <v>10</v>
      </c>
      <c r="P1926" s="12" t="s">
        <v>124</v>
      </c>
      <c r="Q1926" s="7" t="str">
        <f t="shared" si="91"/>
        <v>(1994,3,'1994.01.22',1,5,11,40,62,0),</v>
      </c>
      <c r="R1926" s="7" t="str">
        <f t="shared" si="93"/>
        <v>(1994,3,'1994.01.22',1,5,11,40,62),</v>
      </c>
    </row>
    <row r="1927" spans="1:18" x14ac:dyDescent="0.25">
      <c r="A1927" s="7" t="s">
        <v>5845</v>
      </c>
      <c r="B1927" s="8" t="s">
        <v>168</v>
      </c>
      <c r="C1927" s="10">
        <f t="shared" si="92"/>
        <v>34363</v>
      </c>
      <c r="D1927" t="s">
        <v>11</v>
      </c>
      <c r="E1927" t="s">
        <v>12</v>
      </c>
      <c r="F1927" t="s">
        <v>11</v>
      </c>
      <c r="G1927" t="s">
        <v>12</v>
      </c>
      <c r="H1927" t="s">
        <v>11</v>
      </c>
      <c r="I1927" t="s">
        <v>12</v>
      </c>
      <c r="J1927" t="s">
        <v>11</v>
      </c>
      <c r="K1927" t="s">
        <v>12</v>
      </c>
      <c r="L1927" s="12" t="s">
        <v>127</v>
      </c>
      <c r="M1927" s="12" t="s">
        <v>36</v>
      </c>
      <c r="N1927" s="12" t="s">
        <v>99</v>
      </c>
      <c r="O1927" s="12" t="s">
        <v>123</v>
      </c>
      <c r="P1927" s="12" t="s">
        <v>308</v>
      </c>
      <c r="Q1927" s="7" t="str">
        <f t="shared" si="91"/>
        <v>(1994,4,'1994.01.29',14,38,52,54,86,0),</v>
      </c>
      <c r="R1927" s="7" t="str">
        <f t="shared" si="93"/>
        <v>(1994,4,'1994.01.29',14,38,52,54,86),</v>
      </c>
    </row>
    <row r="1928" spans="1:18" x14ac:dyDescent="0.25">
      <c r="A1928" s="7" t="s">
        <v>5845</v>
      </c>
      <c r="B1928" s="8" t="s">
        <v>89</v>
      </c>
      <c r="C1928" s="10">
        <f t="shared" si="92"/>
        <v>34370</v>
      </c>
      <c r="D1928" t="s">
        <v>11</v>
      </c>
      <c r="E1928" t="s">
        <v>12</v>
      </c>
      <c r="F1928" t="s">
        <v>11</v>
      </c>
      <c r="G1928" t="s">
        <v>12</v>
      </c>
      <c r="H1928" t="s">
        <v>11</v>
      </c>
      <c r="I1928" t="s">
        <v>12</v>
      </c>
      <c r="J1928" t="s">
        <v>11</v>
      </c>
      <c r="K1928" t="s">
        <v>12</v>
      </c>
      <c r="L1928" s="12" t="s">
        <v>83</v>
      </c>
      <c r="M1928" s="12" t="s">
        <v>10</v>
      </c>
      <c r="N1928" s="12" t="s">
        <v>142</v>
      </c>
      <c r="O1928" s="12" t="s">
        <v>92</v>
      </c>
      <c r="P1928" s="12" t="s">
        <v>246</v>
      </c>
      <c r="Q1928" s="7" t="str">
        <f t="shared" si="91"/>
        <v>(1994,5,'1994.02.05',11,40,44,68,84,0),</v>
      </c>
      <c r="R1928" s="7" t="str">
        <f t="shared" si="93"/>
        <v>(1994,5,'1994.02.05',11,40,44,68,84),</v>
      </c>
    </row>
    <row r="1929" spans="1:18" x14ac:dyDescent="0.25">
      <c r="A1929" s="7" t="s">
        <v>5845</v>
      </c>
      <c r="B1929" s="8" t="s">
        <v>270</v>
      </c>
      <c r="C1929" s="10">
        <f t="shared" si="92"/>
        <v>34377</v>
      </c>
      <c r="D1929" t="s">
        <v>11</v>
      </c>
      <c r="E1929" t="s">
        <v>12</v>
      </c>
      <c r="F1929" t="s">
        <v>11</v>
      </c>
      <c r="G1929" t="s">
        <v>12</v>
      </c>
      <c r="H1929" t="s">
        <v>11</v>
      </c>
      <c r="I1929" t="s">
        <v>12</v>
      </c>
      <c r="J1929" t="s">
        <v>11</v>
      </c>
      <c r="K1929" t="s">
        <v>12</v>
      </c>
      <c r="L1929" s="12" t="s">
        <v>74</v>
      </c>
      <c r="M1929" s="12" t="s">
        <v>105</v>
      </c>
      <c r="N1929" s="12" t="s">
        <v>233</v>
      </c>
      <c r="O1929" s="12" t="s">
        <v>245</v>
      </c>
      <c r="P1929" s="12" t="s">
        <v>379</v>
      </c>
      <c r="Q1929" s="7" t="str">
        <f t="shared" si="91"/>
        <v>(1994,6,'1994.02.12',26,50,66,74,89,0),</v>
      </c>
      <c r="R1929" s="7" t="str">
        <f t="shared" si="93"/>
        <v>(1994,6,'1994.02.12',26,50,66,74,89),</v>
      </c>
    </row>
    <row r="1930" spans="1:18" x14ac:dyDescent="0.25">
      <c r="A1930" s="7" t="s">
        <v>5845</v>
      </c>
      <c r="B1930" s="8" t="s">
        <v>53</v>
      </c>
      <c r="C1930" s="10">
        <f t="shared" si="92"/>
        <v>34384</v>
      </c>
      <c r="D1930" t="s">
        <v>11</v>
      </c>
      <c r="E1930" t="s">
        <v>12</v>
      </c>
      <c r="F1930" t="s">
        <v>11</v>
      </c>
      <c r="G1930" t="s">
        <v>12</v>
      </c>
      <c r="H1930" t="s">
        <v>11</v>
      </c>
      <c r="I1930" t="s">
        <v>12</v>
      </c>
      <c r="J1930" t="s">
        <v>11</v>
      </c>
      <c r="K1930" t="s">
        <v>12</v>
      </c>
      <c r="L1930" s="12" t="s">
        <v>89</v>
      </c>
      <c r="M1930" s="12" t="s">
        <v>192</v>
      </c>
      <c r="N1930" s="12" t="s">
        <v>81</v>
      </c>
      <c r="O1930" s="12" t="s">
        <v>175</v>
      </c>
      <c r="P1930" s="12" t="s">
        <v>151</v>
      </c>
      <c r="Q1930" s="7" t="str">
        <f t="shared" si="91"/>
        <v>(1994,7,'1994.02.19',5,46,47,55,79,0),</v>
      </c>
      <c r="R1930" s="7" t="str">
        <f t="shared" si="93"/>
        <v>(1994,7,'1994.02.19',5,46,47,55,79),</v>
      </c>
    </row>
    <row r="1931" spans="1:18" x14ac:dyDescent="0.25">
      <c r="A1931" s="7" t="s">
        <v>5845</v>
      </c>
      <c r="B1931" s="8" t="s">
        <v>232</v>
      </c>
      <c r="C1931" s="10">
        <f t="shared" si="92"/>
        <v>34391</v>
      </c>
      <c r="D1931" t="s">
        <v>11</v>
      </c>
      <c r="E1931" t="s">
        <v>12</v>
      </c>
      <c r="F1931" t="s">
        <v>11</v>
      </c>
      <c r="G1931" t="s">
        <v>12</v>
      </c>
      <c r="H1931" t="s">
        <v>11</v>
      </c>
      <c r="I1931" t="s">
        <v>12</v>
      </c>
      <c r="J1931" t="s">
        <v>11</v>
      </c>
      <c r="K1931" t="s">
        <v>12</v>
      </c>
      <c r="L1931" s="12" t="s">
        <v>83</v>
      </c>
      <c r="M1931" s="12" t="s">
        <v>115</v>
      </c>
      <c r="N1931" s="12" t="s">
        <v>21</v>
      </c>
      <c r="O1931" s="12" t="s">
        <v>622</v>
      </c>
      <c r="P1931" s="12" t="s">
        <v>186</v>
      </c>
      <c r="Q1931" s="7" t="str">
        <f t="shared" si="91"/>
        <v>(1994,8,'1994.02.26',11,20,36,82,90,0),</v>
      </c>
      <c r="R1931" s="7" t="str">
        <f t="shared" si="93"/>
        <v>(1994,8,'1994.02.26',11,20,36,82,90),</v>
      </c>
    </row>
    <row r="1932" spans="1:18" x14ac:dyDescent="0.25">
      <c r="A1932" s="7" t="s">
        <v>5845</v>
      </c>
      <c r="B1932" s="8" t="s">
        <v>198</v>
      </c>
      <c r="C1932" s="10">
        <f t="shared" si="92"/>
        <v>34398</v>
      </c>
      <c r="D1932" t="s">
        <v>11</v>
      </c>
      <c r="E1932" t="s">
        <v>12</v>
      </c>
      <c r="F1932" t="s">
        <v>11</v>
      </c>
      <c r="G1932" t="s">
        <v>12</v>
      </c>
      <c r="H1932" t="s">
        <v>11</v>
      </c>
      <c r="I1932" t="s">
        <v>12</v>
      </c>
      <c r="J1932" t="s">
        <v>11</v>
      </c>
      <c r="K1932" t="s">
        <v>12</v>
      </c>
      <c r="L1932" s="12" t="s">
        <v>232</v>
      </c>
      <c r="M1932" s="12" t="s">
        <v>45</v>
      </c>
      <c r="N1932" s="12" t="s">
        <v>123</v>
      </c>
      <c r="O1932" s="12" t="s">
        <v>82</v>
      </c>
      <c r="P1932" s="12" t="s">
        <v>215</v>
      </c>
      <c r="Q1932" s="7" t="str">
        <f t="shared" si="91"/>
        <v>(1994,9,'1994.03.05',8,43,54,59,81,0),</v>
      </c>
      <c r="R1932" s="7" t="str">
        <f t="shared" si="93"/>
        <v>(1994,9,'1994.03.05',8,43,54,59,81),</v>
      </c>
    </row>
    <row r="1933" spans="1:18" x14ac:dyDescent="0.25">
      <c r="A1933" s="7" t="s">
        <v>5845</v>
      </c>
      <c r="B1933" s="8" t="s">
        <v>62</v>
      </c>
      <c r="C1933" s="10">
        <f t="shared" si="92"/>
        <v>34405</v>
      </c>
      <c r="D1933" t="s">
        <v>11</v>
      </c>
      <c r="E1933" t="s">
        <v>12</v>
      </c>
      <c r="F1933" t="s">
        <v>11</v>
      </c>
      <c r="G1933" t="s">
        <v>12</v>
      </c>
      <c r="H1933" t="s">
        <v>11</v>
      </c>
      <c r="I1933" t="s">
        <v>12</v>
      </c>
      <c r="J1933" t="s">
        <v>11</v>
      </c>
      <c r="K1933" t="s">
        <v>12</v>
      </c>
      <c r="L1933" s="12" t="s">
        <v>44</v>
      </c>
      <c r="M1933" s="12" t="s">
        <v>74</v>
      </c>
      <c r="N1933" s="12" t="s">
        <v>123</v>
      </c>
      <c r="O1933" s="12" t="s">
        <v>169</v>
      </c>
      <c r="P1933" s="12" t="s">
        <v>82</v>
      </c>
      <c r="Q1933" s="7" t="str">
        <f t="shared" si="91"/>
        <v>(1994,10,'1994.03.12',21,26,54,58,59,0),</v>
      </c>
      <c r="R1933" s="7" t="str">
        <f t="shared" si="93"/>
        <v>(1994,10,'1994.03.12',21,26,54,58,59),</v>
      </c>
    </row>
    <row r="1934" spans="1:18" x14ac:dyDescent="0.25">
      <c r="A1934" s="7" t="s">
        <v>5845</v>
      </c>
      <c r="B1934" s="8" t="s">
        <v>83</v>
      </c>
      <c r="C1934" s="10">
        <f t="shared" si="92"/>
        <v>34412</v>
      </c>
      <c r="D1934" t="s">
        <v>11</v>
      </c>
      <c r="E1934" t="s">
        <v>12</v>
      </c>
      <c r="F1934" t="s">
        <v>11</v>
      </c>
      <c r="G1934" t="s">
        <v>12</v>
      </c>
      <c r="H1934" t="s">
        <v>11</v>
      </c>
      <c r="I1934" t="s">
        <v>12</v>
      </c>
      <c r="J1934" t="s">
        <v>11</v>
      </c>
      <c r="K1934" t="s">
        <v>12</v>
      </c>
      <c r="L1934" s="12" t="s">
        <v>55</v>
      </c>
      <c r="M1934" s="12" t="s">
        <v>34</v>
      </c>
      <c r="N1934" s="12" t="s">
        <v>47</v>
      </c>
      <c r="O1934" s="12" t="s">
        <v>125</v>
      </c>
      <c r="P1934" s="12" t="s">
        <v>308</v>
      </c>
      <c r="Q1934" s="7" t="str">
        <f t="shared" si="91"/>
        <v>(1994,11,'1994.03.19',19,49,69,83,86,0),</v>
      </c>
      <c r="R1934" s="7" t="str">
        <f t="shared" si="93"/>
        <v>(1994,11,'1994.03.19',19,49,69,83,86),</v>
      </c>
    </row>
    <row r="1935" spans="1:18" x14ac:dyDescent="0.25">
      <c r="A1935" s="7" t="s">
        <v>5845</v>
      </c>
      <c r="B1935" s="8" t="s">
        <v>31</v>
      </c>
      <c r="C1935" s="10">
        <f t="shared" si="92"/>
        <v>34419</v>
      </c>
      <c r="D1935" t="s">
        <v>11</v>
      </c>
      <c r="E1935" t="s">
        <v>12</v>
      </c>
      <c r="F1935" t="s">
        <v>11</v>
      </c>
      <c r="G1935" t="s">
        <v>12</v>
      </c>
      <c r="H1935" t="s">
        <v>11</v>
      </c>
      <c r="I1935" t="s">
        <v>12</v>
      </c>
      <c r="J1935" t="s">
        <v>11</v>
      </c>
      <c r="K1935" t="s">
        <v>12</v>
      </c>
      <c r="L1935" s="12" t="s">
        <v>62</v>
      </c>
      <c r="M1935" s="12" t="s">
        <v>152</v>
      </c>
      <c r="N1935" s="12" t="s">
        <v>74</v>
      </c>
      <c r="O1935" s="12" t="s">
        <v>201</v>
      </c>
      <c r="P1935" s="12" t="s">
        <v>143</v>
      </c>
      <c r="Q1935" s="7" t="str">
        <f t="shared" si="91"/>
        <v>(1994,12,'1994.03.26',10,25,26,72,77,0),</v>
      </c>
      <c r="R1935" s="7" t="str">
        <f t="shared" si="93"/>
        <v>(1994,12,'1994.03.26',10,25,26,72,77),</v>
      </c>
    </row>
    <row r="1936" spans="1:18" x14ac:dyDescent="0.25">
      <c r="A1936" s="7" t="s">
        <v>5845</v>
      </c>
      <c r="B1936" s="8" t="s">
        <v>65</v>
      </c>
      <c r="C1936" s="10">
        <f t="shared" si="92"/>
        <v>34426</v>
      </c>
      <c r="D1936" t="s">
        <v>11</v>
      </c>
      <c r="E1936" t="s">
        <v>12</v>
      </c>
      <c r="F1936" t="s">
        <v>11</v>
      </c>
      <c r="G1936" t="s">
        <v>12</v>
      </c>
      <c r="H1936" t="s">
        <v>11</v>
      </c>
      <c r="I1936" t="s">
        <v>12</v>
      </c>
      <c r="J1936" t="s">
        <v>11</v>
      </c>
      <c r="K1936" t="s">
        <v>12</v>
      </c>
      <c r="L1936" s="12" t="s">
        <v>232</v>
      </c>
      <c r="M1936" s="12" t="s">
        <v>62</v>
      </c>
      <c r="N1936" s="12" t="s">
        <v>123</v>
      </c>
      <c r="O1936" s="12" t="s">
        <v>248</v>
      </c>
      <c r="P1936" s="12" t="s">
        <v>214</v>
      </c>
      <c r="Q1936" s="7" t="str">
        <f t="shared" si="91"/>
        <v>(1994,13,'1994.04.02',8,10,54,63,64,0),</v>
      </c>
      <c r="R1936" s="7" t="str">
        <f t="shared" si="93"/>
        <v>(1994,13,'1994.04.02',8,10,54,63,64),</v>
      </c>
    </row>
    <row r="1937" spans="1:18" x14ac:dyDescent="0.25">
      <c r="A1937" s="7" t="s">
        <v>5845</v>
      </c>
      <c r="B1937" s="8" t="s">
        <v>127</v>
      </c>
      <c r="C1937" s="10">
        <f t="shared" si="92"/>
        <v>34433</v>
      </c>
      <c r="D1937" t="s">
        <v>11</v>
      </c>
      <c r="E1937" t="s">
        <v>12</v>
      </c>
      <c r="F1937" t="s">
        <v>11</v>
      </c>
      <c r="G1937" t="s">
        <v>12</v>
      </c>
      <c r="H1937" t="s">
        <v>11</v>
      </c>
      <c r="I1937" t="s">
        <v>12</v>
      </c>
      <c r="J1937" t="s">
        <v>11</v>
      </c>
      <c r="K1937" t="s">
        <v>12</v>
      </c>
      <c r="L1937" s="12" t="s">
        <v>42</v>
      </c>
      <c r="M1937" s="12" t="s">
        <v>232</v>
      </c>
      <c r="N1937" s="12" t="s">
        <v>43</v>
      </c>
      <c r="O1937" s="12" t="s">
        <v>116</v>
      </c>
      <c r="P1937" s="12" t="s">
        <v>21</v>
      </c>
      <c r="Q1937" s="7" t="str">
        <f t="shared" si="91"/>
        <v>(1994,14,'1994.04.09',3,8,16,29,36,0),</v>
      </c>
      <c r="R1937" s="7" t="str">
        <f t="shared" si="93"/>
        <v>(1994,14,'1994.04.09',3,8,16,29,36),</v>
      </c>
    </row>
    <row r="1938" spans="1:18" x14ac:dyDescent="0.25">
      <c r="A1938" s="7" t="s">
        <v>5845</v>
      </c>
      <c r="B1938" s="8" t="s">
        <v>54</v>
      </c>
      <c r="C1938" s="10">
        <f t="shared" si="92"/>
        <v>34440</v>
      </c>
      <c r="D1938" t="s">
        <v>11</v>
      </c>
      <c r="E1938" t="s">
        <v>12</v>
      </c>
      <c r="F1938" t="s">
        <v>11</v>
      </c>
      <c r="G1938" t="s">
        <v>12</v>
      </c>
      <c r="H1938" t="s">
        <v>11</v>
      </c>
      <c r="I1938" t="s">
        <v>12</v>
      </c>
      <c r="J1938" t="s">
        <v>11</v>
      </c>
      <c r="K1938" t="s">
        <v>12</v>
      </c>
      <c r="L1938" s="12" t="s">
        <v>62</v>
      </c>
      <c r="M1938" s="12" t="s">
        <v>31</v>
      </c>
      <c r="N1938" s="12" t="s">
        <v>19</v>
      </c>
      <c r="O1938" s="12" t="s">
        <v>122</v>
      </c>
      <c r="P1938" s="12" t="s">
        <v>143</v>
      </c>
      <c r="Q1938" s="7" t="str">
        <f t="shared" si="91"/>
        <v>(1994,15,'1994.04.16',10,12,18,51,77,0),</v>
      </c>
      <c r="R1938" s="7" t="str">
        <f t="shared" si="93"/>
        <v>(1994,15,'1994.04.16',10,12,18,51,77),</v>
      </c>
    </row>
    <row r="1939" spans="1:18" x14ac:dyDescent="0.25">
      <c r="A1939" s="7" t="s">
        <v>5845</v>
      </c>
      <c r="B1939" s="8" t="s">
        <v>43</v>
      </c>
      <c r="C1939" s="10">
        <f t="shared" si="92"/>
        <v>34447</v>
      </c>
      <c r="D1939" t="s">
        <v>11</v>
      </c>
      <c r="E1939" t="s">
        <v>12</v>
      </c>
      <c r="F1939" t="s">
        <v>11</v>
      </c>
      <c r="G1939" t="s">
        <v>12</v>
      </c>
      <c r="H1939" t="s">
        <v>11</v>
      </c>
      <c r="I1939" t="s">
        <v>12</v>
      </c>
      <c r="J1939" t="s">
        <v>11</v>
      </c>
      <c r="K1939" t="s">
        <v>12</v>
      </c>
      <c r="L1939" s="12" t="s">
        <v>53</v>
      </c>
      <c r="M1939" s="12" t="s">
        <v>232</v>
      </c>
      <c r="N1939" s="12" t="s">
        <v>55</v>
      </c>
      <c r="O1939" s="12" t="s">
        <v>116</v>
      </c>
      <c r="P1939" s="12" t="s">
        <v>199</v>
      </c>
      <c r="Q1939" s="7" t="str">
        <f t="shared" si="91"/>
        <v>(1994,16,'1994.04.23',7,8,19,29,53,0),</v>
      </c>
      <c r="R1939" s="7" t="str">
        <f t="shared" si="93"/>
        <v>(1994,16,'1994.04.23',7,8,19,29,53),</v>
      </c>
    </row>
    <row r="1940" spans="1:18" x14ac:dyDescent="0.25">
      <c r="A1940" s="7" t="s">
        <v>5845</v>
      </c>
      <c r="B1940" s="8" t="s">
        <v>90</v>
      </c>
      <c r="C1940" s="10">
        <f t="shared" si="92"/>
        <v>34454</v>
      </c>
      <c r="D1940" t="s">
        <v>11</v>
      </c>
      <c r="E1940" t="s">
        <v>12</v>
      </c>
      <c r="F1940" t="s">
        <v>11</v>
      </c>
      <c r="G1940" t="s">
        <v>12</v>
      </c>
      <c r="H1940" t="s">
        <v>11</v>
      </c>
      <c r="I1940" t="s">
        <v>12</v>
      </c>
      <c r="J1940" t="s">
        <v>11</v>
      </c>
      <c r="K1940" t="s">
        <v>12</v>
      </c>
      <c r="L1940" s="12" t="s">
        <v>54</v>
      </c>
      <c r="M1940" s="12" t="s">
        <v>43</v>
      </c>
      <c r="N1940" s="12" t="s">
        <v>81</v>
      </c>
      <c r="O1940" s="12" t="s">
        <v>169</v>
      </c>
      <c r="P1940" s="12" t="s">
        <v>72</v>
      </c>
      <c r="Q1940" s="7" t="str">
        <f t="shared" si="91"/>
        <v>(1994,17,'1994.04.30',15,16,47,58,67,0),</v>
      </c>
      <c r="R1940" s="7" t="str">
        <f t="shared" si="93"/>
        <v>(1994,17,'1994.04.30',15,16,47,58,67),</v>
      </c>
    </row>
    <row r="1941" spans="1:18" x14ac:dyDescent="0.25">
      <c r="A1941" s="7" t="s">
        <v>5845</v>
      </c>
      <c r="B1941" s="8" t="s">
        <v>19</v>
      </c>
      <c r="C1941" s="10">
        <f t="shared" si="92"/>
        <v>34461</v>
      </c>
      <c r="D1941" t="s">
        <v>11</v>
      </c>
      <c r="E1941" t="s">
        <v>12</v>
      </c>
      <c r="F1941" t="s">
        <v>11</v>
      </c>
      <c r="G1941" t="s">
        <v>12</v>
      </c>
      <c r="H1941" t="s">
        <v>11</v>
      </c>
      <c r="I1941" t="s">
        <v>12</v>
      </c>
      <c r="J1941" t="s">
        <v>11</v>
      </c>
      <c r="K1941" t="s">
        <v>12</v>
      </c>
      <c r="L1941" s="12" t="s">
        <v>116</v>
      </c>
      <c r="M1941" s="12" t="s">
        <v>169</v>
      </c>
      <c r="N1941" s="12" t="s">
        <v>124</v>
      </c>
      <c r="O1941" s="12" t="s">
        <v>200</v>
      </c>
      <c r="P1941" s="12" t="s">
        <v>143</v>
      </c>
      <c r="Q1941" s="7" t="str">
        <f t="shared" si="91"/>
        <v>(1994,18,'1994.05.07',29,58,62,70,77,0),</v>
      </c>
      <c r="R1941" s="7" t="str">
        <f t="shared" si="93"/>
        <v>(1994,18,'1994.05.07',29,58,62,70,77),</v>
      </c>
    </row>
    <row r="1942" spans="1:18" x14ac:dyDescent="0.25">
      <c r="A1942" s="7" t="s">
        <v>5845</v>
      </c>
      <c r="B1942" s="8" t="s">
        <v>55</v>
      </c>
      <c r="C1942" s="10">
        <f t="shared" si="92"/>
        <v>34468</v>
      </c>
      <c r="D1942" t="s">
        <v>11</v>
      </c>
      <c r="E1942" t="s">
        <v>12</v>
      </c>
      <c r="F1942" t="s">
        <v>11</v>
      </c>
      <c r="G1942" t="s">
        <v>12</v>
      </c>
      <c r="H1942" t="s">
        <v>11</v>
      </c>
      <c r="I1942" t="s">
        <v>12</v>
      </c>
      <c r="J1942" t="s">
        <v>11</v>
      </c>
      <c r="K1942" t="s">
        <v>12</v>
      </c>
      <c r="L1942" s="12" t="s">
        <v>65</v>
      </c>
      <c r="M1942" s="12" t="s">
        <v>32</v>
      </c>
      <c r="N1942" s="12" t="s">
        <v>81</v>
      </c>
      <c r="O1942" s="12" t="s">
        <v>72</v>
      </c>
      <c r="P1942" s="12" t="s">
        <v>92</v>
      </c>
      <c r="Q1942" s="7" t="str">
        <f t="shared" si="91"/>
        <v>(1994,19,'1994.05.14',13,22,47,67,68,0),</v>
      </c>
      <c r="R1942" s="7" t="str">
        <f t="shared" si="93"/>
        <v>(1994,19,'1994.05.14',13,22,47,67,68),</v>
      </c>
    </row>
    <row r="1943" spans="1:18" x14ac:dyDescent="0.25">
      <c r="A1943" s="7" t="s">
        <v>5845</v>
      </c>
      <c r="B1943" s="8" t="s">
        <v>115</v>
      </c>
      <c r="C1943" s="10">
        <f t="shared" si="92"/>
        <v>34475</v>
      </c>
      <c r="D1943" t="s">
        <v>11</v>
      </c>
      <c r="E1943" t="s">
        <v>12</v>
      </c>
      <c r="F1943" t="s">
        <v>11</v>
      </c>
      <c r="G1943" t="s">
        <v>12</v>
      </c>
      <c r="H1943" t="s">
        <v>11</v>
      </c>
      <c r="I1943" t="s">
        <v>12</v>
      </c>
      <c r="J1943" t="s">
        <v>11</v>
      </c>
      <c r="K1943" t="s">
        <v>12</v>
      </c>
      <c r="L1943" s="12" t="s">
        <v>53</v>
      </c>
      <c r="M1943" s="12" t="s">
        <v>64</v>
      </c>
      <c r="N1943" s="12" t="s">
        <v>92</v>
      </c>
      <c r="O1943" s="12" t="s">
        <v>106</v>
      </c>
      <c r="P1943" s="12" t="s">
        <v>301</v>
      </c>
      <c r="Q1943" s="7" t="str">
        <f t="shared" si="91"/>
        <v>(1994,20,'1994.05.21',7,35,68,75,80,0),</v>
      </c>
      <c r="R1943" s="7" t="str">
        <f t="shared" si="93"/>
        <v>(1994,20,'1994.05.21',7,35,68,75,80),</v>
      </c>
    </row>
    <row r="1944" spans="1:18" x14ac:dyDescent="0.25">
      <c r="A1944" s="7" t="s">
        <v>5845</v>
      </c>
      <c r="B1944" s="8" t="s">
        <v>44</v>
      </c>
      <c r="C1944" s="10">
        <f t="shared" si="92"/>
        <v>34482</v>
      </c>
      <c r="D1944" t="s">
        <v>11</v>
      </c>
      <c r="E1944" t="s">
        <v>12</v>
      </c>
      <c r="F1944" t="s">
        <v>11</v>
      </c>
      <c r="G1944" t="s">
        <v>12</v>
      </c>
      <c r="H1944" t="s">
        <v>11</v>
      </c>
      <c r="I1944" t="s">
        <v>12</v>
      </c>
      <c r="J1944" t="s">
        <v>11</v>
      </c>
      <c r="K1944" t="s">
        <v>12</v>
      </c>
      <c r="L1944" s="12" t="s">
        <v>43</v>
      </c>
      <c r="M1944" s="12" t="s">
        <v>24</v>
      </c>
      <c r="N1944" s="12" t="s">
        <v>82</v>
      </c>
      <c r="O1944" s="12" t="s">
        <v>248</v>
      </c>
      <c r="P1944" s="12" t="s">
        <v>92</v>
      </c>
      <c r="Q1944" s="7" t="str">
        <f t="shared" si="91"/>
        <v>(1994,21,'1994.05.28',16,39,59,63,68,0),</v>
      </c>
      <c r="R1944" s="7" t="str">
        <f t="shared" si="93"/>
        <v>(1994,21,'1994.05.28',16,39,59,63,68),</v>
      </c>
    </row>
    <row r="1945" spans="1:18" x14ac:dyDescent="0.25">
      <c r="A1945" s="7" t="s">
        <v>5845</v>
      </c>
      <c r="B1945" s="8" t="s">
        <v>32</v>
      </c>
      <c r="C1945" s="10">
        <f t="shared" si="92"/>
        <v>34489</v>
      </c>
      <c r="D1945" t="s">
        <v>11</v>
      </c>
      <c r="E1945" t="s">
        <v>12</v>
      </c>
      <c r="F1945" t="s">
        <v>11</v>
      </c>
      <c r="G1945" t="s">
        <v>12</v>
      </c>
      <c r="H1945" t="s">
        <v>11</v>
      </c>
      <c r="I1945" t="s">
        <v>12</v>
      </c>
      <c r="J1945" t="s">
        <v>11</v>
      </c>
      <c r="K1945" t="s">
        <v>12</v>
      </c>
      <c r="L1945" s="12" t="s">
        <v>54</v>
      </c>
      <c r="M1945" s="12" t="s">
        <v>20</v>
      </c>
      <c r="N1945" s="12" t="s">
        <v>21</v>
      </c>
      <c r="O1945" s="12" t="s">
        <v>22</v>
      </c>
      <c r="P1945" s="12" t="s">
        <v>125</v>
      </c>
      <c r="Q1945" s="7" t="str">
        <f t="shared" si="91"/>
        <v>(1994,22,'1994.06.04',15,33,36,48,83,0),</v>
      </c>
      <c r="R1945" s="7" t="str">
        <f t="shared" si="93"/>
        <v>(1994,22,'1994.06.04',15,33,36,48,83),</v>
      </c>
    </row>
    <row r="1946" spans="1:18" x14ac:dyDescent="0.25">
      <c r="A1946" s="7" t="s">
        <v>5845</v>
      </c>
      <c r="B1946" s="8" t="s">
        <v>163</v>
      </c>
      <c r="C1946" s="10">
        <f t="shared" si="92"/>
        <v>34496</v>
      </c>
      <c r="D1946" t="s">
        <v>11</v>
      </c>
      <c r="E1946" t="s">
        <v>12</v>
      </c>
      <c r="F1946" t="s">
        <v>11</v>
      </c>
      <c r="G1946" t="s">
        <v>12</v>
      </c>
      <c r="H1946" t="s">
        <v>11</v>
      </c>
      <c r="I1946" t="s">
        <v>12</v>
      </c>
      <c r="J1946" t="s">
        <v>11</v>
      </c>
      <c r="K1946" t="s">
        <v>12</v>
      </c>
      <c r="L1946" s="12" t="s">
        <v>107</v>
      </c>
      <c r="M1946" s="12" t="s">
        <v>142</v>
      </c>
      <c r="N1946" s="12" t="s">
        <v>199</v>
      </c>
      <c r="O1946" s="12" t="s">
        <v>143</v>
      </c>
      <c r="P1946" s="12" t="s">
        <v>308</v>
      </c>
      <c r="Q1946" s="7" t="str">
        <f t="shared" si="91"/>
        <v>(1994,23,'1994.06.11',30,44,53,77,86,0),</v>
      </c>
      <c r="R1946" s="7" t="str">
        <f t="shared" si="93"/>
        <v>(1994,23,'1994.06.11',30,44,53,77,86),</v>
      </c>
    </row>
    <row r="1947" spans="1:18" x14ac:dyDescent="0.25">
      <c r="A1947" s="7" t="s">
        <v>5845</v>
      </c>
      <c r="B1947" s="8" t="s">
        <v>33</v>
      </c>
      <c r="C1947" s="10">
        <f t="shared" si="92"/>
        <v>34503</v>
      </c>
      <c r="D1947" t="s">
        <v>11</v>
      </c>
      <c r="E1947" t="s">
        <v>12</v>
      </c>
      <c r="F1947" t="s">
        <v>11</v>
      </c>
      <c r="G1947" t="s">
        <v>12</v>
      </c>
      <c r="H1947" t="s">
        <v>11</v>
      </c>
      <c r="I1947" t="s">
        <v>12</v>
      </c>
      <c r="J1947" t="s">
        <v>11</v>
      </c>
      <c r="K1947" t="s">
        <v>12</v>
      </c>
      <c r="L1947" s="12" t="s">
        <v>127</v>
      </c>
      <c r="M1947" s="12" t="s">
        <v>115</v>
      </c>
      <c r="N1947" s="12" t="s">
        <v>25</v>
      </c>
      <c r="O1947" s="12" t="s">
        <v>56</v>
      </c>
      <c r="P1947" s="12" t="s">
        <v>622</v>
      </c>
      <c r="Q1947" s="7" t="str">
        <f t="shared" si="91"/>
        <v>(1994,24,'1994.06.18',14,20,34,71,82,0),</v>
      </c>
      <c r="R1947" s="7" t="str">
        <f t="shared" si="93"/>
        <v>(1994,24,'1994.06.18',14,20,34,71,82),</v>
      </c>
    </row>
    <row r="1948" spans="1:18" x14ac:dyDescent="0.25">
      <c r="A1948" s="7" t="s">
        <v>5845</v>
      </c>
      <c r="B1948" s="8" t="s">
        <v>152</v>
      </c>
      <c r="C1948" s="10">
        <f t="shared" si="92"/>
        <v>34510</v>
      </c>
      <c r="D1948" t="s">
        <v>11</v>
      </c>
      <c r="E1948" t="s">
        <v>12</v>
      </c>
      <c r="F1948" t="s">
        <v>11</v>
      </c>
      <c r="G1948" t="s">
        <v>12</v>
      </c>
      <c r="H1948" t="s">
        <v>11</v>
      </c>
      <c r="I1948" t="s">
        <v>12</v>
      </c>
      <c r="J1948" t="s">
        <v>11</v>
      </c>
      <c r="K1948" t="s">
        <v>12</v>
      </c>
      <c r="L1948" s="12" t="s">
        <v>207</v>
      </c>
      <c r="M1948" s="12" t="s">
        <v>152</v>
      </c>
      <c r="N1948" s="12" t="s">
        <v>116</v>
      </c>
      <c r="O1948" s="12" t="s">
        <v>125</v>
      </c>
      <c r="P1948" s="12" t="s">
        <v>308</v>
      </c>
      <c r="Q1948" s="7" t="str">
        <f t="shared" si="91"/>
        <v>(1994,25,'1994.06.25',2,25,29,83,86,0),</v>
      </c>
      <c r="R1948" s="7" t="str">
        <f t="shared" si="93"/>
        <v>(1994,25,'1994.06.25',2,25,29,83,86),</v>
      </c>
    </row>
    <row r="1949" spans="1:18" x14ac:dyDescent="0.25">
      <c r="A1949" s="7" t="s">
        <v>5845</v>
      </c>
      <c r="B1949" s="8" t="s">
        <v>74</v>
      </c>
      <c r="C1949" s="10">
        <f t="shared" si="92"/>
        <v>34517</v>
      </c>
      <c r="D1949" t="s">
        <v>11</v>
      </c>
      <c r="E1949" t="s">
        <v>12</v>
      </c>
      <c r="F1949" t="s">
        <v>11</v>
      </c>
      <c r="G1949" t="s">
        <v>12</v>
      </c>
      <c r="H1949" t="s">
        <v>11</v>
      </c>
      <c r="I1949" t="s">
        <v>12</v>
      </c>
      <c r="J1949" t="s">
        <v>11</v>
      </c>
      <c r="K1949" t="s">
        <v>12</v>
      </c>
      <c r="L1949" s="12" t="s">
        <v>127</v>
      </c>
      <c r="M1949" s="12" t="s">
        <v>192</v>
      </c>
      <c r="N1949" s="12" t="s">
        <v>105</v>
      </c>
      <c r="O1949" s="12" t="s">
        <v>92</v>
      </c>
      <c r="P1949" s="12" t="s">
        <v>73</v>
      </c>
      <c r="Q1949" s="7" t="str">
        <f t="shared" si="91"/>
        <v>(1994,26,'1994.07.02',14,46,50,68,76,0),</v>
      </c>
      <c r="R1949" s="7" t="str">
        <f t="shared" si="93"/>
        <v>(1994,26,'1994.07.02',14,46,50,68,76),</v>
      </c>
    </row>
    <row r="1950" spans="1:18" x14ac:dyDescent="0.25">
      <c r="A1950" s="7" t="s">
        <v>5845</v>
      </c>
      <c r="B1950" s="8" t="s">
        <v>135</v>
      </c>
      <c r="C1950" s="10">
        <f t="shared" si="92"/>
        <v>34524</v>
      </c>
      <c r="D1950" t="s">
        <v>11</v>
      </c>
      <c r="E1950" t="s">
        <v>12</v>
      </c>
      <c r="F1950" t="s">
        <v>11</v>
      </c>
      <c r="G1950" t="s">
        <v>12</v>
      </c>
      <c r="H1950" t="s">
        <v>11</v>
      </c>
      <c r="I1950" t="s">
        <v>12</v>
      </c>
      <c r="J1950" t="s">
        <v>11</v>
      </c>
      <c r="K1950" t="s">
        <v>12</v>
      </c>
      <c r="L1950" s="12" t="s">
        <v>53</v>
      </c>
      <c r="M1950" s="12" t="s">
        <v>44</v>
      </c>
      <c r="N1950" s="12" t="s">
        <v>24</v>
      </c>
      <c r="O1950" s="12" t="s">
        <v>134</v>
      </c>
      <c r="P1950" s="12" t="s">
        <v>214</v>
      </c>
      <c r="Q1950" s="7" t="str">
        <f t="shared" si="91"/>
        <v>(1994,27,'1994.07.09',7,21,39,56,64,0),</v>
      </c>
      <c r="R1950" s="7" t="str">
        <f t="shared" si="93"/>
        <v>(1994,27,'1994.07.09',7,21,39,56,64),</v>
      </c>
    </row>
    <row r="1951" spans="1:18" x14ac:dyDescent="0.25">
      <c r="A1951" s="7" t="s">
        <v>5845</v>
      </c>
      <c r="B1951" s="8" t="s">
        <v>126</v>
      </c>
      <c r="C1951" s="10">
        <f t="shared" si="92"/>
        <v>34531</v>
      </c>
      <c r="D1951" t="s">
        <v>11</v>
      </c>
      <c r="E1951" t="s">
        <v>12</v>
      </c>
      <c r="F1951" t="s">
        <v>11</v>
      </c>
      <c r="G1951" t="s">
        <v>12</v>
      </c>
      <c r="H1951" t="s">
        <v>11</v>
      </c>
      <c r="I1951" t="s">
        <v>12</v>
      </c>
      <c r="J1951" t="s">
        <v>11</v>
      </c>
      <c r="K1951" t="s">
        <v>12</v>
      </c>
      <c r="L1951" s="12" t="s">
        <v>44</v>
      </c>
      <c r="M1951" s="12" t="s">
        <v>45</v>
      </c>
      <c r="N1951" s="12" t="s">
        <v>142</v>
      </c>
      <c r="O1951" s="12" t="s">
        <v>99</v>
      </c>
      <c r="P1951" s="12" t="s">
        <v>208</v>
      </c>
      <c r="Q1951" s="7" t="str">
        <f t="shared" si="91"/>
        <v>(1994,28,'1994.07.16',21,43,44,52,88,0),</v>
      </c>
      <c r="R1951" s="7" t="str">
        <f t="shared" si="93"/>
        <v>(1994,28,'1994.07.16',21,43,44,52,88),</v>
      </c>
    </row>
    <row r="1952" spans="1:18" x14ac:dyDescent="0.25">
      <c r="A1952" s="7" t="s">
        <v>5845</v>
      </c>
      <c r="B1952" s="8" t="s">
        <v>116</v>
      </c>
      <c r="C1952" s="10">
        <f t="shared" si="92"/>
        <v>34538</v>
      </c>
      <c r="D1952" t="s">
        <v>11</v>
      </c>
      <c r="E1952" t="s">
        <v>12</v>
      </c>
      <c r="F1952" t="s">
        <v>11</v>
      </c>
      <c r="G1952" t="s">
        <v>12</v>
      </c>
      <c r="H1952" t="s">
        <v>11</v>
      </c>
      <c r="I1952" t="s">
        <v>12</v>
      </c>
      <c r="J1952" t="s">
        <v>11</v>
      </c>
      <c r="K1952" t="s">
        <v>12</v>
      </c>
      <c r="L1952" s="12" t="s">
        <v>31</v>
      </c>
      <c r="M1952" s="12" t="s">
        <v>169</v>
      </c>
      <c r="N1952" s="12" t="s">
        <v>73</v>
      </c>
      <c r="O1952" s="12" t="s">
        <v>63</v>
      </c>
      <c r="P1952" s="12" t="s">
        <v>308</v>
      </c>
      <c r="Q1952" s="7" t="str">
        <f t="shared" si="91"/>
        <v>(1994,29,'1994.07.23',12,58,76,78,86,0),</v>
      </c>
      <c r="R1952" s="7" t="str">
        <f t="shared" si="93"/>
        <v>(1994,29,'1994.07.23',12,58,76,78,86),</v>
      </c>
    </row>
    <row r="1953" spans="1:18" x14ac:dyDescent="0.25">
      <c r="A1953" s="7" t="s">
        <v>5845</v>
      </c>
      <c r="B1953" s="8" t="s">
        <v>107</v>
      </c>
      <c r="C1953" s="10">
        <f t="shared" si="92"/>
        <v>34545</v>
      </c>
      <c r="D1953" t="s">
        <v>11</v>
      </c>
      <c r="E1953" t="s">
        <v>12</v>
      </c>
      <c r="F1953" t="s">
        <v>11</v>
      </c>
      <c r="G1953" t="s">
        <v>12</v>
      </c>
      <c r="H1953" t="s">
        <v>11</v>
      </c>
      <c r="I1953" t="s">
        <v>12</v>
      </c>
      <c r="J1953" t="s">
        <v>11</v>
      </c>
      <c r="K1953" t="s">
        <v>12</v>
      </c>
      <c r="L1953" s="12" t="s">
        <v>53</v>
      </c>
      <c r="M1953" s="12" t="s">
        <v>198</v>
      </c>
      <c r="N1953" s="12" t="s">
        <v>64</v>
      </c>
      <c r="O1953" s="12" t="s">
        <v>82</v>
      </c>
      <c r="P1953" s="12" t="s">
        <v>239</v>
      </c>
      <c r="Q1953" s="7" t="str">
        <f t="shared" si="91"/>
        <v>(1994,30,'1994.07.30',7,9,35,59,73,0),</v>
      </c>
      <c r="R1953" s="7" t="str">
        <f t="shared" si="93"/>
        <v>(1994,30,'1994.07.30',7,9,35,59,73),</v>
      </c>
    </row>
    <row r="1954" spans="1:18" x14ac:dyDescent="0.25">
      <c r="A1954" s="7" t="s">
        <v>5845</v>
      </c>
      <c r="B1954" s="8" t="s">
        <v>71</v>
      </c>
      <c r="C1954" s="10">
        <f t="shared" si="92"/>
        <v>34552</v>
      </c>
      <c r="D1954" t="s">
        <v>11</v>
      </c>
      <c r="E1954" t="s">
        <v>12</v>
      </c>
      <c r="F1954" t="s">
        <v>11</v>
      </c>
      <c r="G1954" t="s">
        <v>12</v>
      </c>
      <c r="H1954" t="s">
        <v>11</v>
      </c>
      <c r="I1954" t="s">
        <v>12</v>
      </c>
      <c r="J1954" t="s">
        <v>11</v>
      </c>
      <c r="K1954" t="s">
        <v>12</v>
      </c>
      <c r="L1954" s="12" t="s">
        <v>42</v>
      </c>
      <c r="M1954" s="12" t="s">
        <v>74</v>
      </c>
      <c r="N1954" s="12" t="s">
        <v>126</v>
      </c>
      <c r="O1954" s="12" t="s">
        <v>81</v>
      </c>
      <c r="P1954" s="12" t="s">
        <v>301</v>
      </c>
      <c r="Q1954" s="7" t="str">
        <f t="shared" si="91"/>
        <v>(1994,31,'1994.08.06',3,26,28,47,80,0),</v>
      </c>
      <c r="R1954" s="7" t="str">
        <f t="shared" si="93"/>
        <v>(1994,31,'1994.08.06',3,26,28,47,80),</v>
      </c>
    </row>
    <row r="1955" spans="1:18" x14ac:dyDescent="0.25">
      <c r="A1955" s="7" t="s">
        <v>5845</v>
      </c>
      <c r="B1955" s="8" t="s">
        <v>80</v>
      </c>
      <c r="C1955" s="10">
        <f t="shared" si="92"/>
        <v>34559</v>
      </c>
      <c r="D1955" t="s">
        <v>11</v>
      </c>
      <c r="E1955" t="s">
        <v>12</v>
      </c>
      <c r="F1955" t="s">
        <v>11</v>
      </c>
      <c r="G1955" t="s">
        <v>12</v>
      </c>
      <c r="H1955" t="s">
        <v>11</v>
      </c>
      <c r="I1955" t="s">
        <v>12</v>
      </c>
      <c r="J1955" t="s">
        <v>11</v>
      </c>
      <c r="K1955" t="s">
        <v>12</v>
      </c>
      <c r="L1955" s="12" t="s">
        <v>62</v>
      </c>
      <c r="M1955" s="12" t="s">
        <v>31</v>
      </c>
      <c r="N1955" s="12" t="s">
        <v>71</v>
      </c>
      <c r="O1955" s="12" t="s">
        <v>72</v>
      </c>
      <c r="P1955" s="12" t="s">
        <v>201</v>
      </c>
      <c r="Q1955" s="7" t="str">
        <f t="shared" si="91"/>
        <v>(1994,32,'1994.08.13',10,12,31,67,72,0),</v>
      </c>
      <c r="R1955" s="7" t="str">
        <f t="shared" si="93"/>
        <v>(1994,32,'1994.08.13',10,12,31,67,72),</v>
      </c>
    </row>
    <row r="1956" spans="1:18" x14ac:dyDescent="0.25">
      <c r="A1956" s="7" t="s">
        <v>5845</v>
      </c>
      <c r="B1956" s="8" t="s">
        <v>20</v>
      </c>
      <c r="C1956" s="10">
        <f t="shared" si="92"/>
        <v>34566</v>
      </c>
      <c r="D1956" t="s">
        <v>11</v>
      </c>
      <c r="E1956" t="s">
        <v>12</v>
      </c>
      <c r="F1956" t="s">
        <v>11</v>
      </c>
      <c r="G1956" t="s">
        <v>12</v>
      </c>
      <c r="H1956" t="s">
        <v>11</v>
      </c>
      <c r="I1956" t="s">
        <v>12</v>
      </c>
      <c r="J1956" t="s">
        <v>11</v>
      </c>
      <c r="K1956" t="s">
        <v>12</v>
      </c>
      <c r="L1956" s="12" t="s">
        <v>46</v>
      </c>
      <c r="M1956" s="12" t="s">
        <v>214</v>
      </c>
      <c r="N1956" s="12" t="s">
        <v>35</v>
      </c>
      <c r="O1956" s="12" t="s">
        <v>201</v>
      </c>
      <c r="P1956" s="12" t="s">
        <v>246</v>
      </c>
      <c r="Q1956" s="7" t="str">
        <f t="shared" si="91"/>
        <v>(1994,33,'1994.08.20',37,64,65,72,84,0),</v>
      </c>
      <c r="R1956" s="7" t="str">
        <f t="shared" si="93"/>
        <v>(1994,33,'1994.08.20',37,64,65,72,84),</v>
      </c>
    </row>
    <row r="1957" spans="1:18" x14ac:dyDescent="0.25">
      <c r="A1957" s="7" t="s">
        <v>5845</v>
      </c>
      <c r="B1957" s="8" t="s">
        <v>25</v>
      </c>
      <c r="C1957" s="10">
        <f t="shared" si="92"/>
        <v>34573</v>
      </c>
      <c r="D1957" t="s">
        <v>11</v>
      </c>
      <c r="E1957" t="s">
        <v>12</v>
      </c>
      <c r="F1957" t="s">
        <v>11</v>
      </c>
      <c r="G1957" t="s">
        <v>12</v>
      </c>
      <c r="H1957" t="s">
        <v>11</v>
      </c>
      <c r="I1957" t="s">
        <v>12</v>
      </c>
      <c r="J1957" t="s">
        <v>11</v>
      </c>
      <c r="K1957" t="s">
        <v>12</v>
      </c>
      <c r="L1957" s="12" t="s">
        <v>44</v>
      </c>
      <c r="M1957" s="12" t="s">
        <v>64</v>
      </c>
      <c r="N1957" s="12" t="s">
        <v>133</v>
      </c>
      <c r="O1957" s="12" t="s">
        <v>22</v>
      </c>
      <c r="P1957" s="12" t="s">
        <v>248</v>
      </c>
      <c r="Q1957" s="7" t="str">
        <f t="shared" si="91"/>
        <v>(1994,34,'1994.08.27',21,35,45,48,63,0),</v>
      </c>
      <c r="R1957" s="7" t="str">
        <f t="shared" si="93"/>
        <v>(1994,34,'1994.08.27',21,35,45,48,63),</v>
      </c>
    </row>
    <row r="1958" spans="1:18" x14ac:dyDescent="0.25">
      <c r="A1958" s="7" t="s">
        <v>5845</v>
      </c>
      <c r="B1958" s="8" t="s">
        <v>64</v>
      </c>
      <c r="C1958" s="10">
        <f t="shared" si="92"/>
        <v>34580</v>
      </c>
      <c r="D1958" t="s">
        <v>11</v>
      </c>
      <c r="E1958" t="s">
        <v>12</v>
      </c>
      <c r="F1958" t="s">
        <v>11</v>
      </c>
      <c r="G1958" t="s">
        <v>12</v>
      </c>
      <c r="H1958" t="s">
        <v>11</v>
      </c>
      <c r="I1958" t="s">
        <v>12</v>
      </c>
      <c r="J1958" t="s">
        <v>11</v>
      </c>
      <c r="K1958" t="s">
        <v>12</v>
      </c>
      <c r="L1958" s="12" t="s">
        <v>65</v>
      </c>
      <c r="M1958" s="12" t="s">
        <v>19</v>
      </c>
      <c r="N1958" s="12" t="s">
        <v>163</v>
      </c>
      <c r="O1958" s="12" t="s">
        <v>45</v>
      </c>
      <c r="P1958" s="12" t="s">
        <v>73</v>
      </c>
      <c r="Q1958" s="7" t="str">
        <f t="shared" si="91"/>
        <v>(1994,35,'1994.09.03',13,18,23,43,76,0),</v>
      </c>
      <c r="R1958" s="7" t="str">
        <f t="shared" si="93"/>
        <v>(1994,35,'1994.09.03',13,18,23,43,76),</v>
      </c>
    </row>
    <row r="1959" spans="1:18" x14ac:dyDescent="0.25">
      <c r="A1959" s="7" t="s">
        <v>5845</v>
      </c>
      <c r="B1959" s="8" t="s">
        <v>21</v>
      </c>
      <c r="C1959" s="10">
        <f t="shared" si="92"/>
        <v>34587</v>
      </c>
      <c r="D1959" t="s">
        <v>11</v>
      </c>
      <c r="E1959" t="s">
        <v>12</v>
      </c>
      <c r="F1959" t="s">
        <v>11</v>
      </c>
      <c r="G1959" t="s">
        <v>12</v>
      </c>
      <c r="H1959" t="s">
        <v>11</v>
      </c>
      <c r="I1959" t="s">
        <v>12</v>
      </c>
      <c r="J1959" t="s">
        <v>11</v>
      </c>
      <c r="K1959" t="s">
        <v>12</v>
      </c>
      <c r="L1959" s="12" t="s">
        <v>89</v>
      </c>
      <c r="M1959" s="12" t="s">
        <v>127</v>
      </c>
      <c r="N1959" s="12" t="s">
        <v>64</v>
      </c>
      <c r="O1959" s="12" t="s">
        <v>468</v>
      </c>
      <c r="P1959" s="12" t="s">
        <v>208</v>
      </c>
      <c r="Q1959" s="7" t="str">
        <f t="shared" si="91"/>
        <v>(1994,36,'1994.09.10',5,14,35,85,88,0),</v>
      </c>
      <c r="R1959" s="7" t="str">
        <f t="shared" si="93"/>
        <v>(1994,36,'1994.09.10',5,14,35,85,88),</v>
      </c>
    </row>
    <row r="1960" spans="1:18" x14ac:dyDescent="0.25">
      <c r="A1960" s="7" t="s">
        <v>5845</v>
      </c>
      <c r="B1960" s="8" t="s">
        <v>46</v>
      </c>
      <c r="C1960" s="10">
        <f t="shared" si="92"/>
        <v>34594</v>
      </c>
      <c r="D1960" t="s">
        <v>11</v>
      </c>
      <c r="E1960" t="s">
        <v>12</v>
      </c>
      <c r="F1960" t="s">
        <v>11</v>
      </c>
      <c r="G1960" t="s">
        <v>12</v>
      </c>
      <c r="H1960" t="s">
        <v>11</v>
      </c>
      <c r="I1960" t="s">
        <v>12</v>
      </c>
      <c r="J1960" t="s">
        <v>11</v>
      </c>
      <c r="K1960" t="s">
        <v>12</v>
      </c>
      <c r="L1960" s="12" t="s">
        <v>89</v>
      </c>
      <c r="M1960" s="12" t="s">
        <v>65</v>
      </c>
      <c r="N1960" s="12" t="s">
        <v>127</v>
      </c>
      <c r="O1960" s="12" t="s">
        <v>248</v>
      </c>
      <c r="P1960" s="12" t="s">
        <v>92</v>
      </c>
      <c r="Q1960" s="7" t="str">
        <f t="shared" si="91"/>
        <v>(1994,37,'1994.09.17',5,13,14,63,68,0),</v>
      </c>
      <c r="R1960" s="7" t="str">
        <f t="shared" si="93"/>
        <v>(1994,37,'1994.09.17',5,13,14,63,68),</v>
      </c>
    </row>
    <row r="1961" spans="1:18" x14ac:dyDescent="0.25">
      <c r="A1961" s="7" t="s">
        <v>5845</v>
      </c>
      <c r="B1961" s="8" t="s">
        <v>36</v>
      </c>
      <c r="C1961" s="10">
        <f t="shared" si="92"/>
        <v>34601</v>
      </c>
      <c r="D1961" t="s">
        <v>11</v>
      </c>
      <c r="E1961" t="s">
        <v>12</v>
      </c>
      <c r="F1961" t="s">
        <v>11</v>
      </c>
      <c r="G1961" t="s">
        <v>12</v>
      </c>
      <c r="H1961" t="s">
        <v>11</v>
      </c>
      <c r="I1961" t="s">
        <v>12</v>
      </c>
      <c r="J1961" t="s">
        <v>11</v>
      </c>
      <c r="K1961" t="s">
        <v>12</v>
      </c>
      <c r="L1961" s="12" t="s">
        <v>31</v>
      </c>
      <c r="M1961" s="12" t="s">
        <v>45</v>
      </c>
      <c r="N1961" s="12" t="s">
        <v>169</v>
      </c>
      <c r="O1961" s="12" t="s">
        <v>47</v>
      </c>
      <c r="P1961" s="12" t="s">
        <v>245</v>
      </c>
      <c r="Q1961" s="7" t="str">
        <f t="shared" si="91"/>
        <v>(1994,38,'1994.09.24',12,43,58,69,74,0),</v>
      </c>
      <c r="R1961" s="7" t="str">
        <f t="shared" si="93"/>
        <v>(1994,38,'1994.09.24',12,43,58,69,74),</v>
      </c>
    </row>
    <row r="1962" spans="1:18" x14ac:dyDescent="0.25">
      <c r="A1962" s="7" t="s">
        <v>5845</v>
      </c>
      <c r="B1962" s="8" t="s">
        <v>24</v>
      </c>
      <c r="C1962" s="10">
        <f t="shared" si="92"/>
        <v>34608</v>
      </c>
      <c r="D1962" t="s">
        <v>11</v>
      </c>
      <c r="E1962" t="s">
        <v>12</v>
      </c>
      <c r="F1962" t="s">
        <v>11</v>
      </c>
      <c r="G1962" t="s">
        <v>12</v>
      </c>
      <c r="H1962" t="s">
        <v>11</v>
      </c>
      <c r="I1962" t="s">
        <v>12</v>
      </c>
      <c r="J1962" t="s">
        <v>11</v>
      </c>
      <c r="K1962" t="s">
        <v>12</v>
      </c>
      <c r="L1962" s="12" t="s">
        <v>168</v>
      </c>
      <c r="M1962" s="12" t="s">
        <v>19</v>
      </c>
      <c r="N1962" s="12" t="s">
        <v>45</v>
      </c>
      <c r="O1962" s="12" t="s">
        <v>92</v>
      </c>
      <c r="P1962" s="12" t="s">
        <v>468</v>
      </c>
      <c r="Q1962" s="7" t="str">
        <f t="shared" si="91"/>
        <v>(1994,39,'1994.10.01',4,18,43,68,85,0),</v>
      </c>
      <c r="R1962" s="7" t="str">
        <f t="shared" si="93"/>
        <v>(1994,39,'1994.10.01',4,18,43,68,85),</v>
      </c>
    </row>
    <row r="1963" spans="1:18" x14ac:dyDescent="0.25">
      <c r="A1963" s="7" t="s">
        <v>5845</v>
      </c>
      <c r="B1963" s="8" t="s">
        <v>10</v>
      </c>
      <c r="C1963" s="10">
        <f t="shared" si="92"/>
        <v>34615</v>
      </c>
      <c r="D1963" t="s">
        <v>11</v>
      </c>
      <c r="E1963" t="s">
        <v>12</v>
      </c>
      <c r="F1963" t="s">
        <v>11</v>
      </c>
      <c r="G1963" t="s">
        <v>12</v>
      </c>
      <c r="H1963" t="s">
        <v>11</v>
      </c>
      <c r="I1963" t="s">
        <v>12</v>
      </c>
      <c r="J1963" t="s">
        <v>11</v>
      </c>
      <c r="K1963" t="s">
        <v>12</v>
      </c>
      <c r="L1963" s="12" t="s">
        <v>53</v>
      </c>
      <c r="M1963" s="12" t="s">
        <v>31</v>
      </c>
      <c r="N1963" s="12" t="s">
        <v>36</v>
      </c>
      <c r="O1963" s="12" t="s">
        <v>123</v>
      </c>
      <c r="P1963" s="12" t="s">
        <v>150</v>
      </c>
      <c r="Q1963" s="7" t="str">
        <f t="shared" si="91"/>
        <v>(1994,40,'1994.10.08',7,12,38,54,57,0),</v>
      </c>
      <c r="R1963" s="7" t="str">
        <f t="shared" si="93"/>
        <v>(1994,40,'1994.10.08',7,12,38,54,57),</v>
      </c>
    </row>
    <row r="1964" spans="1:18" x14ac:dyDescent="0.25">
      <c r="A1964" s="7" t="s">
        <v>5845</v>
      </c>
      <c r="B1964" s="8" t="s">
        <v>13</v>
      </c>
      <c r="C1964" s="10">
        <f t="shared" si="92"/>
        <v>34622</v>
      </c>
      <c r="D1964" t="s">
        <v>11</v>
      </c>
      <c r="E1964" t="s">
        <v>12</v>
      </c>
      <c r="F1964" t="s">
        <v>11</v>
      </c>
      <c r="G1964" t="s">
        <v>12</v>
      </c>
      <c r="H1964" t="s">
        <v>11</v>
      </c>
      <c r="I1964" t="s">
        <v>12</v>
      </c>
      <c r="J1964" t="s">
        <v>11</v>
      </c>
      <c r="K1964" t="s">
        <v>12</v>
      </c>
      <c r="L1964" s="12" t="s">
        <v>43</v>
      </c>
      <c r="M1964" s="12" t="s">
        <v>32</v>
      </c>
      <c r="N1964" s="12" t="s">
        <v>80</v>
      </c>
      <c r="O1964" s="12" t="s">
        <v>122</v>
      </c>
      <c r="P1964" s="12" t="s">
        <v>151</v>
      </c>
      <c r="Q1964" s="7" t="str">
        <f t="shared" si="91"/>
        <v>(1994,41,'1994.10.15',16,22,32,51,79,0),</v>
      </c>
      <c r="R1964" s="7" t="str">
        <f t="shared" si="93"/>
        <v>(1994,41,'1994.10.15',16,22,32,51,79),</v>
      </c>
    </row>
    <row r="1965" spans="1:18" x14ac:dyDescent="0.25">
      <c r="A1965" s="7" t="s">
        <v>5845</v>
      </c>
      <c r="B1965" s="8" t="s">
        <v>98</v>
      </c>
      <c r="C1965" s="10">
        <f t="shared" si="92"/>
        <v>34629</v>
      </c>
      <c r="D1965" t="s">
        <v>11</v>
      </c>
      <c r="E1965" t="s">
        <v>12</v>
      </c>
      <c r="F1965" t="s">
        <v>11</v>
      </c>
      <c r="G1965" t="s">
        <v>12</v>
      </c>
      <c r="H1965" t="s">
        <v>11</v>
      </c>
      <c r="I1965" t="s">
        <v>12</v>
      </c>
      <c r="J1965" t="s">
        <v>11</v>
      </c>
      <c r="K1965" t="s">
        <v>12</v>
      </c>
      <c r="L1965" s="12" t="s">
        <v>45</v>
      </c>
      <c r="M1965" s="12" t="s">
        <v>91</v>
      </c>
      <c r="N1965" s="12" t="s">
        <v>143</v>
      </c>
      <c r="O1965" s="12" t="s">
        <v>622</v>
      </c>
      <c r="P1965" s="12" t="s">
        <v>208</v>
      </c>
      <c r="Q1965" s="7" t="str">
        <f t="shared" si="91"/>
        <v>(1994,42,'1994.10.22',43,61,77,82,88,0),</v>
      </c>
      <c r="R1965" s="7" t="str">
        <f t="shared" si="93"/>
        <v>(1994,42,'1994.10.22',43,61,77,82,88),</v>
      </c>
    </row>
    <row r="1966" spans="1:18" x14ac:dyDescent="0.25">
      <c r="A1966" s="7" t="s">
        <v>5845</v>
      </c>
      <c r="B1966" s="8" t="s">
        <v>45</v>
      </c>
      <c r="C1966" s="10">
        <f t="shared" si="92"/>
        <v>34636</v>
      </c>
      <c r="D1966" t="s">
        <v>11</v>
      </c>
      <c r="E1966" t="s">
        <v>12</v>
      </c>
      <c r="F1966" t="s">
        <v>11</v>
      </c>
      <c r="G1966" t="s">
        <v>12</v>
      </c>
      <c r="H1966" t="s">
        <v>11</v>
      </c>
      <c r="I1966" t="s">
        <v>12</v>
      </c>
      <c r="J1966" t="s">
        <v>11</v>
      </c>
      <c r="K1966" t="s">
        <v>12</v>
      </c>
      <c r="L1966" s="12" t="s">
        <v>83</v>
      </c>
      <c r="M1966" s="12" t="s">
        <v>54</v>
      </c>
      <c r="N1966" s="12" t="s">
        <v>71</v>
      </c>
      <c r="O1966" s="12" t="s">
        <v>13</v>
      </c>
      <c r="P1966" s="12" t="s">
        <v>143</v>
      </c>
      <c r="Q1966" s="7" t="str">
        <f t="shared" si="91"/>
        <v>(1994,43,'1994.10.29',11,15,31,41,77,0),</v>
      </c>
      <c r="R1966" s="7" t="str">
        <f t="shared" si="93"/>
        <v>(1994,43,'1994.10.29',11,15,31,41,77),</v>
      </c>
    </row>
    <row r="1967" spans="1:18" x14ac:dyDescent="0.25">
      <c r="A1967" s="7" t="s">
        <v>5845</v>
      </c>
      <c r="B1967" s="8" t="s">
        <v>142</v>
      </c>
      <c r="C1967" s="10">
        <f t="shared" si="92"/>
        <v>34643</v>
      </c>
      <c r="D1967" t="s">
        <v>11</v>
      </c>
      <c r="E1967" t="s">
        <v>12</v>
      </c>
      <c r="F1967" t="s">
        <v>11</v>
      </c>
      <c r="G1967" t="s">
        <v>12</v>
      </c>
      <c r="H1967" t="s">
        <v>11</v>
      </c>
      <c r="I1967" t="s">
        <v>12</v>
      </c>
      <c r="J1967" t="s">
        <v>11</v>
      </c>
      <c r="K1967" t="s">
        <v>12</v>
      </c>
      <c r="L1967" s="12" t="s">
        <v>270</v>
      </c>
      <c r="M1967" s="12" t="s">
        <v>62</v>
      </c>
      <c r="N1967" s="12" t="s">
        <v>13</v>
      </c>
      <c r="O1967" s="12" t="s">
        <v>133</v>
      </c>
      <c r="P1967" s="12" t="s">
        <v>468</v>
      </c>
      <c r="Q1967" s="7" t="str">
        <f t="shared" si="91"/>
        <v>(1994,44,'1994.11.05',6,10,41,45,85,0),</v>
      </c>
      <c r="R1967" s="7" t="str">
        <f t="shared" si="93"/>
        <v>(1994,44,'1994.11.05',6,10,41,45,85),</v>
      </c>
    </row>
    <row r="1968" spans="1:18" x14ac:dyDescent="0.25">
      <c r="A1968" s="7" t="s">
        <v>5845</v>
      </c>
      <c r="B1968" s="8" t="s">
        <v>133</v>
      </c>
      <c r="C1968" s="10">
        <f t="shared" si="92"/>
        <v>34650</v>
      </c>
      <c r="D1968" t="s">
        <v>11</v>
      </c>
      <c r="E1968" t="s">
        <v>12</v>
      </c>
      <c r="F1968" t="s">
        <v>11</v>
      </c>
      <c r="G1968" t="s">
        <v>12</v>
      </c>
      <c r="H1968" t="s">
        <v>11</v>
      </c>
      <c r="I1968" t="s">
        <v>12</v>
      </c>
      <c r="J1968" t="s">
        <v>11</v>
      </c>
      <c r="K1968" t="s">
        <v>12</v>
      </c>
      <c r="L1968" s="12" t="s">
        <v>42</v>
      </c>
      <c r="M1968" s="12" t="s">
        <v>62</v>
      </c>
      <c r="N1968" s="12" t="s">
        <v>31</v>
      </c>
      <c r="O1968" s="12" t="s">
        <v>54</v>
      </c>
      <c r="P1968" s="12" t="s">
        <v>379</v>
      </c>
      <c r="Q1968" s="7" t="str">
        <f t="shared" si="91"/>
        <v>(1994,45,'1994.11.12',3,10,12,15,89,0),</v>
      </c>
      <c r="R1968" s="7" t="str">
        <f t="shared" si="93"/>
        <v>(1994,45,'1994.11.12',3,10,12,15,89),</v>
      </c>
    </row>
    <row r="1969" spans="1:18" x14ac:dyDescent="0.25">
      <c r="A1969" s="7" t="s">
        <v>5845</v>
      </c>
      <c r="B1969" s="8" t="s">
        <v>192</v>
      </c>
      <c r="C1969" s="10">
        <f t="shared" si="92"/>
        <v>34657</v>
      </c>
      <c r="D1969" t="s">
        <v>11</v>
      </c>
      <c r="E1969" t="s">
        <v>12</v>
      </c>
      <c r="F1969" t="s">
        <v>11</v>
      </c>
      <c r="G1969" t="s">
        <v>12</v>
      </c>
      <c r="H1969" t="s">
        <v>11</v>
      </c>
      <c r="I1969" t="s">
        <v>12</v>
      </c>
      <c r="J1969" t="s">
        <v>11</v>
      </c>
      <c r="K1969" t="s">
        <v>12</v>
      </c>
      <c r="L1969" s="12" t="s">
        <v>83</v>
      </c>
      <c r="M1969" s="12" t="s">
        <v>123</v>
      </c>
      <c r="N1969" s="12" t="s">
        <v>201</v>
      </c>
      <c r="O1969" s="12" t="s">
        <v>151</v>
      </c>
      <c r="P1969" s="12" t="s">
        <v>308</v>
      </c>
      <c r="Q1969" s="7" t="str">
        <f t="shared" si="91"/>
        <v>(1994,46,'1994.11.19',11,54,72,79,86,0),</v>
      </c>
      <c r="R1969" s="7" t="str">
        <f t="shared" si="93"/>
        <v>(1994,46,'1994.11.19',11,54,72,79,86),</v>
      </c>
    </row>
    <row r="1970" spans="1:18" x14ac:dyDescent="0.25">
      <c r="A1970" s="7" t="s">
        <v>5845</v>
      </c>
      <c r="B1970" s="8" t="s">
        <v>81</v>
      </c>
      <c r="C1970" s="10">
        <f t="shared" si="92"/>
        <v>34664</v>
      </c>
      <c r="D1970" t="s">
        <v>11</v>
      </c>
      <c r="E1970" t="s">
        <v>12</v>
      </c>
      <c r="F1970" t="s">
        <v>11</v>
      </c>
      <c r="G1970" t="s">
        <v>12</v>
      </c>
      <c r="H1970" t="s">
        <v>11</v>
      </c>
      <c r="I1970" t="s">
        <v>12</v>
      </c>
      <c r="J1970" t="s">
        <v>11</v>
      </c>
      <c r="K1970" t="s">
        <v>12</v>
      </c>
      <c r="L1970" s="12" t="s">
        <v>53</v>
      </c>
      <c r="M1970" s="12" t="s">
        <v>163</v>
      </c>
      <c r="N1970" s="12" t="s">
        <v>201</v>
      </c>
      <c r="O1970" s="12" t="s">
        <v>73</v>
      </c>
      <c r="P1970" s="12" t="s">
        <v>215</v>
      </c>
      <c r="Q1970" s="7" t="str">
        <f t="shared" si="91"/>
        <v>(1994,47,'1994.11.26',7,23,72,76,81,0),</v>
      </c>
      <c r="R1970" s="7" t="str">
        <f t="shared" si="93"/>
        <v>(1994,47,'1994.11.26',7,23,72,76,81),</v>
      </c>
    </row>
    <row r="1971" spans="1:18" x14ac:dyDescent="0.25">
      <c r="A1971" s="7" t="s">
        <v>5845</v>
      </c>
      <c r="B1971" s="8" t="s">
        <v>22</v>
      </c>
      <c r="C1971" s="10">
        <f t="shared" si="92"/>
        <v>34671</v>
      </c>
      <c r="D1971" t="s">
        <v>11</v>
      </c>
      <c r="E1971" t="s">
        <v>12</v>
      </c>
      <c r="F1971" t="s">
        <v>11</v>
      </c>
      <c r="G1971" t="s">
        <v>12</v>
      </c>
      <c r="H1971" t="s">
        <v>11</v>
      </c>
      <c r="I1971" t="s">
        <v>12</v>
      </c>
      <c r="J1971" t="s">
        <v>11</v>
      </c>
      <c r="K1971" t="s">
        <v>12</v>
      </c>
      <c r="L1971" s="12" t="s">
        <v>207</v>
      </c>
      <c r="M1971" s="12" t="s">
        <v>74</v>
      </c>
      <c r="N1971" s="12" t="s">
        <v>21</v>
      </c>
      <c r="O1971" s="12" t="s">
        <v>46</v>
      </c>
      <c r="P1971" s="12" t="s">
        <v>201</v>
      </c>
      <c r="Q1971" s="7" t="str">
        <f t="shared" si="91"/>
        <v>(1994,48,'1994.12.03',2,26,36,37,72,0),</v>
      </c>
      <c r="R1971" s="7" t="str">
        <f t="shared" si="93"/>
        <v>(1994,48,'1994.12.03',2,26,36,37,72),</v>
      </c>
    </row>
    <row r="1972" spans="1:18" x14ac:dyDescent="0.25">
      <c r="A1972" s="7" t="s">
        <v>5845</v>
      </c>
      <c r="B1972" s="8" t="s">
        <v>34</v>
      </c>
      <c r="C1972" s="10">
        <f t="shared" si="92"/>
        <v>34678</v>
      </c>
      <c r="D1972" t="s">
        <v>11</v>
      </c>
      <c r="E1972" t="s">
        <v>12</v>
      </c>
      <c r="F1972" t="s">
        <v>11</v>
      </c>
      <c r="G1972" t="s">
        <v>12</v>
      </c>
      <c r="H1972" t="s">
        <v>11</v>
      </c>
      <c r="I1972" t="s">
        <v>12</v>
      </c>
      <c r="J1972" t="s">
        <v>11</v>
      </c>
      <c r="K1972" t="s">
        <v>12</v>
      </c>
      <c r="L1972" s="12" t="s">
        <v>43</v>
      </c>
      <c r="M1972" s="12" t="s">
        <v>98</v>
      </c>
      <c r="N1972" s="12" t="s">
        <v>248</v>
      </c>
      <c r="O1972" s="12" t="s">
        <v>35</v>
      </c>
      <c r="P1972" s="12" t="s">
        <v>143</v>
      </c>
      <c r="Q1972" s="7" t="str">
        <f t="shared" si="91"/>
        <v>(1994,49,'1994.12.10',16,42,63,65,77,0),</v>
      </c>
      <c r="R1972" s="7" t="str">
        <f t="shared" si="93"/>
        <v>(1994,49,'1994.12.10',16,42,63,65,77),</v>
      </c>
    </row>
    <row r="1973" spans="1:18" x14ac:dyDescent="0.25">
      <c r="A1973" s="7" t="s">
        <v>5845</v>
      </c>
      <c r="B1973" s="8" t="s">
        <v>105</v>
      </c>
      <c r="C1973" s="10">
        <f t="shared" si="92"/>
        <v>34685</v>
      </c>
      <c r="D1973" t="s">
        <v>11</v>
      </c>
      <c r="E1973" t="s">
        <v>12</v>
      </c>
      <c r="F1973" t="s">
        <v>11</v>
      </c>
      <c r="G1973" t="s">
        <v>12</v>
      </c>
      <c r="H1973" t="s">
        <v>11</v>
      </c>
      <c r="I1973" t="s">
        <v>12</v>
      </c>
      <c r="J1973" t="s">
        <v>11</v>
      </c>
      <c r="K1973" t="s">
        <v>12</v>
      </c>
      <c r="L1973" s="12" t="s">
        <v>105</v>
      </c>
      <c r="M1973" s="12" t="s">
        <v>199</v>
      </c>
      <c r="N1973" s="12" t="s">
        <v>214</v>
      </c>
      <c r="O1973" s="12" t="s">
        <v>92</v>
      </c>
      <c r="P1973" s="12" t="s">
        <v>56</v>
      </c>
      <c r="Q1973" s="7" t="str">
        <f t="shared" si="91"/>
        <v>(1994,50,'1994.12.17',50,53,64,68,71,0),</v>
      </c>
      <c r="R1973" s="7" t="str">
        <f t="shared" si="93"/>
        <v>(1994,50,'1994.12.17',50,53,64,68,71),</v>
      </c>
    </row>
    <row r="1974" spans="1:18" x14ac:dyDescent="0.25">
      <c r="A1974" s="7" t="s">
        <v>5845</v>
      </c>
      <c r="B1974" s="8" t="s">
        <v>122</v>
      </c>
      <c r="C1974" s="10">
        <f t="shared" si="92"/>
        <v>34692</v>
      </c>
      <c r="D1974" t="s">
        <v>11</v>
      </c>
      <c r="E1974" t="s">
        <v>12</v>
      </c>
      <c r="F1974" t="s">
        <v>11</v>
      </c>
      <c r="G1974" t="s">
        <v>12</v>
      </c>
      <c r="H1974" t="s">
        <v>11</v>
      </c>
      <c r="I1974" t="s">
        <v>12</v>
      </c>
      <c r="J1974" t="s">
        <v>11</v>
      </c>
      <c r="K1974" t="s">
        <v>12</v>
      </c>
      <c r="L1974" s="12" t="s">
        <v>83</v>
      </c>
      <c r="M1974" s="12" t="s">
        <v>32</v>
      </c>
      <c r="N1974" s="12" t="s">
        <v>239</v>
      </c>
      <c r="O1974" s="12" t="s">
        <v>106</v>
      </c>
      <c r="P1974" s="12" t="s">
        <v>143</v>
      </c>
      <c r="Q1974" s="7" t="str">
        <f t="shared" si="91"/>
        <v>(1994,51,'1994.12.24',11,22,73,75,77,0),</v>
      </c>
      <c r="R1974" s="7" t="str">
        <f t="shared" si="93"/>
        <v>(1994,51,'1994.12.24',11,22,73,75,77),</v>
      </c>
    </row>
    <row r="1975" spans="1:18" x14ac:dyDescent="0.25">
      <c r="A1975" s="7" t="s">
        <v>5845</v>
      </c>
      <c r="B1975" s="8" t="s">
        <v>99</v>
      </c>
      <c r="C1975" s="10">
        <f t="shared" si="92"/>
        <v>34699</v>
      </c>
      <c r="D1975" t="s">
        <v>11</v>
      </c>
      <c r="E1975" t="s">
        <v>12</v>
      </c>
      <c r="F1975" t="s">
        <v>11</v>
      </c>
      <c r="G1975" t="s">
        <v>12</v>
      </c>
      <c r="H1975" t="s">
        <v>11</v>
      </c>
      <c r="I1975" t="s">
        <v>12</v>
      </c>
      <c r="J1975" t="s">
        <v>11</v>
      </c>
      <c r="K1975" t="s">
        <v>12</v>
      </c>
      <c r="L1975" s="12" t="s">
        <v>71</v>
      </c>
      <c r="M1975" s="12" t="s">
        <v>25</v>
      </c>
      <c r="N1975" s="12" t="s">
        <v>45</v>
      </c>
      <c r="O1975" s="12" t="s">
        <v>245</v>
      </c>
      <c r="P1975" s="12" t="s">
        <v>186</v>
      </c>
      <c r="Q1975" s="7" t="str">
        <f t="shared" si="91"/>
        <v>(1994,52,'1994.12.31',31,34,43,74,90,0),</v>
      </c>
      <c r="R1975" s="7" t="str">
        <f t="shared" si="93"/>
        <v>(1994,52,'1994.12.31',31,34,43,74,90),</v>
      </c>
    </row>
    <row r="1976" spans="1:18" x14ac:dyDescent="0.25">
      <c r="A1976" s="7" t="s">
        <v>5844</v>
      </c>
      <c r="B1976" s="8" t="s">
        <v>108</v>
      </c>
      <c r="C1976" s="10">
        <f t="shared" si="92"/>
        <v>34706</v>
      </c>
      <c r="D1976" t="s">
        <v>11</v>
      </c>
      <c r="E1976" t="s">
        <v>12</v>
      </c>
      <c r="F1976" t="s">
        <v>11</v>
      </c>
      <c r="G1976" t="s">
        <v>12</v>
      </c>
      <c r="H1976" t="s">
        <v>11</v>
      </c>
      <c r="I1976" t="s">
        <v>12</v>
      </c>
      <c r="J1976" t="s">
        <v>11</v>
      </c>
      <c r="K1976" t="s">
        <v>12</v>
      </c>
      <c r="L1976" s="12" t="s">
        <v>270</v>
      </c>
      <c r="M1976" s="12" t="s">
        <v>83</v>
      </c>
      <c r="N1976" s="12" t="s">
        <v>116</v>
      </c>
      <c r="O1976" s="12" t="s">
        <v>64</v>
      </c>
      <c r="P1976" s="12" t="s">
        <v>215</v>
      </c>
      <c r="Q1976" s="7" t="str">
        <f t="shared" si="91"/>
        <v>(1995,1,'1995.01.07',6,11,29,35,81,0),</v>
      </c>
      <c r="R1976" s="7" t="str">
        <f t="shared" si="93"/>
        <v>(1995,1,'1995.01.07',6,11,29,35,81),</v>
      </c>
    </row>
    <row r="1977" spans="1:18" x14ac:dyDescent="0.25">
      <c r="A1977" s="7" t="s">
        <v>5844</v>
      </c>
      <c r="B1977" s="8" t="s">
        <v>207</v>
      </c>
      <c r="C1977" s="10">
        <f t="shared" si="92"/>
        <v>34713</v>
      </c>
      <c r="D1977" t="s">
        <v>11</v>
      </c>
      <c r="E1977" t="s">
        <v>12</v>
      </c>
      <c r="F1977" t="s">
        <v>11</v>
      </c>
      <c r="G1977" t="s">
        <v>12</v>
      </c>
      <c r="H1977" t="s">
        <v>11</v>
      </c>
      <c r="I1977" t="s">
        <v>12</v>
      </c>
      <c r="J1977" t="s">
        <v>11</v>
      </c>
      <c r="K1977" t="s">
        <v>12</v>
      </c>
      <c r="L1977" s="12" t="s">
        <v>83</v>
      </c>
      <c r="M1977" s="12" t="s">
        <v>135</v>
      </c>
      <c r="N1977" s="12" t="s">
        <v>150</v>
      </c>
      <c r="O1977" s="12" t="s">
        <v>92</v>
      </c>
      <c r="P1977" s="12" t="s">
        <v>63</v>
      </c>
      <c r="Q1977" s="7" t="str">
        <f t="shared" si="91"/>
        <v>(1995,2,'1995.01.14',11,27,57,68,78,0),</v>
      </c>
      <c r="R1977" s="7" t="str">
        <f t="shared" si="93"/>
        <v>(1995,2,'1995.01.14',11,27,57,68,78),</v>
      </c>
    </row>
    <row r="1978" spans="1:18" x14ac:dyDescent="0.25">
      <c r="A1978" s="7" t="s">
        <v>5844</v>
      </c>
      <c r="B1978" s="8" t="s">
        <v>42</v>
      </c>
      <c r="C1978" s="10">
        <f t="shared" si="92"/>
        <v>34720</v>
      </c>
      <c r="D1978" t="s">
        <v>11</v>
      </c>
      <c r="E1978" t="s">
        <v>12</v>
      </c>
      <c r="F1978" t="s">
        <v>11</v>
      </c>
      <c r="G1978" t="s">
        <v>12</v>
      </c>
      <c r="H1978" t="s">
        <v>11</v>
      </c>
      <c r="I1978" t="s">
        <v>12</v>
      </c>
      <c r="J1978" t="s">
        <v>11</v>
      </c>
      <c r="K1978" t="s">
        <v>12</v>
      </c>
      <c r="L1978" s="12" t="s">
        <v>31</v>
      </c>
      <c r="M1978" s="12" t="s">
        <v>126</v>
      </c>
      <c r="N1978" s="12" t="s">
        <v>64</v>
      </c>
      <c r="O1978" s="12" t="s">
        <v>13</v>
      </c>
      <c r="P1978" s="12" t="s">
        <v>175</v>
      </c>
      <c r="Q1978" s="7" t="str">
        <f t="shared" si="91"/>
        <v>(1995,3,'1995.01.21',12,28,35,41,55,0),</v>
      </c>
      <c r="R1978" s="7" t="str">
        <f t="shared" si="93"/>
        <v>(1995,3,'1995.01.21',12,28,35,41,55),</v>
      </c>
    </row>
    <row r="1979" spans="1:18" x14ac:dyDescent="0.25">
      <c r="A1979" s="7" t="s">
        <v>5844</v>
      </c>
      <c r="B1979" s="8" t="s">
        <v>168</v>
      </c>
      <c r="C1979" s="10">
        <f t="shared" si="92"/>
        <v>34727</v>
      </c>
      <c r="D1979" t="s">
        <v>11</v>
      </c>
      <c r="E1979" t="s">
        <v>12</v>
      </c>
      <c r="F1979" t="s">
        <v>11</v>
      </c>
      <c r="G1979" t="s">
        <v>12</v>
      </c>
      <c r="H1979" t="s">
        <v>11</v>
      </c>
      <c r="I1979" t="s">
        <v>12</v>
      </c>
      <c r="J1979" t="s">
        <v>11</v>
      </c>
      <c r="K1979" t="s">
        <v>12</v>
      </c>
      <c r="L1979" s="12" t="s">
        <v>107</v>
      </c>
      <c r="M1979" s="12" t="s">
        <v>98</v>
      </c>
      <c r="N1979" s="12" t="s">
        <v>248</v>
      </c>
      <c r="O1979" s="12" t="s">
        <v>214</v>
      </c>
      <c r="P1979" s="12" t="s">
        <v>63</v>
      </c>
      <c r="Q1979" s="7" t="str">
        <f t="shared" si="91"/>
        <v>(1995,4,'1995.01.28',30,42,63,64,78,0),</v>
      </c>
      <c r="R1979" s="7" t="str">
        <f t="shared" si="93"/>
        <v>(1995,4,'1995.01.28',30,42,63,64,78),</v>
      </c>
    </row>
    <row r="1980" spans="1:18" x14ac:dyDescent="0.25">
      <c r="A1980" s="7" t="s">
        <v>5844</v>
      </c>
      <c r="B1980" s="8" t="s">
        <v>89</v>
      </c>
      <c r="C1980" s="10">
        <f t="shared" si="92"/>
        <v>34734</v>
      </c>
      <c r="D1980" t="s">
        <v>11</v>
      </c>
      <c r="E1980" t="s">
        <v>12</v>
      </c>
      <c r="F1980" t="s">
        <v>11</v>
      </c>
      <c r="G1980" t="s">
        <v>12</v>
      </c>
      <c r="H1980" t="s">
        <v>11</v>
      </c>
      <c r="I1980" t="s">
        <v>12</v>
      </c>
      <c r="J1980" t="s">
        <v>11</v>
      </c>
      <c r="K1980" t="s">
        <v>12</v>
      </c>
      <c r="L1980" s="12" t="s">
        <v>135</v>
      </c>
      <c r="M1980" s="12" t="s">
        <v>116</v>
      </c>
      <c r="N1980" s="12" t="s">
        <v>34</v>
      </c>
      <c r="O1980" s="12" t="s">
        <v>201</v>
      </c>
      <c r="P1980" s="12" t="s">
        <v>143</v>
      </c>
      <c r="Q1980" s="7" t="str">
        <f t="shared" si="91"/>
        <v>(1995,5,'1995.02.04',27,29,49,72,77,0),</v>
      </c>
      <c r="R1980" s="7" t="str">
        <f t="shared" si="93"/>
        <v>(1995,5,'1995.02.04',27,29,49,72,77),</v>
      </c>
    </row>
    <row r="1981" spans="1:18" x14ac:dyDescent="0.25">
      <c r="A1981" s="7" t="s">
        <v>5844</v>
      </c>
      <c r="B1981" s="8" t="s">
        <v>270</v>
      </c>
      <c r="C1981" s="10">
        <f t="shared" si="92"/>
        <v>34741</v>
      </c>
      <c r="D1981" t="s">
        <v>11</v>
      </c>
      <c r="E1981" t="s">
        <v>12</v>
      </c>
      <c r="F1981" t="s">
        <v>11</v>
      </c>
      <c r="G1981" t="s">
        <v>12</v>
      </c>
      <c r="H1981" t="s">
        <v>11</v>
      </c>
      <c r="I1981" t="s">
        <v>12</v>
      </c>
      <c r="J1981" t="s">
        <v>11</v>
      </c>
      <c r="K1981" t="s">
        <v>12</v>
      </c>
      <c r="L1981" s="12" t="s">
        <v>81</v>
      </c>
      <c r="M1981" s="12" t="s">
        <v>134</v>
      </c>
      <c r="N1981" s="12" t="s">
        <v>124</v>
      </c>
      <c r="O1981" s="12" t="s">
        <v>72</v>
      </c>
      <c r="P1981" s="12" t="s">
        <v>200</v>
      </c>
      <c r="Q1981" s="7" t="str">
        <f t="shared" si="91"/>
        <v>(1995,6,'1995.02.11',47,56,62,67,70,0),</v>
      </c>
      <c r="R1981" s="7" t="str">
        <f t="shared" si="93"/>
        <v>(1995,6,'1995.02.11',47,56,62,67,70),</v>
      </c>
    </row>
    <row r="1982" spans="1:18" x14ac:dyDescent="0.25">
      <c r="A1982" s="7" t="s">
        <v>5844</v>
      </c>
      <c r="B1982" s="8" t="s">
        <v>53</v>
      </c>
      <c r="C1982" s="10">
        <f t="shared" si="92"/>
        <v>34748</v>
      </c>
      <c r="D1982" t="s">
        <v>11</v>
      </c>
      <c r="E1982" t="s">
        <v>12</v>
      </c>
      <c r="F1982" t="s">
        <v>11</v>
      </c>
      <c r="G1982" t="s">
        <v>12</v>
      </c>
      <c r="H1982" t="s">
        <v>11</v>
      </c>
      <c r="I1982" t="s">
        <v>12</v>
      </c>
      <c r="J1982" t="s">
        <v>11</v>
      </c>
      <c r="K1982" t="s">
        <v>12</v>
      </c>
      <c r="L1982" s="12" t="s">
        <v>89</v>
      </c>
      <c r="M1982" s="12" t="s">
        <v>55</v>
      </c>
      <c r="N1982" s="12" t="s">
        <v>34</v>
      </c>
      <c r="O1982" s="12" t="s">
        <v>468</v>
      </c>
      <c r="P1982" s="12" t="s">
        <v>186</v>
      </c>
      <c r="Q1982" s="7" t="str">
        <f t="shared" si="91"/>
        <v>(1995,7,'1995.02.18',5,19,49,85,90,0),</v>
      </c>
      <c r="R1982" s="7" t="str">
        <f t="shared" si="93"/>
        <v>(1995,7,'1995.02.18',5,19,49,85,90),</v>
      </c>
    </row>
    <row r="1983" spans="1:18" x14ac:dyDescent="0.25">
      <c r="A1983" s="7" t="s">
        <v>5844</v>
      </c>
      <c r="B1983" s="8" t="s">
        <v>232</v>
      </c>
      <c r="C1983" s="10">
        <f t="shared" si="92"/>
        <v>34755</v>
      </c>
      <c r="D1983" t="s">
        <v>11</v>
      </c>
      <c r="E1983" t="s">
        <v>12</v>
      </c>
      <c r="F1983" t="s">
        <v>11</v>
      </c>
      <c r="G1983" t="s">
        <v>12</v>
      </c>
      <c r="H1983" t="s">
        <v>11</v>
      </c>
      <c r="I1983" t="s">
        <v>12</v>
      </c>
      <c r="J1983" t="s">
        <v>11</v>
      </c>
      <c r="K1983" t="s">
        <v>12</v>
      </c>
      <c r="L1983" s="12" t="s">
        <v>89</v>
      </c>
      <c r="M1983" s="12" t="s">
        <v>62</v>
      </c>
      <c r="N1983" s="12" t="s">
        <v>133</v>
      </c>
      <c r="O1983" s="12" t="s">
        <v>56</v>
      </c>
      <c r="P1983" s="12" t="s">
        <v>73</v>
      </c>
      <c r="Q1983" s="7" t="str">
        <f t="shared" si="91"/>
        <v>(1995,8,'1995.02.25',5,10,45,71,76,0),</v>
      </c>
      <c r="R1983" s="7" t="str">
        <f t="shared" si="93"/>
        <v>(1995,8,'1995.02.25',5,10,45,71,76),</v>
      </c>
    </row>
    <row r="1984" spans="1:18" x14ac:dyDescent="0.25">
      <c r="A1984" s="7" t="s">
        <v>5844</v>
      </c>
      <c r="B1984" s="8" t="s">
        <v>198</v>
      </c>
      <c r="C1984" s="10">
        <f t="shared" si="92"/>
        <v>34762</v>
      </c>
      <c r="D1984" t="s">
        <v>11</v>
      </c>
      <c r="E1984" t="s">
        <v>12</v>
      </c>
      <c r="F1984" t="s">
        <v>11</v>
      </c>
      <c r="G1984" t="s">
        <v>12</v>
      </c>
      <c r="H1984" t="s">
        <v>11</v>
      </c>
      <c r="I1984" t="s">
        <v>12</v>
      </c>
      <c r="J1984" t="s">
        <v>11</v>
      </c>
      <c r="K1984" t="s">
        <v>12</v>
      </c>
      <c r="L1984" s="12" t="s">
        <v>89</v>
      </c>
      <c r="M1984" s="12" t="s">
        <v>152</v>
      </c>
      <c r="N1984" s="12" t="s">
        <v>64</v>
      </c>
      <c r="O1984" s="12" t="s">
        <v>24</v>
      </c>
      <c r="P1984" s="12" t="s">
        <v>99</v>
      </c>
      <c r="Q1984" s="7" t="str">
        <f t="shared" si="91"/>
        <v>(1995,9,'1995.03.04',5,25,35,39,52,0),</v>
      </c>
      <c r="R1984" s="7" t="str">
        <f t="shared" si="93"/>
        <v>(1995,9,'1995.03.04',5,25,35,39,52),</v>
      </c>
    </row>
    <row r="1985" spans="1:18" x14ac:dyDescent="0.25">
      <c r="A1985" s="7" t="s">
        <v>5844</v>
      </c>
      <c r="B1985" s="8" t="s">
        <v>62</v>
      </c>
      <c r="C1985" s="10">
        <f t="shared" si="92"/>
        <v>34769</v>
      </c>
      <c r="D1985" t="s">
        <v>11</v>
      </c>
      <c r="E1985" t="s">
        <v>12</v>
      </c>
      <c r="F1985" t="s">
        <v>11</v>
      </c>
      <c r="G1985" t="s">
        <v>12</v>
      </c>
      <c r="H1985" t="s">
        <v>11</v>
      </c>
      <c r="I1985" t="s">
        <v>12</v>
      </c>
      <c r="J1985" t="s">
        <v>11</v>
      </c>
      <c r="K1985" t="s">
        <v>12</v>
      </c>
      <c r="L1985" s="12" t="s">
        <v>62</v>
      </c>
      <c r="M1985" s="12" t="s">
        <v>115</v>
      </c>
      <c r="N1985" s="12" t="s">
        <v>10</v>
      </c>
      <c r="O1985" s="12" t="s">
        <v>123</v>
      </c>
      <c r="P1985" s="12" t="s">
        <v>468</v>
      </c>
      <c r="Q1985" s="7" t="str">
        <f t="shared" si="91"/>
        <v>(1995,10,'1995.03.11',10,20,40,54,85,0),</v>
      </c>
      <c r="R1985" s="7" t="str">
        <f t="shared" si="93"/>
        <v>(1995,10,'1995.03.11',10,20,40,54,85),</v>
      </c>
    </row>
    <row r="1986" spans="1:18" x14ac:dyDescent="0.25">
      <c r="A1986" s="7" t="s">
        <v>5844</v>
      </c>
      <c r="B1986" s="8" t="s">
        <v>83</v>
      </c>
      <c r="C1986" s="10">
        <f t="shared" si="92"/>
        <v>34776</v>
      </c>
      <c r="D1986" t="s">
        <v>11</v>
      </c>
      <c r="E1986" t="s">
        <v>12</v>
      </c>
      <c r="F1986" t="s">
        <v>11</v>
      </c>
      <c r="G1986" t="s">
        <v>12</v>
      </c>
      <c r="H1986" t="s">
        <v>11</v>
      </c>
      <c r="I1986" t="s">
        <v>12</v>
      </c>
      <c r="J1986" t="s">
        <v>11</v>
      </c>
      <c r="K1986" t="s">
        <v>12</v>
      </c>
      <c r="L1986" s="12" t="s">
        <v>53</v>
      </c>
      <c r="M1986" s="12" t="s">
        <v>83</v>
      </c>
      <c r="N1986" s="12" t="s">
        <v>20</v>
      </c>
      <c r="O1986" s="12" t="s">
        <v>63</v>
      </c>
      <c r="P1986" s="12" t="s">
        <v>215</v>
      </c>
      <c r="Q1986" s="7" t="str">
        <f t="shared" ref="Q1986:Q2049" si="94">"("&amp;A1986&amp;","&amp;B1986&amp;",'"&amp;TEXT(C1986,"éééé.hh.nn")&amp;"',"&amp;L1986&amp;","&amp;M1986&amp;","&amp;N1986&amp;","&amp;O1986&amp;","&amp;P1986&amp;",0)"&amp;IF(P1987&lt;&gt;0,",","")</f>
        <v>(1995,11,'1995.03.18',7,11,33,78,81,0),</v>
      </c>
      <c r="R1986" s="7" t="str">
        <f t="shared" si="93"/>
        <v>(1995,11,'1995.03.18',7,11,33,78,81),</v>
      </c>
    </row>
    <row r="1987" spans="1:18" x14ac:dyDescent="0.25">
      <c r="A1987" s="7" t="s">
        <v>5844</v>
      </c>
      <c r="B1987" s="8" t="s">
        <v>31</v>
      </c>
      <c r="C1987" s="10">
        <f t="shared" ref="C1987:C2050" si="95">+C1986+7</f>
        <v>34783</v>
      </c>
      <c r="D1987" t="s">
        <v>11</v>
      </c>
      <c r="E1987" t="s">
        <v>12</v>
      </c>
      <c r="F1987" t="s">
        <v>11</v>
      </c>
      <c r="G1987" t="s">
        <v>12</v>
      </c>
      <c r="H1987" t="s">
        <v>11</v>
      </c>
      <c r="I1987" t="s">
        <v>12</v>
      </c>
      <c r="J1987" t="s">
        <v>11</v>
      </c>
      <c r="K1987" t="s">
        <v>12</v>
      </c>
      <c r="L1987" s="12" t="s">
        <v>207</v>
      </c>
      <c r="M1987" s="12" t="s">
        <v>55</v>
      </c>
      <c r="N1987" s="12" t="s">
        <v>47</v>
      </c>
      <c r="O1987" s="12" t="s">
        <v>468</v>
      </c>
      <c r="P1987" s="12" t="s">
        <v>269</v>
      </c>
      <c r="Q1987" s="7" t="str">
        <f t="shared" si="94"/>
        <v>(1995,12,'1995.03.25',2,19,69,85,87,0),</v>
      </c>
      <c r="R1987" s="7" t="str">
        <f t="shared" ref="R1987:R2050" si="96">IF(TRIM(P1987)="","","("&amp;A1987&amp;","&amp;B1987&amp;",'"&amp;TEXT(C1987,"éééé.hh.nn")&amp;"',"&amp;L1987&amp;","&amp;M1987&amp;","&amp;N1987&amp;","&amp;O1987&amp;","&amp;P1987&amp;")"&amp;IF(P1988=0,";",","))</f>
        <v>(1995,12,'1995.03.25',2,19,69,85,87),</v>
      </c>
    </row>
    <row r="1988" spans="1:18" x14ac:dyDescent="0.25">
      <c r="A1988" s="7" t="s">
        <v>5844</v>
      </c>
      <c r="B1988" s="8" t="s">
        <v>65</v>
      </c>
      <c r="C1988" s="10">
        <f t="shared" si="95"/>
        <v>34790</v>
      </c>
      <c r="D1988" t="s">
        <v>11</v>
      </c>
      <c r="E1988" t="s">
        <v>12</v>
      </c>
      <c r="F1988" t="s">
        <v>11</v>
      </c>
      <c r="G1988" t="s">
        <v>12</v>
      </c>
      <c r="H1988" t="s">
        <v>11</v>
      </c>
      <c r="I1988" t="s">
        <v>12</v>
      </c>
      <c r="J1988" t="s">
        <v>11</v>
      </c>
      <c r="K1988" t="s">
        <v>12</v>
      </c>
      <c r="L1988" s="12" t="s">
        <v>43</v>
      </c>
      <c r="M1988" s="12" t="s">
        <v>105</v>
      </c>
      <c r="N1988" s="12" t="s">
        <v>233</v>
      </c>
      <c r="O1988" s="12" t="s">
        <v>239</v>
      </c>
      <c r="P1988" s="12" t="s">
        <v>245</v>
      </c>
      <c r="Q1988" s="7" t="str">
        <f t="shared" si="94"/>
        <v>(1995,13,'1995.04.01',16,50,66,73,74,0),</v>
      </c>
      <c r="R1988" s="7" t="str">
        <f t="shared" si="96"/>
        <v>(1995,13,'1995.04.01',16,50,66,73,74),</v>
      </c>
    </row>
    <row r="1989" spans="1:18" x14ac:dyDescent="0.25">
      <c r="A1989" s="7" t="s">
        <v>5844</v>
      </c>
      <c r="B1989" s="8" t="s">
        <v>127</v>
      </c>
      <c r="C1989" s="10">
        <f t="shared" si="95"/>
        <v>34797</v>
      </c>
      <c r="D1989" t="s">
        <v>11</v>
      </c>
      <c r="E1989" t="s">
        <v>12</v>
      </c>
      <c r="F1989" t="s">
        <v>11</v>
      </c>
      <c r="G1989" t="s">
        <v>12</v>
      </c>
      <c r="H1989" t="s">
        <v>11</v>
      </c>
      <c r="I1989" t="s">
        <v>12</v>
      </c>
      <c r="J1989" t="s">
        <v>11</v>
      </c>
      <c r="K1989" t="s">
        <v>12</v>
      </c>
      <c r="L1989" s="12" t="s">
        <v>198</v>
      </c>
      <c r="M1989" s="12" t="s">
        <v>135</v>
      </c>
      <c r="N1989" s="12" t="s">
        <v>20</v>
      </c>
      <c r="O1989" s="12" t="s">
        <v>10</v>
      </c>
      <c r="P1989" s="12" t="s">
        <v>105</v>
      </c>
      <c r="Q1989" s="7" t="str">
        <f t="shared" si="94"/>
        <v>(1995,14,'1995.04.08',9,27,33,40,50,0),</v>
      </c>
      <c r="R1989" s="7" t="str">
        <f t="shared" si="96"/>
        <v>(1995,14,'1995.04.08',9,27,33,40,50),</v>
      </c>
    </row>
    <row r="1990" spans="1:18" x14ac:dyDescent="0.25">
      <c r="A1990" s="7" t="s">
        <v>5844</v>
      </c>
      <c r="B1990" s="8" t="s">
        <v>54</v>
      </c>
      <c r="C1990" s="10">
        <f t="shared" si="95"/>
        <v>34804</v>
      </c>
      <c r="D1990" t="s">
        <v>11</v>
      </c>
      <c r="E1990" t="s">
        <v>12</v>
      </c>
      <c r="F1990" t="s">
        <v>11</v>
      </c>
      <c r="G1990" t="s">
        <v>12</v>
      </c>
      <c r="H1990" t="s">
        <v>11</v>
      </c>
      <c r="I1990" t="s">
        <v>12</v>
      </c>
      <c r="J1990" t="s">
        <v>11</v>
      </c>
      <c r="K1990" t="s">
        <v>12</v>
      </c>
      <c r="L1990" s="12" t="s">
        <v>24</v>
      </c>
      <c r="M1990" s="12" t="s">
        <v>175</v>
      </c>
      <c r="N1990" s="12" t="s">
        <v>169</v>
      </c>
      <c r="O1990" s="12" t="s">
        <v>56</v>
      </c>
      <c r="P1990" s="12" t="s">
        <v>245</v>
      </c>
      <c r="Q1990" s="7" t="str">
        <f t="shared" si="94"/>
        <v>(1995,15,'1995.04.15',39,55,58,71,74,0),</v>
      </c>
      <c r="R1990" s="7" t="str">
        <f t="shared" si="96"/>
        <v>(1995,15,'1995.04.15',39,55,58,71,74),</v>
      </c>
    </row>
    <row r="1991" spans="1:18" x14ac:dyDescent="0.25">
      <c r="A1991" s="7" t="s">
        <v>5844</v>
      </c>
      <c r="B1991" s="8" t="s">
        <v>43</v>
      </c>
      <c r="C1991" s="10">
        <f t="shared" si="95"/>
        <v>34811</v>
      </c>
      <c r="D1991" t="s">
        <v>11</v>
      </c>
      <c r="E1991" t="s">
        <v>12</v>
      </c>
      <c r="F1991" t="s">
        <v>11</v>
      </c>
      <c r="G1991" t="s">
        <v>12</v>
      </c>
      <c r="H1991" t="s">
        <v>11</v>
      </c>
      <c r="I1991" t="s">
        <v>12</v>
      </c>
      <c r="J1991" t="s">
        <v>11</v>
      </c>
      <c r="K1991" t="s">
        <v>12</v>
      </c>
      <c r="L1991" s="12" t="s">
        <v>108</v>
      </c>
      <c r="M1991" s="12" t="s">
        <v>168</v>
      </c>
      <c r="N1991" s="12" t="s">
        <v>20</v>
      </c>
      <c r="O1991" s="12" t="s">
        <v>72</v>
      </c>
      <c r="P1991" s="12" t="s">
        <v>106</v>
      </c>
      <c r="Q1991" s="7" t="str">
        <f t="shared" si="94"/>
        <v>(1995,16,'1995.04.22',1,4,33,67,75,0),</v>
      </c>
      <c r="R1991" s="7" t="str">
        <f t="shared" si="96"/>
        <v>(1995,16,'1995.04.22',1,4,33,67,75),</v>
      </c>
    </row>
    <row r="1992" spans="1:18" x14ac:dyDescent="0.25">
      <c r="A1992" s="7" t="s">
        <v>5844</v>
      </c>
      <c r="B1992" s="8" t="s">
        <v>90</v>
      </c>
      <c r="C1992" s="10">
        <f t="shared" si="95"/>
        <v>34818</v>
      </c>
      <c r="D1992" t="s">
        <v>11</v>
      </c>
      <c r="E1992" t="s">
        <v>12</v>
      </c>
      <c r="F1992" t="s">
        <v>11</v>
      </c>
      <c r="G1992" t="s">
        <v>12</v>
      </c>
      <c r="H1992" t="s">
        <v>11</v>
      </c>
      <c r="I1992" t="s">
        <v>12</v>
      </c>
      <c r="J1992" t="s">
        <v>11</v>
      </c>
      <c r="K1992" t="s">
        <v>12</v>
      </c>
      <c r="L1992" s="12" t="s">
        <v>115</v>
      </c>
      <c r="M1992" s="12" t="s">
        <v>64</v>
      </c>
      <c r="N1992" s="12" t="s">
        <v>22</v>
      </c>
      <c r="O1992" s="12" t="s">
        <v>233</v>
      </c>
      <c r="P1992" s="12" t="s">
        <v>301</v>
      </c>
      <c r="Q1992" s="7" t="str">
        <f t="shared" si="94"/>
        <v>(1995,17,'1995.04.29',20,35,48,66,80,0),</v>
      </c>
      <c r="R1992" s="7" t="str">
        <f t="shared" si="96"/>
        <v>(1995,17,'1995.04.29',20,35,48,66,80),</v>
      </c>
    </row>
    <row r="1993" spans="1:18" x14ac:dyDescent="0.25">
      <c r="A1993" s="7" t="s">
        <v>5844</v>
      </c>
      <c r="B1993" s="8" t="s">
        <v>19</v>
      </c>
      <c r="C1993" s="10">
        <f t="shared" si="95"/>
        <v>34825</v>
      </c>
      <c r="D1993" t="s">
        <v>11</v>
      </c>
      <c r="E1993" t="s">
        <v>12</v>
      </c>
      <c r="F1993" t="s">
        <v>11</v>
      </c>
      <c r="G1993" t="s">
        <v>12</v>
      </c>
      <c r="H1993" t="s">
        <v>11</v>
      </c>
      <c r="I1993" t="s">
        <v>12</v>
      </c>
      <c r="J1993" t="s">
        <v>11</v>
      </c>
      <c r="K1993" t="s">
        <v>12</v>
      </c>
      <c r="L1993" s="12" t="s">
        <v>127</v>
      </c>
      <c r="M1993" s="12" t="s">
        <v>116</v>
      </c>
      <c r="N1993" s="12" t="s">
        <v>10</v>
      </c>
      <c r="O1993" s="12" t="s">
        <v>175</v>
      </c>
      <c r="P1993" s="12" t="s">
        <v>73</v>
      </c>
      <c r="Q1993" s="7" t="str">
        <f t="shared" si="94"/>
        <v>(1995,18,'1995.05.06',14,29,40,55,76,0),</v>
      </c>
      <c r="R1993" s="7" t="str">
        <f t="shared" si="96"/>
        <v>(1995,18,'1995.05.06',14,29,40,55,76),</v>
      </c>
    </row>
    <row r="1994" spans="1:18" x14ac:dyDescent="0.25">
      <c r="A1994" s="7" t="s">
        <v>5844</v>
      </c>
      <c r="B1994" s="8" t="s">
        <v>55</v>
      </c>
      <c r="C1994" s="10">
        <f t="shared" si="95"/>
        <v>34832</v>
      </c>
      <c r="D1994" t="s">
        <v>11</v>
      </c>
      <c r="E1994" t="s">
        <v>12</v>
      </c>
      <c r="F1994" t="s">
        <v>11</v>
      </c>
      <c r="G1994" t="s">
        <v>12</v>
      </c>
      <c r="H1994" t="s">
        <v>11</v>
      </c>
      <c r="I1994" t="s">
        <v>12</v>
      </c>
      <c r="J1994" t="s">
        <v>11</v>
      </c>
      <c r="K1994" t="s">
        <v>12</v>
      </c>
      <c r="L1994" s="12" t="s">
        <v>43</v>
      </c>
      <c r="M1994" s="12" t="s">
        <v>133</v>
      </c>
      <c r="N1994" s="12" t="s">
        <v>122</v>
      </c>
      <c r="O1994" s="12" t="s">
        <v>99</v>
      </c>
      <c r="P1994" s="12" t="s">
        <v>186</v>
      </c>
      <c r="Q1994" s="7" t="str">
        <f t="shared" si="94"/>
        <v>(1995,19,'1995.05.13',16,45,51,52,90,0),</v>
      </c>
      <c r="R1994" s="7" t="str">
        <f t="shared" si="96"/>
        <v>(1995,19,'1995.05.13',16,45,51,52,90),</v>
      </c>
    </row>
    <row r="1995" spans="1:18" x14ac:dyDescent="0.25">
      <c r="A1995" s="7" t="s">
        <v>5844</v>
      </c>
      <c r="B1995" s="8" t="s">
        <v>115</v>
      </c>
      <c r="C1995" s="10">
        <f t="shared" si="95"/>
        <v>34839</v>
      </c>
      <c r="D1995" t="s">
        <v>11</v>
      </c>
      <c r="E1995" t="s">
        <v>12</v>
      </c>
      <c r="F1995" t="s">
        <v>11</v>
      </c>
      <c r="G1995" t="s">
        <v>12</v>
      </c>
      <c r="H1995" t="s">
        <v>11</v>
      </c>
      <c r="I1995" t="s">
        <v>12</v>
      </c>
      <c r="J1995" t="s">
        <v>11</v>
      </c>
      <c r="K1995" t="s">
        <v>12</v>
      </c>
      <c r="L1995" s="12" t="s">
        <v>270</v>
      </c>
      <c r="M1995" s="12" t="s">
        <v>54</v>
      </c>
      <c r="N1995" s="12" t="s">
        <v>163</v>
      </c>
      <c r="O1995" s="12" t="s">
        <v>47</v>
      </c>
      <c r="P1995" s="12" t="s">
        <v>186</v>
      </c>
      <c r="Q1995" s="7" t="str">
        <f t="shared" si="94"/>
        <v>(1995,20,'1995.05.20',6,15,23,69,90,0),</v>
      </c>
      <c r="R1995" s="7" t="str">
        <f t="shared" si="96"/>
        <v>(1995,20,'1995.05.20',6,15,23,69,90),</v>
      </c>
    </row>
    <row r="1996" spans="1:18" x14ac:dyDescent="0.25">
      <c r="A1996" s="7" t="s">
        <v>5844</v>
      </c>
      <c r="B1996" s="8" t="s">
        <v>44</v>
      </c>
      <c r="C1996" s="10">
        <f t="shared" si="95"/>
        <v>34846</v>
      </c>
      <c r="D1996" t="s">
        <v>11</v>
      </c>
      <c r="E1996" t="s">
        <v>12</v>
      </c>
      <c r="F1996" t="s">
        <v>11</v>
      </c>
      <c r="G1996" t="s">
        <v>12</v>
      </c>
      <c r="H1996" t="s">
        <v>11</v>
      </c>
      <c r="I1996" t="s">
        <v>12</v>
      </c>
      <c r="J1996" t="s">
        <v>11</v>
      </c>
      <c r="K1996" t="s">
        <v>12</v>
      </c>
      <c r="L1996" s="12" t="s">
        <v>42</v>
      </c>
      <c r="M1996" s="12" t="s">
        <v>31</v>
      </c>
      <c r="N1996" s="12" t="s">
        <v>32</v>
      </c>
      <c r="O1996" s="12" t="s">
        <v>116</v>
      </c>
      <c r="P1996" s="12" t="s">
        <v>21</v>
      </c>
      <c r="Q1996" s="7" t="str">
        <f t="shared" si="94"/>
        <v>(1995,21,'1995.05.27',3,12,22,29,36,0),</v>
      </c>
      <c r="R1996" s="7" t="str">
        <f t="shared" si="96"/>
        <v>(1995,21,'1995.05.27',3,12,22,29,36),</v>
      </c>
    </row>
    <row r="1997" spans="1:18" x14ac:dyDescent="0.25">
      <c r="A1997" s="7" t="s">
        <v>5844</v>
      </c>
      <c r="B1997" s="8" t="s">
        <v>32</v>
      </c>
      <c r="C1997" s="10">
        <f t="shared" si="95"/>
        <v>34853</v>
      </c>
      <c r="D1997" t="s">
        <v>11</v>
      </c>
      <c r="E1997" t="s">
        <v>12</v>
      </c>
      <c r="F1997" t="s">
        <v>11</v>
      </c>
      <c r="G1997" t="s">
        <v>12</v>
      </c>
      <c r="H1997" t="s">
        <v>11</v>
      </c>
      <c r="I1997" t="s">
        <v>12</v>
      </c>
      <c r="J1997" t="s">
        <v>11</v>
      </c>
      <c r="K1997" t="s">
        <v>12</v>
      </c>
      <c r="L1997" s="12" t="s">
        <v>163</v>
      </c>
      <c r="M1997" s="12" t="s">
        <v>133</v>
      </c>
      <c r="N1997" s="12" t="s">
        <v>124</v>
      </c>
      <c r="O1997" s="12" t="s">
        <v>245</v>
      </c>
      <c r="P1997" s="12" t="s">
        <v>308</v>
      </c>
      <c r="Q1997" s="7" t="str">
        <f t="shared" si="94"/>
        <v>(1995,22,'1995.06.03',23,45,62,74,86,0),</v>
      </c>
      <c r="R1997" s="7" t="str">
        <f t="shared" si="96"/>
        <v>(1995,22,'1995.06.03',23,45,62,74,86),</v>
      </c>
    </row>
    <row r="1998" spans="1:18" x14ac:dyDescent="0.25">
      <c r="A1998" s="7" t="s">
        <v>5844</v>
      </c>
      <c r="B1998" s="8" t="s">
        <v>163</v>
      </c>
      <c r="C1998" s="10">
        <f t="shared" si="95"/>
        <v>34860</v>
      </c>
      <c r="D1998" t="s">
        <v>11</v>
      </c>
      <c r="E1998" t="s">
        <v>12</v>
      </c>
      <c r="F1998" t="s">
        <v>11</v>
      </c>
      <c r="G1998" t="s">
        <v>12</v>
      </c>
      <c r="H1998" t="s">
        <v>11</v>
      </c>
      <c r="I1998" t="s">
        <v>12</v>
      </c>
      <c r="J1998" t="s">
        <v>11</v>
      </c>
      <c r="K1998" t="s">
        <v>12</v>
      </c>
      <c r="L1998" s="12" t="s">
        <v>32</v>
      </c>
      <c r="M1998" s="12" t="s">
        <v>99</v>
      </c>
      <c r="N1998" s="12" t="s">
        <v>35</v>
      </c>
      <c r="O1998" s="12" t="s">
        <v>233</v>
      </c>
      <c r="P1998" s="12" t="s">
        <v>73</v>
      </c>
      <c r="Q1998" s="7" t="str">
        <f t="shared" si="94"/>
        <v>(1995,23,'1995.06.10',22,52,65,66,76,0),</v>
      </c>
      <c r="R1998" s="7" t="str">
        <f t="shared" si="96"/>
        <v>(1995,23,'1995.06.10',22,52,65,66,76),</v>
      </c>
    </row>
    <row r="1999" spans="1:18" x14ac:dyDescent="0.25">
      <c r="A1999" s="7" t="s">
        <v>5844</v>
      </c>
      <c r="B1999" s="8" t="s">
        <v>33</v>
      </c>
      <c r="C1999" s="10">
        <f t="shared" si="95"/>
        <v>34867</v>
      </c>
      <c r="D1999" t="s">
        <v>11</v>
      </c>
      <c r="E1999" t="s">
        <v>12</v>
      </c>
      <c r="F1999" t="s">
        <v>11</v>
      </c>
      <c r="G1999" t="s">
        <v>12</v>
      </c>
      <c r="H1999" t="s">
        <v>11</v>
      </c>
      <c r="I1999" t="s">
        <v>12</v>
      </c>
      <c r="J1999" t="s">
        <v>11</v>
      </c>
      <c r="K1999" t="s">
        <v>12</v>
      </c>
      <c r="L1999" s="12" t="s">
        <v>98</v>
      </c>
      <c r="M1999" s="12" t="s">
        <v>99</v>
      </c>
      <c r="N1999" s="12" t="s">
        <v>124</v>
      </c>
      <c r="O1999" s="12" t="s">
        <v>125</v>
      </c>
      <c r="P1999" s="12" t="s">
        <v>186</v>
      </c>
      <c r="Q1999" s="7" t="str">
        <f t="shared" si="94"/>
        <v>(1995,24,'1995.06.17',42,52,62,83,90,0),</v>
      </c>
      <c r="R1999" s="7" t="str">
        <f t="shared" si="96"/>
        <v>(1995,24,'1995.06.17',42,52,62,83,90),</v>
      </c>
    </row>
    <row r="2000" spans="1:18" x14ac:dyDescent="0.25">
      <c r="A2000" s="7" t="s">
        <v>5844</v>
      </c>
      <c r="B2000" s="8" t="s">
        <v>152</v>
      </c>
      <c r="C2000" s="10">
        <f t="shared" si="95"/>
        <v>34874</v>
      </c>
      <c r="D2000" t="s">
        <v>11</v>
      </c>
      <c r="E2000" t="s">
        <v>12</v>
      </c>
      <c r="F2000" t="s">
        <v>11</v>
      </c>
      <c r="G2000" t="s">
        <v>12</v>
      </c>
      <c r="H2000" t="s">
        <v>11</v>
      </c>
      <c r="I2000" t="s">
        <v>12</v>
      </c>
      <c r="J2000" t="s">
        <v>11</v>
      </c>
      <c r="K2000" t="s">
        <v>12</v>
      </c>
      <c r="L2000" s="12" t="s">
        <v>53</v>
      </c>
      <c r="M2000" s="12" t="s">
        <v>127</v>
      </c>
      <c r="N2000" s="12" t="s">
        <v>135</v>
      </c>
      <c r="O2000" s="12" t="s">
        <v>133</v>
      </c>
      <c r="P2000" s="12" t="s">
        <v>122</v>
      </c>
      <c r="Q2000" s="7" t="str">
        <f t="shared" si="94"/>
        <v>(1995,25,'1995.06.24',7,14,27,45,51,0),</v>
      </c>
      <c r="R2000" s="7" t="str">
        <f t="shared" si="96"/>
        <v>(1995,25,'1995.06.24',7,14,27,45,51),</v>
      </c>
    </row>
    <row r="2001" spans="1:18" x14ac:dyDescent="0.25">
      <c r="A2001" s="7" t="s">
        <v>5844</v>
      </c>
      <c r="B2001" s="8" t="s">
        <v>74</v>
      </c>
      <c r="C2001" s="10">
        <f t="shared" si="95"/>
        <v>34881</v>
      </c>
      <c r="D2001" t="s">
        <v>11</v>
      </c>
      <c r="E2001" t="s">
        <v>12</v>
      </c>
      <c r="F2001" t="s">
        <v>11</v>
      </c>
      <c r="G2001" t="s">
        <v>12</v>
      </c>
      <c r="H2001" t="s">
        <v>11</v>
      </c>
      <c r="I2001" t="s">
        <v>12</v>
      </c>
      <c r="J2001" t="s">
        <v>11</v>
      </c>
      <c r="K2001" t="s">
        <v>12</v>
      </c>
      <c r="L2001" s="12" t="s">
        <v>163</v>
      </c>
      <c r="M2001" s="12" t="s">
        <v>126</v>
      </c>
      <c r="N2001" s="12" t="s">
        <v>142</v>
      </c>
      <c r="O2001" s="12" t="s">
        <v>175</v>
      </c>
      <c r="P2001" s="12" t="s">
        <v>73</v>
      </c>
      <c r="Q2001" s="7" t="str">
        <f t="shared" si="94"/>
        <v>(1995,26,'1995.07.01',23,28,44,55,76,0),</v>
      </c>
      <c r="R2001" s="7" t="str">
        <f t="shared" si="96"/>
        <v>(1995,26,'1995.07.01',23,28,44,55,76),</v>
      </c>
    </row>
    <row r="2002" spans="1:18" x14ac:dyDescent="0.25">
      <c r="A2002" s="7" t="s">
        <v>5844</v>
      </c>
      <c r="B2002" s="8" t="s">
        <v>135</v>
      </c>
      <c r="C2002" s="10">
        <f t="shared" si="95"/>
        <v>34888</v>
      </c>
      <c r="D2002" t="s">
        <v>11</v>
      </c>
      <c r="E2002" t="s">
        <v>12</v>
      </c>
      <c r="F2002" t="s">
        <v>11</v>
      </c>
      <c r="G2002" t="s">
        <v>12</v>
      </c>
      <c r="H2002" t="s">
        <v>11</v>
      </c>
      <c r="I2002" t="s">
        <v>12</v>
      </c>
      <c r="J2002" t="s">
        <v>11</v>
      </c>
      <c r="K2002" t="s">
        <v>12</v>
      </c>
      <c r="L2002" s="12" t="s">
        <v>207</v>
      </c>
      <c r="M2002" s="12" t="s">
        <v>90</v>
      </c>
      <c r="N2002" s="12" t="s">
        <v>126</v>
      </c>
      <c r="O2002" s="12" t="s">
        <v>143</v>
      </c>
      <c r="P2002" s="12" t="s">
        <v>151</v>
      </c>
      <c r="Q2002" s="7" t="str">
        <f t="shared" si="94"/>
        <v>(1995,27,'1995.07.08',2,17,28,77,79,0),</v>
      </c>
      <c r="R2002" s="7" t="str">
        <f t="shared" si="96"/>
        <v>(1995,27,'1995.07.08',2,17,28,77,79),</v>
      </c>
    </row>
    <row r="2003" spans="1:18" x14ac:dyDescent="0.25">
      <c r="A2003" s="7" t="s">
        <v>5844</v>
      </c>
      <c r="B2003" s="8" t="s">
        <v>126</v>
      </c>
      <c r="C2003" s="10">
        <f t="shared" si="95"/>
        <v>34895</v>
      </c>
      <c r="D2003" t="s">
        <v>11</v>
      </c>
      <c r="E2003" t="s">
        <v>12</v>
      </c>
      <c r="F2003" t="s">
        <v>11</v>
      </c>
      <c r="G2003" t="s">
        <v>12</v>
      </c>
      <c r="H2003" t="s">
        <v>11</v>
      </c>
      <c r="I2003" t="s">
        <v>12</v>
      </c>
      <c r="J2003" t="s">
        <v>11</v>
      </c>
      <c r="K2003" t="s">
        <v>12</v>
      </c>
      <c r="L2003" s="12" t="s">
        <v>135</v>
      </c>
      <c r="M2003" s="12" t="s">
        <v>99</v>
      </c>
      <c r="N2003" s="12" t="s">
        <v>199</v>
      </c>
      <c r="O2003" s="12" t="s">
        <v>150</v>
      </c>
      <c r="P2003" s="12" t="s">
        <v>124</v>
      </c>
      <c r="Q2003" s="7" t="str">
        <f t="shared" si="94"/>
        <v>(1995,28,'1995.07.15',27,52,53,57,62,0),</v>
      </c>
      <c r="R2003" s="7" t="str">
        <f t="shared" si="96"/>
        <v>(1995,28,'1995.07.15',27,52,53,57,62),</v>
      </c>
    </row>
    <row r="2004" spans="1:18" x14ac:dyDescent="0.25">
      <c r="A2004" s="7" t="s">
        <v>5844</v>
      </c>
      <c r="B2004" s="8" t="s">
        <v>116</v>
      </c>
      <c r="C2004" s="10">
        <f t="shared" si="95"/>
        <v>34902</v>
      </c>
      <c r="D2004" t="s">
        <v>11</v>
      </c>
      <c r="E2004" t="s">
        <v>12</v>
      </c>
      <c r="F2004" t="s">
        <v>11</v>
      </c>
      <c r="G2004" t="s">
        <v>12</v>
      </c>
      <c r="H2004" t="s">
        <v>11</v>
      </c>
      <c r="I2004" t="s">
        <v>12</v>
      </c>
      <c r="J2004" t="s">
        <v>11</v>
      </c>
      <c r="K2004" t="s">
        <v>12</v>
      </c>
      <c r="L2004" s="12" t="s">
        <v>53</v>
      </c>
      <c r="M2004" s="12" t="s">
        <v>80</v>
      </c>
      <c r="N2004" s="12" t="s">
        <v>248</v>
      </c>
      <c r="O2004" s="12" t="s">
        <v>143</v>
      </c>
      <c r="P2004" s="12" t="s">
        <v>215</v>
      </c>
      <c r="Q2004" s="7" t="str">
        <f t="shared" si="94"/>
        <v>(1995,29,'1995.07.22',7,32,63,77,81,0),</v>
      </c>
      <c r="R2004" s="7" t="str">
        <f t="shared" si="96"/>
        <v>(1995,29,'1995.07.22',7,32,63,77,81),</v>
      </c>
    </row>
    <row r="2005" spans="1:18" x14ac:dyDescent="0.25">
      <c r="A2005" s="7" t="s">
        <v>5844</v>
      </c>
      <c r="B2005" s="8" t="s">
        <v>107</v>
      </c>
      <c r="C2005" s="10">
        <f t="shared" si="95"/>
        <v>34909</v>
      </c>
      <c r="D2005" t="s">
        <v>11</v>
      </c>
      <c r="E2005" t="s">
        <v>12</v>
      </c>
      <c r="F2005" t="s">
        <v>11</v>
      </c>
      <c r="G2005" t="s">
        <v>12</v>
      </c>
      <c r="H2005" t="s">
        <v>11</v>
      </c>
      <c r="I2005" t="s">
        <v>12</v>
      </c>
      <c r="J2005" t="s">
        <v>11</v>
      </c>
      <c r="K2005" t="s">
        <v>12</v>
      </c>
      <c r="L2005" s="12" t="s">
        <v>270</v>
      </c>
      <c r="M2005" s="12" t="s">
        <v>115</v>
      </c>
      <c r="N2005" s="12" t="s">
        <v>10</v>
      </c>
      <c r="O2005" s="12" t="s">
        <v>192</v>
      </c>
      <c r="P2005" s="12" t="s">
        <v>81</v>
      </c>
      <c r="Q2005" s="7" t="str">
        <f t="shared" si="94"/>
        <v>(1995,30,'1995.07.29',6,20,40,46,47,0),</v>
      </c>
      <c r="R2005" s="7" t="str">
        <f t="shared" si="96"/>
        <v>(1995,30,'1995.07.29',6,20,40,46,47),</v>
      </c>
    </row>
    <row r="2006" spans="1:18" x14ac:dyDescent="0.25">
      <c r="A2006" s="7" t="s">
        <v>5844</v>
      </c>
      <c r="B2006" s="8" t="s">
        <v>71</v>
      </c>
      <c r="C2006" s="10">
        <f t="shared" si="95"/>
        <v>34916</v>
      </c>
      <c r="D2006" t="s">
        <v>11</v>
      </c>
      <c r="E2006" t="s">
        <v>12</v>
      </c>
      <c r="F2006" t="s">
        <v>11</v>
      </c>
      <c r="G2006" t="s">
        <v>12</v>
      </c>
      <c r="H2006" t="s">
        <v>11</v>
      </c>
      <c r="I2006" t="s">
        <v>12</v>
      </c>
      <c r="J2006" t="s">
        <v>11</v>
      </c>
      <c r="K2006" t="s">
        <v>12</v>
      </c>
      <c r="L2006" s="12" t="s">
        <v>54</v>
      </c>
      <c r="M2006" s="12" t="s">
        <v>71</v>
      </c>
      <c r="N2006" s="12" t="s">
        <v>24</v>
      </c>
      <c r="O2006" s="12" t="s">
        <v>122</v>
      </c>
      <c r="P2006" s="12" t="s">
        <v>239</v>
      </c>
      <c r="Q2006" s="7" t="str">
        <f t="shared" si="94"/>
        <v>(1995,31,'1995.08.05',15,31,39,51,73,0),</v>
      </c>
      <c r="R2006" s="7" t="str">
        <f t="shared" si="96"/>
        <v>(1995,31,'1995.08.05',15,31,39,51,73),</v>
      </c>
    </row>
    <row r="2007" spans="1:18" x14ac:dyDescent="0.25">
      <c r="A2007" s="7" t="s">
        <v>5844</v>
      </c>
      <c r="B2007" s="8" t="s">
        <v>80</v>
      </c>
      <c r="C2007" s="10">
        <f t="shared" si="95"/>
        <v>34923</v>
      </c>
      <c r="D2007" t="s">
        <v>11</v>
      </c>
      <c r="E2007" t="s">
        <v>12</v>
      </c>
      <c r="F2007" t="s">
        <v>11</v>
      </c>
      <c r="G2007" t="s">
        <v>12</v>
      </c>
      <c r="H2007" t="s">
        <v>11</v>
      </c>
      <c r="I2007" t="s">
        <v>12</v>
      </c>
      <c r="J2007" t="s">
        <v>11</v>
      </c>
      <c r="K2007" t="s">
        <v>12</v>
      </c>
      <c r="L2007" s="12" t="s">
        <v>232</v>
      </c>
      <c r="M2007" s="12" t="s">
        <v>46</v>
      </c>
      <c r="N2007" s="12" t="s">
        <v>142</v>
      </c>
      <c r="O2007" s="12" t="s">
        <v>122</v>
      </c>
      <c r="P2007" s="12" t="s">
        <v>301</v>
      </c>
      <c r="Q2007" s="7" t="str">
        <f t="shared" si="94"/>
        <v>(1995,32,'1995.08.12',8,37,44,51,80,0),</v>
      </c>
      <c r="R2007" s="7" t="str">
        <f t="shared" si="96"/>
        <v>(1995,32,'1995.08.12',8,37,44,51,80),</v>
      </c>
    </row>
    <row r="2008" spans="1:18" x14ac:dyDescent="0.25">
      <c r="A2008" s="7" t="s">
        <v>5844</v>
      </c>
      <c r="B2008" s="8" t="s">
        <v>20</v>
      </c>
      <c r="C2008" s="10">
        <f t="shared" si="95"/>
        <v>34930</v>
      </c>
      <c r="D2008" t="s">
        <v>11</v>
      </c>
      <c r="E2008" t="s">
        <v>12</v>
      </c>
      <c r="F2008" t="s">
        <v>11</v>
      </c>
      <c r="G2008" t="s">
        <v>12</v>
      </c>
      <c r="H2008" t="s">
        <v>11</v>
      </c>
      <c r="I2008" t="s">
        <v>12</v>
      </c>
      <c r="J2008" t="s">
        <v>11</v>
      </c>
      <c r="K2008" t="s">
        <v>12</v>
      </c>
      <c r="L2008" s="12" t="s">
        <v>135</v>
      </c>
      <c r="M2008" s="12" t="s">
        <v>25</v>
      </c>
      <c r="N2008" s="12" t="s">
        <v>34</v>
      </c>
      <c r="O2008" s="12" t="s">
        <v>248</v>
      </c>
      <c r="P2008" s="12" t="s">
        <v>92</v>
      </c>
      <c r="Q2008" s="7" t="str">
        <f t="shared" si="94"/>
        <v>(1995,33,'1995.08.19',27,34,49,63,68,0),</v>
      </c>
      <c r="R2008" s="7" t="str">
        <f t="shared" si="96"/>
        <v>(1995,33,'1995.08.19',27,34,49,63,68),</v>
      </c>
    </row>
    <row r="2009" spans="1:18" x14ac:dyDescent="0.25">
      <c r="A2009" s="7" t="s">
        <v>5844</v>
      </c>
      <c r="B2009" s="8" t="s">
        <v>25</v>
      </c>
      <c r="C2009" s="10">
        <f t="shared" si="95"/>
        <v>34937</v>
      </c>
      <c r="D2009" t="s">
        <v>11</v>
      </c>
      <c r="E2009" t="s">
        <v>12</v>
      </c>
      <c r="F2009" t="s">
        <v>11</v>
      </c>
      <c r="G2009" t="s">
        <v>12</v>
      </c>
      <c r="H2009" t="s">
        <v>11</v>
      </c>
      <c r="I2009" t="s">
        <v>12</v>
      </c>
      <c r="J2009" t="s">
        <v>11</v>
      </c>
      <c r="K2009" t="s">
        <v>12</v>
      </c>
      <c r="L2009" s="12" t="s">
        <v>89</v>
      </c>
      <c r="M2009" s="12" t="s">
        <v>83</v>
      </c>
      <c r="N2009" s="12" t="s">
        <v>142</v>
      </c>
      <c r="O2009" s="12" t="s">
        <v>134</v>
      </c>
      <c r="P2009" s="12" t="s">
        <v>151</v>
      </c>
      <c r="Q2009" s="7" t="str">
        <f t="shared" si="94"/>
        <v>(1995,34,'1995.08.26',5,11,44,56,79,0),</v>
      </c>
      <c r="R2009" s="7" t="str">
        <f t="shared" si="96"/>
        <v>(1995,34,'1995.08.26',5,11,44,56,79),</v>
      </c>
    </row>
    <row r="2010" spans="1:18" x14ac:dyDescent="0.25">
      <c r="A2010" s="7" t="s">
        <v>5844</v>
      </c>
      <c r="B2010" s="8" t="s">
        <v>64</v>
      </c>
      <c r="C2010" s="10">
        <f t="shared" si="95"/>
        <v>34944</v>
      </c>
      <c r="D2010" t="s">
        <v>11</v>
      </c>
      <c r="E2010" t="s">
        <v>12</v>
      </c>
      <c r="F2010" t="s">
        <v>11</v>
      </c>
      <c r="G2010" t="s">
        <v>12</v>
      </c>
      <c r="H2010" t="s">
        <v>11</v>
      </c>
      <c r="I2010" t="s">
        <v>12</v>
      </c>
      <c r="J2010" t="s">
        <v>11</v>
      </c>
      <c r="K2010" t="s">
        <v>12</v>
      </c>
      <c r="L2010" s="12" t="s">
        <v>232</v>
      </c>
      <c r="M2010" s="12" t="s">
        <v>65</v>
      </c>
      <c r="N2010" s="12" t="s">
        <v>98</v>
      </c>
      <c r="O2010" s="12" t="s">
        <v>200</v>
      </c>
      <c r="P2010" s="12" t="s">
        <v>301</v>
      </c>
      <c r="Q2010" s="7" t="str">
        <f t="shared" si="94"/>
        <v>(1995,35,'1995.09.02',8,13,42,70,80,0),</v>
      </c>
      <c r="R2010" s="7" t="str">
        <f t="shared" si="96"/>
        <v>(1995,35,'1995.09.02',8,13,42,70,80),</v>
      </c>
    </row>
    <row r="2011" spans="1:18" x14ac:dyDescent="0.25">
      <c r="A2011" s="7" t="s">
        <v>5844</v>
      </c>
      <c r="B2011" s="8" t="s">
        <v>21</v>
      </c>
      <c r="C2011" s="10">
        <f t="shared" si="95"/>
        <v>34951</v>
      </c>
      <c r="D2011" t="s">
        <v>11</v>
      </c>
      <c r="E2011" t="s">
        <v>12</v>
      </c>
      <c r="F2011" t="s">
        <v>11</v>
      </c>
      <c r="G2011" t="s">
        <v>12</v>
      </c>
      <c r="H2011" t="s">
        <v>11</v>
      </c>
      <c r="I2011" t="s">
        <v>12</v>
      </c>
      <c r="J2011" t="s">
        <v>11</v>
      </c>
      <c r="K2011" t="s">
        <v>12</v>
      </c>
      <c r="L2011" s="12" t="s">
        <v>65</v>
      </c>
      <c r="M2011" s="12" t="s">
        <v>122</v>
      </c>
      <c r="N2011" s="12" t="s">
        <v>47</v>
      </c>
      <c r="O2011" s="12" t="s">
        <v>56</v>
      </c>
      <c r="P2011" s="12" t="s">
        <v>201</v>
      </c>
      <c r="Q2011" s="7" t="str">
        <f t="shared" si="94"/>
        <v>(1995,36,'1995.09.09',13,51,69,71,72,0),</v>
      </c>
      <c r="R2011" s="7" t="str">
        <f t="shared" si="96"/>
        <v>(1995,36,'1995.09.09',13,51,69,71,72),</v>
      </c>
    </row>
    <row r="2012" spans="1:18" x14ac:dyDescent="0.25">
      <c r="A2012" s="7" t="s">
        <v>5844</v>
      </c>
      <c r="B2012" s="8" t="s">
        <v>46</v>
      </c>
      <c r="C2012" s="10">
        <f t="shared" si="95"/>
        <v>34958</v>
      </c>
      <c r="D2012" t="s">
        <v>11</v>
      </c>
      <c r="E2012" t="s">
        <v>12</v>
      </c>
      <c r="F2012" t="s">
        <v>11</v>
      </c>
      <c r="G2012" t="s">
        <v>12</v>
      </c>
      <c r="H2012" t="s">
        <v>11</v>
      </c>
      <c r="I2012" t="s">
        <v>12</v>
      </c>
      <c r="J2012" t="s">
        <v>11</v>
      </c>
      <c r="K2012" t="s">
        <v>12</v>
      </c>
      <c r="L2012" s="12" t="s">
        <v>33</v>
      </c>
      <c r="M2012" s="12" t="s">
        <v>152</v>
      </c>
      <c r="N2012" s="12" t="s">
        <v>20</v>
      </c>
      <c r="O2012" s="12" t="s">
        <v>105</v>
      </c>
      <c r="P2012" s="12" t="s">
        <v>91</v>
      </c>
      <c r="Q2012" s="7" t="str">
        <f t="shared" si="94"/>
        <v>(1995,37,'1995.09.16',24,25,33,50,61,0),</v>
      </c>
      <c r="R2012" s="7" t="str">
        <f t="shared" si="96"/>
        <v>(1995,37,'1995.09.16',24,25,33,50,61),</v>
      </c>
    </row>
    <row r="2013" spans="1:18" x14ac:dyDescent="0.25">
      <c r="A2013" s="7" t="s">
        <v>5844</v>
      </c>
      <c r="B2013" s="8" t="s">
        <v>36</v>
      </c>
      <c r="C2013" s="10">
        <f t="shared" si="95"/>
        <v>34965</v>
      </c>
      <c r="D2013" t="s">
        <v>11</v>
      </c>
      <c r="E2013" t="s">
        <v>12</v>
      </c>
      <c r="F2013" t="s">
        <v>11</v>
      </c>
      <c r="G2013" t="s">
        <v>12</v>
      </c>
      <c r="H2013" t="s">
        <v>11</v>
      </c>
      <c r="I2013" t="s">
        <v>12</v>
      </c>
      <c r="J2013" t="s">
        <v>11</v>
      </c>
      <c r="K2013" t="s">
        <v>12</v>
      </c>
      <c r="L2013" s="12" t="s">
        <v>33</v>
      </c>
      <c r="M2013" s="12" t="s">
        <v>22</v>
      </c>
      <c r="N2013" s="12" t="s">
        <v>23</v>
      </c>
      <c r="O2013" s="12" t="s">
        <v>233</v>
      </c>
      <c r="P2013" s="12" t="s">
        <v>468</v>
      </c>
      <c r="Q2013" s="7" t="str">
        <f t="shared" si="94"/>
        <v>(1995,38,'1995.09.23',24,48,60,66,85,0),</v>
      </c>
      <c r="R2013" s="7" t="str">
        <f t="shared" si="96"/>
        <v>(1995,38,'1995.09.23',24,48,60,66,85),</v>
      </c>
    </row>
    <row r="2014" spans="1:18" x14ac:dyDescent="0.25">
      <c r="A2014" s="7" t="s">
        <v>5844</v>
      </c>
      <c r="B2014" s="8" t="s">
        <v>24</v>
      </c>
      <c r="C2014" s="10">
        <f t="shared" si="95"/>
        <v>34972</v>
      </c>
      <c r="D2014" t="s">
        <v>11</v>
      </c>
      <c r="E2014" t="s">
        <v>12</v>
      </c>
      <c r="F2014" t="s">
        <v>11</v>
      </c>
      <c r="G2014" t="s">
        <v>12</v>
      </c>
      <c r="H2014" t="s">
        <v>11</v>
      </c>
      <c r="I2014" t="s">
        <v>12</v>
      </c>
      <c r="J2014" t="s">
        <v>11</v>
      </c>
      <c r="K2014" t="s">
        <v>12</v>
      </c>
      <c r="L2014" s="12" t="s">
        <v>43</v>
      </c>
      <c r="M2014" s="12" t="s">
        <v>74</v>
      </c>
      <c r="N2014" s="12" t="s">
        <v>20</v>
      </c>
      <c r="O2014" s="12" t="s">
        <v>233</v>
      </c>
      <c r="P2014" s="12" t="s">
        <v>201</v>
      </c>
      <c r="Q2014" s="7" t="str">
        <f t="shared" si="94"/>
        <v>(1995,39,'1995.09.30',16,26,33,66,72,0),</v>
      </c>
      <c r="R2014" s="7" t="str">
        <f t="shared" si="96"/>
        <v>(1995,39,'1995.09.30',16,26,33,66,72),</v>
      </c>
    </row>
    <row r="2015" spans="1:18" x14ac:dyDescent="0.25">
      <c r="A2015" s="7" t="s">
        <v>5844</v>
      </c>
      <c r="B2015" s="8" t="s">
        <v>10</v>
      </c>
      <c r="C2015" s="10">
        <f t="shared" si="95"/>
        <v>34979</v>
      </c>
      <c r="D2015" t="s">
        <v>11</v>
      </c>
      <c r="E2015" t="s">
        <v>12</v>
      </c>
      <c r="F2015" t="s">
        <v>11</v>
      </c>
      <c r="G2015" t="s">
        <v>12</v>
      </c>
      <c r="H2015" t="s">
        <v>11</v>
      </c>
      <c r="I2015" t="s">
        <v>12</v>
      </c>
      <c r="J2015" t="s">
        <v>11</v>
      </c>
      <c r="K2015" t="s">
        <v>12</v>
      </c>
      <c r="L2015" s="12" t="s">
        <v>135</v>
      </c>
      <c r="M2015" s="12" t="s">
        <v>20</v>
      </c>
      <c r="N2015" s="12" t="s">
        <v>99</v>
      </c>
      <c r="O2015" s="12" t="s">
        <v>201</v>
      </c>
      <c r="P2015" s="12" t="s">
        <v>239</v>
      </c>
      <c r="Q2015" s="7" t="str">
        <f t="shared" si="94"/>
        <v>(1995,40,'1995.10.07',27,33,52,72,73,0),</v>
      </c>
      <c r="R2015" s="7" t="str">
        <f t="shared" si="96"/>
        <v>(1995,40,'1995.10.07',27,33,52,72,73),</v>
      </c>
    </row>
    <row r="2016" spans="1:18" x14ac:dyDescent="0.25">
      <c r="A2016" s="7" t="s">
        <v>5844</v>
      </c>
      <c r="B2016" s="8" t="s">
        <v>13</v>
      </c>
      <c r="C2016" s="10">
        <f t="shared" si="95"/>
        <v>34986</v>
      </c>
      <c r="D2016" t="s">
        <v>11</v>
      </c>
      <c r="E2016" t="s">
        <v>12</v>
      </c>
      <c r="F2016" t="s">
        <v>11</v>
      </c>
      <c r="G2016" t="s">
        <v>12</v>
      </c>
      <c r="H2016" t="s">
        <v>11</v>
      </c>
      <c r="I2016" t="s">
        <v>12</v>
      </c>
      <c r="J2016" t="s">
        <v>11</v>
      </c>
      <c r="K2016" t="s">
        <v>12</v>
      </c>
      <c r="L2016" s="12" t="s">
        <v>31</v>
      </c>
      <c r="M2016" s="12" t="s">
        <v>150</v>
      </c>
      <c r="N2016" s="12" t="s">
        <v>151</v>
      </c>
      <c r="O2016" s="12" t="s">
        <v>622</v>
      </c>
      <c r="P2016" s="12" t="s">
        <v>125</v>
      </c>
      <c r="Q2016" s="7" t="str">
        <f t="shared" si="94"/>
        <v>(1995,41,'1995.10.14',12,57,79,82,83,0),</v>
      </c>
      <c r="R2016" s="7" t="str">
        <f t="shared" si="96"/>
        <v>(1995,41,'1995.10.14',12,57,79,82,83),</v>
      </c>
    </row>
    <row r="2017" spans="1:18" x14ac:dyDescent="0.25">
      <c r="A2017" s="7" t="s">
        <v>5844</v>
      </c>
      <c r="B2017" s="8" t="s">
        <v>98</v>
      </c>
      <c r="C2017" s="10">
        <f t="shared" si="95"/>
        <v>34993</v>
      </c>
      <c r="D2017" t="s">
        <v>11</v>
      </c>
      <c r="E2017" t="s">
        <v>12</v>
      </c>
      <c r="F2017" t="s">
        <v>11</v>
      </c>
      <c r="G2017" t="s">
        <v>12</v>
      </c>
      <c r="H2017" t="s">
        <v>11</v>
      </c>
      <c r="I2017" t="s">
        <v>12</v>
      </c>
      <c r="J2017" t="s">
        <v>11</v>
      </c>
      <c r="K2017" t="s">
        <v>12</v>
      </c>
      <c r="L2017" s="12" t="s">
        <v>90</v>
      </c>
      <c r="M2017" s="12" t="s">
        <v>47</v>
      </c>
      <c r="N2017" s="12" t="s">
        <v>106</v>
      </c>
      <c r="O2017" s="12" t="s">
        <v>301</v>
      </c>
      <c r="P2017" s="12" t="s">
        <v>379</v>
      </c>
      <c r="Q2017" s="7" t="str">
        <f t="shared" si="94"/>
        <v>(1995,42,'1995.10.21',17,69,75,80,89,0),</v>
      </c>
      <c r="R2017" s="7" t="str">
        <f t="shared" si="96"/>
        <v>(1995,42,'1995.10.21',17,69,75,80,89),</v>
      </c>
    </row>
    <row r="2018" spans="1:18" x14ac:dyDescent="0.25">
      <c r="A2018" s="7" t="s">
        <v>5844</v>
      </c>
      <c r="B2018" s="8" t="s">
        <v>45</v>
      </c>
      <c r="C2018" s="10">
        <f t="shared" si="95"/>
        <v>35000</v>
      </c>
      <c r="D2018" t="s">
        <v>11</v>
      </c>
      <c r="E2018" t="s">
        <v>12</v>
      </c>
      <c r="F2018" t="s">
        <v>11</v>
      </c>
      <c r="G2018" t="s">
        <v>12</v>
      </c>
      <c r="H2018" t="s">
        <v>11</v>
      </c>
      <c r="I2018" t="s">
        <v>12</v>
      </c>
      <c r="J2018" t="s">
        <v>11</v>
      </c>
      <c r="K2018" t="s">
        <v>12</v>
      </c>
      <c r="L2018" s="12" t="s">
        <v>270</v>
      </c>
      <c r="M2018" s="12" t="s">
        <v>43</v>
      </c>
      <c r="N2018" s="12" t="s">
        <v>74</v>
      </c>
      <c r="O2018" s="12" t="s">
        <v>98</v>
      </c>
      <c r="P2018" s="12" t="s">
        <v>245</v>
      </c>
      <c r="Q2018" s="7" t="str">
        <f t="shared" si="94"/>
        <v>(1995,43,'1995.10.28',6,16,26,42,74,0),</v>
      </c>
      <c r="R2018" s="7" t="str">
        <f t="shared" si="96"/>
        <v>(1995,43,'1995.10.28',6,16,26,42,74),</v>
      </c>
    </row>
    <row r="2019" spans="1:18" x14ac:dyDescent="0.25">
      <c r="A2019" s="7" t="s">
        <v>5844</v>
      </c>
      <c r="B2019" s="8" t="s">
        <v>142</v>
      </c>
      <c r="C2019" s="10">
        <f t="shared" si="95"/>
        <v>35007</v>
      </c>
      <c r="D2019" t="s">
        <v>11</v>
      </c>
      <c r="E2019" t="s">
        <v>12</v>
      </c>
      <c r="F2019" t="s">
        <v>11</v>
      </c>
      <c r="G2019" t="s">
        <v>12</v>
      </c>
      <c r="H2019" t="s">
        <v>11</v>
      </c>
      <c r="I2019" t="s">
        <v>12</v>
      </c>
      <c r="J2019" t="s">
        <v>11</v>
      </c>
      <c r="K2019" t="s">
        <v>12</v>
      </c>
      <c r="L2019" s="12" t="s">
        <v>32</v>
      </c>
      <c r="M2019" s="12" t="s">
        <v>163</v>
      </c>
      <c r="N2019" s="12" t="s">
        <v>123</v>
      </c>
      <c r="O2019" s="12" t="s">
        <v>124</v>
      </c>
      <c r="P2019" s="12" t="s">
        <v>92</v>
      </c>
      <c r="Q2019" s="7" t="str">
        <f t="shared" si="94"/>
        <v>(1995,44,'1995.11.04',22,23,54,62,68,0),</v>
      </c>
      <c r="R2019" s="7" t="str">
        <f t="shared" si="96"/>
        <v>(1995,44,'1995.11.04',22,23,54,62,68),</v>
      </c>
    </row>
    <row r="2020" spans="1:18" x14ac:dyDescent="0.25">
      <c r="A2020" s="7" t="s">
        <v>5844</v>
      </c>
      <c r="B2020" s="8" t="s">
        <v>133</v>
      </c>
      <c r="C2020" s="10">
        <f t="shared" si="95"/>
        <v>35014</v>
      </c>
      <c r="D2020" t="s">
        <v>11</v>
      </c>
      <c r="E2020" t="s">
        <v>12</v>
      </c>
      <c r="F2020" t="s">
        <v>11</v>
      </c>
      <c r="G2020" t="s">
        <v>12</v>
      </c>
      <c r="H2020" t="s">
        <v>11</v>
      </c>
      <c r="I2020" t="s">
        <v>12</v>
      </c>
      <c r="J2020" t="s">
        <v>11</v>
      </c>
      <c r="K2020" t="s">
        <v>12</v>
      </c>
      <c r="L2020" s="12" t="s">
        <v>108</v>
      </c>
      <c r="M2020" s="12" t="s">
        <v>42</v>
      </c>
      <c r="N2020" s="12" t="s">
        <v>44</v>
      </c>
      <c r="O2020" s="12" t="s">
        <v>45</v>
      </c>
      <c r="P2020" s="12" t="s">
        <v>99</v>
      </c>
      <c r="Q2020" s="7" t="str">
        <f t="shared" si="94"/>
        <v>(1995,45,'1995.11.11',1,3,21,43,52,0),</v>
      </c>
      <c r="R2020" s="7" t="str">
        <f t="shared" si="96"/>
        <v>(1995,45,'1995.11.11',1,3,21,43,52),</v>
      </c>
    </row>
    <row r="2021" spans="1:18" x14ac:dyDescent="0.25">
      <c r="A2021" s="7" t="s">
        <v>5844</v>
      </c>
      <c r="B2021" s="8" t="s">
        <v>192</v>
      </c>
      <c r="C2021" s="10">
        <f t="shared" si="95"/>
        <v>35021</v>
      </c>
      <c r="D2021" t="s">
        <v>11</v>
      </c>
      <c r="E2021" t="s">
        <v>12</v>
      </c>
      <c r="F2021" t="s">
        <v>11</v>
      </c>
      <c r="G2021" t="s">
        <v>12</v>
      </c>
      <c r="H2021" t="s">
        <v>11</v>
      </c>
      <c r="I2021" t="s">
        <v>12</v>
      </c>
      <c r="J2021" t="s">
        <v>11</v>
      </c>
      <c r="K2021" t="s">
        <v>12</v>
      </c>
      <c r="L2021" s="12" t="s">
        <v>232</v>
      </c>
      <c r="M2021" s="12" t="s">
        <v>45</v>
      </c>
      <c r="N2021" s="12" t="s">
        <v>63</v>
      </c>
      <c r="O2021" s="12" t="s">
        <v>269</v>
      </c>
      <c r="P2021" s="12" t="s">
        <v>186</v>
      </c>
      <c r="Q2021" s="7" t="str">
        <f t="shared" si="94"/>
        <v>(1995,46,'1995.11.18',8,43,78,87,90,0),</v>
      </c>
      <c r="R2021" s="7" t="str">
        <f t="shared" si="96"/>
        <v>(1995,46,'1995.11.18',8,43,78,87,90),</v>
      </c>
    </row>
    <row r="2022" spans="1:18" x14ac:dyDescent="0.25">
      <c r="A2022" s="7" t="s">
        <v>5844</v>
      </c>
      <c r="B2022" s="8" t="s">
        <v>81</v>
      </c>
      <c r="C2022" s="10">
        <f t="shared" si="95"/>
        <v>35028</v>
      </c>
      <c r="D2022" t="s">
        <v>11</v>
      </c>
      <c r="E2022" t="s">
        <v>12</v>
      </c>
      <c r="F2022" t="s">
        <v>11</v>
      </c>
      <c r="G2022" t="s">
        <v>12</v>
      </c>
      <c r="H2022" t="s">
        <v>11</v>
      </c>
      <c r="I2022" t="s">
        <v>12</v>
      </c>
      <c r="J2022" t="s">
        <v>11</v>
      </c>
      <c r="K2022" t="s">
        <v>12</v>
      </c>
      <c r="L2022" s="12" t="s">
        <v>55</v>
      </c>
      <c r="M2022" s="12" t="s">
        <v>163</v>
      </c>
      <c r="N2022" s="12" t="s">
        <v>81</v>
      </c>
      <c r="O2022" s="12" t="s">
        <v>201</v>
      </c>
      <c r="P2022" s="12" t="s">
        <v>151</v>
      </c>
      <c r="Q2022" s="7" t="str">
        <f t="shared" si="94"/>
        <v>(1995,47,'1995.11.25',19,23,47,72,79,0),</v>
      </c>
      <c r="R2022" s="7" t="str">
        <f t="shared" si="96"/>
        <v>(1995,47,'1995.11.25',19,23,47,72,79),</v>
      </c>
    </row>
    <row r="2023" spans="1:18" x14ac:dyDescent="0.25">
      <c r="A2023" s="7" t="s">
        <v>5844</v>
      </c>
      <c r="B2023" s="8" t="s">
        <v>22</v>
      </c>
      <c r="C2023" s="10">
        <f t="shared" si="95"/>
        <v>35035</v>
      </c>
      <c r="D2023" t="s">
        <v>11</v>
      </c>
      <c r="E2023" t="s">
        <v>12</v>
      </c>
      <c r="F2023" t="s">
        <v>11</v>
      </c>
      <c r="G2023" t="s">
        <v>12</v>
      </c>
      <c r="H2023" t="s">
        <v>11</v>
      </c>
      <c r="I2023" t="s">
        <v>12</v>
      </c>
      <c r="J2023" t="s">
        <v>11</v>
      </c>
      <c r="K2023" t="s">
        <v>12</v>
      </c>
      <c r="L2023" s="12" t="s">
        <v>192</v>
      </c>
      <c r="M2023" s="12" t="s">
        <v>214</v>
      </c>
      <c r="N2023" s="12" t="s">
        <v>35</v>
      </c>
      <c r="O2023" s="12" t="s">
        <v>143</v>
      </c>
      <c r="P2023" s="12" t="s">
        <v>215</v>
      </c>
      <c r="Q2023" s="7" t="str">
        <f t="shared" si="94"/>
        <v>(1995,48,'1995.12.02',46,64,65,77,81,0),</v>
      </c>
      <c r="R2023" s="7" t="str">
        <f t="shared" si="96"/>
        <v>(1995,48,'1995.12.02',46,64,65,77,81),</v>
      </c>
    </row>
    <row r="2024" spans="1:18" x14ac:dyDescent="0.25">
      <c r="A2024" s="7" t="s">
        <v>5844</v>
      </c>
      <c r="B2024" s="8" t="s">
        <v>34</v>
      </c>
      <c r="C2024" s="10">
        <f t="shared" si="95"/>
        <v>35042</v>
      </c>
      <c r="D2024" t="s">
        <v>11</v>
      </c>
      <c r="E2024" t="s">
        <v>12</v>
      </c>
      <c r="F2024" t="s">
        <v>11</v>
      </c>
      <c r="G2024" t="s">
        <v>12</v>
      </c>
      <c r="H2024" t="s">
        <v>11</v>
      </c>
      <c r="I2024" t="s">
        <v>12</v>
      </c>
      <c r="J2024" t="s">
        <v>11</v>
      </c>
      <c r="K2024" t="s">
        <v>12</v>
      </c>
      <c r="L2024" s="12" t="s">
        <v>108</v>
      </c>
      <c r="M2024" s="12" t="s">
        <v>198</v>
      </c>
      <c r="N2024" s="12" t="s">
        <v>22</v>
      </c>
      <c r="O2024" s="12" t="s">
        <v>123</v>
      </c>
      <c r="P2024" s="12" t="s">
        <v>468</v>
      </c>
      <c r="Q2024" s="7" t="str">
        <f t="shared" si="94"/>
        <v>(1995,49,'1995.12.09',1,9,48,54,85,0),</v>
      </c>
      <c r="R2024" s="7" t="str">
        <f t="shared" si="96"/>
        <v>(1995,49,'1995.12.09',1,9,48,54,85),</v>
      </c>
    </row>
    <row r="2025" spans="1:18" x14ac:dyDescent="0.25">
      <c r="A2025" s="7" t="s">
        <v>5844</v>
      </c>
      <c r="B2025" s="8" t="s">
        <v>105</v>
      </c>
      <c r="C2025" s="10">
        <f t="shared" si="95"/>
        <v>35049</v>
      </c>
      <c r="D2025" t="s">
        <v>11</v>
      </c>
      <c r="E2025" t="s">
        <v>12</v>
      </c>
      <c r="F2025" t="s">
        <v>11</v>
      </c>
      <c r="G2025" t="s">
        <v>12</v>
      </c>
      <c r="H2025" t="s">
        <v>11</v>
      </c>
      <c r="I2025" t="s">
        <v>12</v>
      </c>
      <c r="J2025" t="s">
        <v>11</v>
      </c>
      <c r="K2025" t="s">
        <v>12</v>
      </c>
      <c r="L2025" s="12" t="s">
        <v>83</v>
      </c>
      <c r="M2025" s="12" t="s">
        <v>65</v>
      </c>
      <c r="N2025" s="12" t="s">
        <v>233</v>
      </c>
      <c r="O2025" s="12" t="s">
        <v>301</v>
      </c>
      <c r="P2025" s="12" t="s">
        <v>269</v>
      </c>
      <c r="Q2025" s="7" t="str">
        <f t="shared" si="94"/>
        <v>(1995,50,'1995.12.16',11,13,66,80,87,0),</v>
      </c>
      <c r="R2025" s="7" t="str">
        <f t="shared" si="96"/>
        <v>(1995,50,'1995.12.16',11,13,66,80,87),</v>
      </c>
    </row>
    <row r="2026" spans="1:18" x14ac:dyDescent="0.25">
      <c r="A2026" s="7" t="s">
        <v>5844</v>
      </c>
      <c r="B2026" s="8" t="s">
        <v>122</v>
      </c>
      <c r="C2026" s="10">
        <f t="shared" si="95"/>
        <v>35056</v>
      </c>
      <c r="D2026" t="s">
        <v>11</v>
      </c>
      <c r="E2026" t="s">
        <v>12</v>
      </c>
      <c r="F2026" t="s">
        <v>11</v>
      </c>
      <c r="G2026" t="s">
        <v>12</v>
      </c>
      <c r="H2026" t="s">
        <v>11</v>
      </c>
      <c r="I2026" t="s">
        <v>12</v>
      </c>
      <c r="J2026" t="s">
        <v>11</v>
      </c>
      <c r="K2026" t="s">
        <v>12</v>
      </c>
      <c r="L2026" s="12" t="s">
        <v>91</v>
      </c>
      <c r="M2026" s="12" t="s">
        <v>35</v>
      </c>
      <c r="N2026" s="12" t="s">
        <v>245</v>
      </c>
      <c r="O2026" s="12" t="s">
        <v>125</v>
      </c>
      <c r="P2026" s="12" t="s">
        <v>468</v>
      </c>
      <c r="Q2026" s="7" t="str">
        <f t="shared" si="94"/>
        <v>(1995,51,'1995.12.23',61,65,74,83,85,0),</v>
      </c>
      <c r="R2026" s="7" t="str">
        <f t="shared" si="96"/>
        <v>(1995,51,'1995.12.23',61,65,74,83,85),</v>
      </c>
    </row>
    <row r="2027" spans="1:18" x14ac:dyDescent="0.25">
      <c r="A2027" s="7" t="s">
        <v>5844</v>
      </c>
      <c r="B2027" s="8" t="s">
        <v>99</v>
      </c>
      <c r="C2027" s="10">
        <f t="shared" si="95"/>
        <v>35063</v>
      </c>
      <c r="D2027" t="s">
        <v>11</v>
      </c>
      <c r="E2027" t="s">
        <v>12</v>
      </c>
      <c r="F2027" t="s">
        <v>11</v>
      </c>
      <c r="G2027" t="s">
        <v>12</v>
      </c>
      <c r="H2027" t="s">
        <v>11</v>
      </c>
      <c r="I2027" t="s">
        <v>12</v>
      </c>
      <c r="J2027" t="s">
        <v>11</v>
      </c>
      <c r="K2027" t="s">
        <v>12</v>
      </c>
      <c r="L2027" s="12" t="s">
        <v>89</v>
      </c>
      <c r="M2027" s="12" t="s">
        <v>80</v>
      </c>
      <c r="N2027" s="12" t="s">
        <v>36</v>
      </c>
      <c r="O2027" s="12" t="s">
        <v>214</v>
      </c>
      <c r="P2027" s="12" t="s">
        <v>215</v>
      </c>
      <c r="Q2027" s="7" t="str">
        <f t="shared" si="94"/>
        <v>(1995,52,'1995.12.30',5,32,38,64,81,0),</v>
      </c>
      <c r="R2027" s="7" t="str">
        <f t="shared" si="96"/>
        <v>(1995,52,'1995.12.30',5,32,38,64,81),</v>
      </c>
    </row>
    <row r="2028" spans="1:18" x14ac:dyDescent="0.25">
      <c r="A2028" s="7" t="s">
        <v>5843</v>
      </c>
      <c r="B2028" s="8" t="s">
        <v>108</v>
      </c>
      <c r="C2028" s="10">
        <f t="shared" si="95"/>
        <v>35070</v>
      </c>
      <c r="D2028" t="s">
        <v>11</v>
      </c>
      <c r="E2028" t="s">
        <v>12</v>
      </c>
      <c r="F2028" t="s">
        <v>11</v>
      </c>
      <c r="G2028" t="s">
        <v>12</v>
      </c>
      <c r="H2028" t="s">
        <v>11</v>
      </c>
      <c r="I2028" t="s">
        <v>12</v>
      </c>
      <c r="J2028" t="s">
        <v>11</v>
      </c>
      <c r="K2028" t="s">
        <v>12</v>
      </c>
      <c r="L2028" s="12" t="s">
        <v>43</v>
      </c>
      <c r="M2028" s="12" t="s">
        <v>46</v>
      </c>
      <c r="N2028" s="12" t="s">
        <v>56</v>
      </c>
      <c r="O2028" s="12" t="s">
        <v>201</v>
      </c>
      <c r="P2028" s="12" t="s">
        <v>622</v>
      </c>
      <c r="Q2028" s="7" t="str">
        <f t="shared" si="94"/>
        <v>(1996,1,'1996.01.06',16,37,71,72,82,0),</v>
      </c>
      <c r="R2028" s="7" t="str">
        <f t="shared" si="96"/>
        <v>(1996,1,'1996.01.06',16,37,71,72,82),</v>
      </c>
    </row>
    <row r="2029" spans="1:18" x14ac:dyDescent="0.25">
      <c r="A2029" s="7" t="s">
        <v>5843</v>
      </c>
      <c r="B2029" s="8" t="s">
        <v>207</v>
      </c>
      <c r="C2029" s="10">
        <f t="shared" si="95"/>
        <v>35077</v>
      </c>
      <c r="D2029" t="s">
        <v>11</v>
      </c>
      <c r="E2029" t="s">
        <v>12</v>
      </c>
      <c r="F2029" t="s">
        <v>11</v>
      </c>
      <c r="G2029" t="s">
        <v>12</v>
      </c>
      <c r="H2029" t="s">
        <v>11</v>
      </c>
      <c r="I2029" t="s">
        <v>12</v>
      </c>
      <c r="J2029" t="s">
        <v>11</v>
      </c>
      <c r="K2029" t="s">
        <v>12</v>
      </c>
      <c r="L2029" s="12" t="s">
        <v>232</v>
      </c>
      <c r="M2029" s="12" t="s">
        <v>44</v>
      </c>
      <c r="N2029" s="12" t="s">
        <v>135</v>
      </c>
      <c r="O2029" s="12" t="s">
        <v>192</v>
      </c>
      <c r="P2029" s="12" t="s">
        <v>169</v>
      </c>
      <c r="Q2029" s="7" t="str">
        <f t="shared" si="94"/>
        <v>(1996,2,'1996.01.13',8,21,27,46,58,0),</v>
      </c>
      <c r="R2029" s="7" t="str">
        <f t="shared" si="96"/>
        <v>(1996,2,'1996.01.13',8,21,27,46,58),</v>
      </c>
    </row>
    <row r="2030" spans="1:18" x14ac:dyDescent="0.25">
      <c r="A2030" s="7" t="s">
        <v>5843</v>
      </c>
      <c r="B2030" s="8" t="s">
        <v>42</v>
      </c>
      <c r="C2030" s="10">
        <f t="shared" si="95"/>
        <v>35084</v>
      </c>
      <c r="D2030" t="s">
        <v>11</v>
      </c>
      <c r="E2030" t="s">
        <v>12</v>
      </c>
      <c r="F2030" t="s">
        <v>11</v>
      </c>
      <c r="G2030" t="s">
        <v>12</v>
      </c>
      <c r="H2030" t="s">
        <v>11</v>
      </c>
      <c r="I2030" t="s">
        <v>12</v>
      </c>
      <c r="J2030" t="s">
        <v>11</v>
      </c>
      <c r="K2030" t="s">
        <v>12</v>
      </c>
      <c r="L2030" s="12" t="s">
        <v>127</v>
      </c>
      <c r="M2030" s="12" t="s">
        <v>20</v>
      </c>
      <c r="N2030" s="12" t="s">
        <v>200</v>
      </c>
      <c r="O2030" s="12" t="s">
        <v>239</v>
      </c>
      <c r="P2030" s="12" t="s">
        <v>125</v>
      </c>
      <c r="Q2030" s="7" t="str">
        <f t="shared" si="94"/>
        <v>(1996,3,'1996.01.20',14,33,70,73,83,0),</v>
      </c>
      <c r="R2030" s="7" t="str">
        <f t="shared" si="96"/>
        <v>(1996,3,'1996.01.20',14,33,70,73,83),</v>
      </c>
    </row>
    <row r="2031" spans="1:18" x14ac:dyDescent="0.25">
      <c r="A2031" s="7" t="s">
        <v>5843</v>
      </c>
      <c r="B2031" s="8" t="s">
        <v>168</v>
      </c>
      <c r="C2031" s="10">
        <f t="shared" si="95"/>
        <v>35091</v>
      </c>
      <c r="D2031" t="s">
        <v>11</v>
      </c>
      <c r="E2031" t="s">
        <v>12</v>
      </c>
      <c r="F2031" t="s">
        <v>11</v>
      </c>
      <c r="G2031" t="s">
        <v>12</v>
      </c>
      <c r="H2031" t="s">
        <v>11</v>
      </c>
      <c r="I2031" t="s">
        <v>12</v>
      </c>
      <c r="J2031" t="s">
        <v>11</v>
      </c>
      <c r="K2031" t="s">
        <v>12</v>
      </c>
      <c r="L2031" s="12" t="s">
        <v>74</v>
      </c>
      <c r="M2031" s="12" t="s">
        <v>80</v>
      </c>
      <c r="N2031" s="12" t="s">
        <v>25</v>
      </c>
      <c r="O2031" s="12" t="s">
        <v>99</v>
      </c>
      <c r="P2031" s="12" t="s">
        <v>468</v>
      </c>
      <c r="Q2031" s="7" t="str">
        <f t="shared" si="94"/>
        <v>(1996,4,'1996.01.27',26,32,34,52,85,0),</v>
      </c>
      <c r="R2031" s="7" t="str">
        <f t="shared" si="96"/>
        <v>(1996,4,'1996.01.27',26,32,34,52,85),</v>
      </c>
    </row>
    <row r="2032" spans="1:18" x14ac:dyDescent="0.25">
      <c r="A2032" s="7" t="s">
        <v>5843</v>
      </c>
      <c r="B2032" s="8" t="s">
        <v>89</v>
      </c>
      <c r="C2032" s="10">
        <f t="shared" si="95"/>
        <v>35098</v>
      </c>
      <c r="D2032" t="s">
        <v>11</v>
      </c>
      <c r="E2032" t="s">
        <v>12</v>
      </c>
      <c r="F2032" t="s">
        <v>11</v>
      </c>
      <c r="G2032" t="s">
        <v>12</v>
      </c>
      <c r="H2032" t="s">
        <v>11</v>
      </c>
      <c r="I2032" t="s">
        <v>12</v>
      </c>
      <c r="J2032" t="s">
        <v>11</v>
      </c>
      <c r="K2032" t="s">
        <v>12</v>
      </c>
      <c r="L2032" s="12" t="s">
        <v>270</v>
      </c>
      <c r="M2032" s="12" t="s">
        <v>98</v>
      </c>
      <c r="N2032" s="12" t="s">
        <v>150</v>
      </c>
      <c r="O2032" s="12" t="s">
        <v>169</v>
      </c>
      <c r="P2032" s="12" t="s">
        <v>200</v>
      </c>
      <c r="Q2032" s="7" t="str">
        <f t="shared" si="94"/>
        <v>(1996,5,'1996.02.03',6,42,57,58,70,0),</v>
      </c>
      <c r="R2032" s="7" t="str">
        <f t="shared" si="96"/>
        <v>(1996,5,'1996.02.03',6,42,57,58,70),</v>
      </c>
    </row>
    <row r="2033" spans="1:18" x14ac:dyDescent="0.25">
      <c r="A2033" s="7" t="s">
        <v>5843</v>
      </c>
      <c r="B2033" s="8" t="s">
        <v>270</v>
      </c>
      <c r="C2033" s="10">
        <f t="shared" si="95"/>
        <v>35105</v>
      </c>
      <c r="D2033" t="s">
        <v>11</v>
      </c>
      <c r="E2033" t="s">
        <v>12</v>
      </c>
      <c r="F2033" t="s">
        <v>11</v>
      </c>
      <c r="G2033" t="s">
        <v>12</v>
      </c>
      <c r="H2033" t="s">
        <v>11</v>
      </c>
      <c r="I2033" t="s">
        <v>12</v>
      </c>
      <c r="J2033" t="s">
        <v>11</v>
      </c>
      <c r="K2033" t="s">
        <v>12</v>
      </c>
      <c r="L2033" s="12" t="s">
        <v>31</v>
      </c>
      <c r="M2033" s="12" t="s">
        <v>124</v>
      </c>
      <c r="N2033" s="12" t="s">
        <v>47</v>
      </c>
      <c r="O2033" s="12" t="s">
        <v>201</v>
      </c>
      <c r="P2033" s="12" t="s">
        <v>622</v>
      </c>
      <c r="Q2033" s="7" t="str">
        <f t="shared" si="94"/>
        <v>(1996,6,'1996.02.10',12,62,69,72,82,0),</v>
      </c>
      <c r="R2033" s="7" t="str">
        <f t="shared" si="96"/>
        <v>(1996,6,'1996.02.10',12,62,69,72,82),</v>
      </c>
    </row>
    <row r="2034" spans="1:18" x14ac:dyDescent="0.25">
      <c r="A2034" s="7" t="s">
        <v>5843</v>
      </c>
      <c r="B2034" s="8" t="s">
        <v>53</v>
      </c>
      <c r="C2034" s="10">
        <f t="shared" si="95"/>
        <v>35112</v>
      </c>
      <c r="D2034" t="s">
        <v>11</v>
      </c>
      <c r="E2034" t="s">
        <v>12</v>
      </c>
      <c r="F2034" t="s">
        <v>11</v>
      </c>
      <c r="G2034" t="s">
        <v>12</v>
      </c>
      <c r="H2034" t="s">
        <v>11</v>
      </c>
      <c r="I2034" t="s">
        <v>12</v>
      </c>
      <c r="J2034" t="s">
        <v>11</v>
      </c>
      <c r="K2034" t="s">
        <v>12</v>
      </c>
      <c r="L2034" s="12" t="s">
        <v>89</v>
      </c>
      <c r="M2034" s="12" t="s">
        <v>10</v>
      </c>
      <c r="N2034" s="12" t="s">
        <v>192</v>
      </c>
      <c r="O2034" s="12" t="s">
        <v>123</v>
      </c>
      <c r="P2034" s="12" t="s">
        <v>186</v>
      </c>
      <c r="Q2034" s="7" t="str">
        <f t="shared" si="94"/>
        <v>(1996,7,'1996.02.17',5,40,46,54,90,0),</v>
      </c>
      <c r="R2034" s="7" t="str">
        <f t="shared" si="96"/>
        <v>(1996,7,'1996.02.17',5,40,46,54,90),</v>
      </c>
    </row>
    <row r="2035" spans="1:18" x14ac:dyDescent="0.25">
      <c r="A2035" s="7" t="s">
        <v>5843</v>
      </c>
      <c r="B2035" s="8" t="s">
        <v>232</v>
      </c>
      <c r="C2035" s="10">
        <f t="shared" si="95"/>
        <v>35119</v>
      </c>
      <c r="D2035" t="s">
        <v>11</v>
      </c>
      <c r="E2035" t="s">
        <v>12</v>
      </c>
      <c r="F2035" t="s">
        <v>11</v>
      </c>
      <c r="G2035" t="s">
        <v>12</v>
      </c>
      <c r="H2035" t="s">
        <v>11</v>
      </c>
      <c r="I2035" t="s">
        <v>12</v>
      </c>
      <c r="J2035" t="s">
        <v>11</v>
      </c>
      <c r="K2035" t="s">
        <v>12</v>
      </c>
      <c r="L2035" s="12" t="s">
        <v>33</v>
      </c>
      <c r="M2035" s="12" t="s">
        <v>64</v>
      </c>
      <c r="N2035" s="12" t="s">
        <v>13</v>
      </c>
      <c r="O2035" s="12" t="s">
        <v>99</v>
      </c>
      <c r="P2035" s="12" t="s">
        <v>72</v>
      </c>
      <c r="Q2035" s="7" t="str">
        <f t="shared" si="94"/>
        <v>(1996,8,'1996.02.24',24,35,41,52,67,0),</v>
      </c>
      <c r="R2035" s="7" t="str">
        <f t="shared" si="96"/>
        <v>(1996,8,'1996.02.24',24,35,41,52,67),</v>
      </c>
    </row>
    <row r="2036" spans="1:18" x14ac:dyDescent="0.25">
      <c r="A2036" s="7" t="s">
        <v>5843</v>
      </c>
      <c r="B2036" s="8" t="s">
        <v>198</v>
      </c>
      <c r="C2036" s="10">
        <f t="shared" si="95"/>
        <v>35126</v>
      </c>
      <c r="D2036" t="s">
        <v>11</v>
      </c>
      <c r="E2036" t="s">
        <v>12</v>
      </c>
      <c r="F2036" t="s">
        <v>11</v>
      </c>
      <c r="G2036" t="s">
        <v>12</v>
      </c>
      <c r="H2036" t="s">
        <v>11</v>
      </c>
      <c r="I2036" t="s">
        <v>12</v>
      </c>
      <c r="J2036" t="s">
        <v>11</v>
      </c>
      <c r="K2036" t="s">
        <v>12</v>
      </c>
      <c r="L2036" s="12" t="s">
        <v>44</v>
      </c>
      <c r="M2036" s="12" t="s">
        <v>74</v>
      </c>
      <c r="N2036" s="12" t="s">
        <v>142</v>
      </c>
      <c r="O2036" s="12" t="s">
        <v>34</v>
      </c>
      <c r="P2036" s="12" t="s">
        <v>215</v>
      </c>
      <c r="Q2036" s="7" t="str">
        <f t="shared" si="94"/>
        <v>(1996,9,'1996.03.02',21,26,44,49,81,0),</v>
      </c>
      <c r="R2036" s="7" t="str">
        <f t="shared" si="96"/>
        <v>(1996,9,'1996.03.02',21,26,44,49,81),</v>
      </c>
    </row>
    <row r="2037" spans="1:18" x14ac:dyDescent="0.25">
      <c r="A2037" s="7" t="s">
        <v>5843</v>
      </c>
      <c r="B2037" s="8" t="s">
        <v>62</v>
      </c>
      <c r="C2037" s="10">
        <f t="shared" si="95"/>
        <v>35133</v>
      </c>
      <c r="D2037" t="s">
        <v>11</v>
      </c>
      <c r="E2037" t="s">
        <v>12</v>
      </c>
      <c r="F2037" t="s">
        <v>11</v>
      </c>
      <c r="G2037" t="s">
        <v>12</v>
      </c>
      <c r="H2037" t="s">
        <v>11</v>
      </c>
      <c r="I2037" t="s">
        <v>12</v>
      </c>
      <c r="J2037" t="s">
        <v>11</v>
      </c>
      <c r="K2037" t="s">
        <v>12</v>
      </c>
      <c r="L2037" s="12" t="s">
        <v>232</v>
      </c>
      <c r="M2037" s="12" t="s">
        <v>198</v>
      </c>
      <c r="N2037" s="12" t="s">
        <v>80</v>
      </c>
      <c r="O2037" s="12" t="s">
        <v>34</v>
      </c>
      <c r="P2037" s="12" t="s">
        <v>248</v>
      </c>
      <c r="Q2037" s="7" t="str">
        <f t="shared" si="94"/>
        <v>(1996,10,'1996.03.09',8,9,32,49,63,0),</v>
      </c>
      <c r="R2037" s="7" t="str">
        <f t="shared" si="96"/>
        <v>(1996,10,'1996.03.09',8,9,32,49,63),</v>
      </c>
    </row>
    <row r="2038" spans="1:18" x14ac:dyDescent="0.25">
      <c r="A2038" s="7" t="s">
        <v>5843</v>
      </c>
      <c r="B2038" s="8" t="s">
        <v>83</v>
      </c>
      <c r="C2038" s="10">
        <f t="shared" si="95"/>
        <v>35140</v>
      </c>
      <c r="D2038" t="s">
        <v>11</v>
      </c>
      <c r="E2038" t="s">
        <v>12</v>
      </c>
      <c r="F2038" t="s">
        <v>11</v>
      </c>
      <c r="G2038" t="s">
        <v>12</v>
      </c>
      <c r="H2038" t="s">
        <v>11</v>
      </c>
      <c r="I2038" t="s">
        <v>12</v>
      </c>
      <c r="J2038" t="s">
        <v>11</v>
      </c>
      <c r="K2038" t="s">
        <v>12</v>
      </c>
      <c r="L2038" s="12" t="s">
        <v>19</v>
      </c>
      <c r="M2038" s="12" t="s">
        <v>55</v>
      </c>
      <c r="N2038" s="12" t="s">
        <v>91</v>
      </c>
      <c r="O2038" s="12" t="s">
        <v>92</v>
      </c>
      <c r="P2038" s="12" t="s">
        <v>201</v>
      </c>
      <c r="Q2038" s="7" t="str">
        <f t="shared" si="94"/>
        <v>(1996,11,'1996.03.16',18,19,61,68,72,0),</v>
      </c>
      <c r="R2038" s="7" t="str">
        <f t="shared" si="96"/>
        <v>(1996,11,'1996.03.16',18,19,61,68,72),</v>
      </c>
    </row>
    <row r="2039" spans="1:18" x14ac:dyDescent="0.25">
      <c r="A2039" s="7" t="s">
        <v>5843</v>
      </c>
      <c r="B2039" s="8" t="s">
        <v>31</v>
      </c>
      <c r="C2039" s="10">
        <f t="shared" si="95"/>
        <v>35147</v>
      </c>
      <c r="D2039" t="s">
        <v>11</v>
      </c>
      <c r="E2039" t="s">
        <v>12</v>
      </c>
      <c r="F2039" t="s">
        <v>11</v>
      </c>
      <c r="G2039" t="s">
        <v>12</v>
      </c>
      <c r="H2039" t="s">
        <v>11</v>
      </c>
      <c r="I2039" t="s">
        <v>12</v>
      </c>
      <c r="J2039" t="s">
        <v>11</v>
      </c>
      <c r="K2039" t="s">
        <v>12</v>
      </c>
      <c r="L2039" s="12" t="s">
        <v>232</v>
      </c>
      <c r="M2039" s="12" t="s">
        <v>65</v>
      </c>
      <c r="N2039" s="12" t="s">
        <v>116</v>
      </c>
      <c r="O2039" s="12" t="s">
        <v>81</v>
      </c>
      <c r="P2039" s="12" t="s">
        <v>269</v>
      </c>
      <c r="Q2039" s="7" t="str">
        <f t="shared" si="94"/>
        <v>(1996,12,'1996.03.23',8,13,29,47,87,0),</v>
      </c>
      <c r="R2039" s="7" t="str">
        <f t="shared" si="96"/>
        <v>(1996,12,'1996.03.23',8,13,29,47,87),</v>
      </c>
    </row>
    <row r="2040" spans="1:18" x14ac:dyDescent="0.25">
      <c r="A2040" s="7" t="s">
        <v>5843</v>
      </c>
      <c r="B2040" s="8" t="s">
        <v>65</v>
      </c>
      <c r="C2040" s="10">
        <f t="shared" si="95"/>
        <v>35154</v>
      </c>
      <c r="D2040" t="s">
        <v>11</v>
      </c>
      <c r="E2040" t="s">
        <v>12</v>
      </c>
      <c r="F2040" t="s">
        <v>11</v>
      </c>
      <c r="G2040" t="s">
        <v>12</v>
      </c>
      <c r="H2040" t="s">
        <v>11</v>
      </c>
      <c r="I2040" t="s">
        <v>12</v>
      </c>
      <c r="J2040" t="s">
        <v>11</v>
      </c>
      <c r="K2040" t="s">
        <v>12</v>
      </c>
      <c r="L2040" s="12" t="s">
        <v>36</v>
      </c>
      <c r="M2040" s="12" t="s">
        <v>98</v>
      </c>
      <c r="N2040" s="12" t="s">
        <v>22</v>
      </c>
      <c r="O2040" s="12" t="s">
        <v>122</v>
      </c>
      <c r="P2040" s="12" t="s">
        <v>468</v>
      </c>
      <c r="Q2040" s="7" t="str">
        <f t="shared" si="94"/>
        <v>(1996,13,'1996.03.30',38,42,48,51,85,0),</v>
      </c>
      <c r="R2040" s="7" t="str">
        <f t="shared" si="96"/>
        <v>(1996,13,'1996.03.30',38,42,48,51,85),</v>
      </c>
    </row>
    <row r="2041" spans="1:18" x14ac:dyDescent="0.25">
      <c r="A2041" s="7" t="s">
        <v>5843</v>
      </c>
      <c r="B2041" s="8" t="s">
        <v>127</v>
      </c>
      <c r="C2041" s="10">
        <f t="shared" si="95"/>
        <v>35161</v>
      </c>
      <c r="D2041" t="s">
        <v>11</v>
      </c>
      <c r="E2041" t="s">
        <v>12</v>
      </c>
      <c r="F2041" t="s">
        <v>11</v>
      </c>
      <c r="G2041" t="s">
        <v>12</v>
      </c>
      <c r="H2041" t="s">
        <v>11</v>
      </c>
      <c r="I2041" t="s">
        <v>12</v>
      </c>
      <c r="J2041" t="s">
        <v>11</v>
      </c>
      <c r="K2041" t="s">
        <v>12</v>
      </c>
      <c r="L2041" s="12" t="s">
        <v>108</v>
      </c>
      <c r="M2041" s="12" t="s">
        <v>24</v>
      </c>
      <c r="N2041" s="12" t="s">
        <v>199</v>
      </c>
      <c r="O2041" s="12" t="s">
        <v>92</v>
      </c>
      <c r="P2041" s="12" t="s">
        <v>200</v>
      </c>
      <c r="Q2041" s="7" t="str">
        <f t="shared" si="94"/>
        <v>(1996,14,'1996.04.06',1,39,53,68,70,0),</v>
      </c>
      <c r="R2041" s="7" t="str">
        <f t="shared" si="96"/>
        <v>(1996,14,'1996.04.06',1,39,53,68,70),</v>
      </c>
    </row>
    <row r="2042" spans="1:18" x14ac:dyDescent="0.25">
      <c r="A2042" s="7" t="s">
        <v>5843</v>
      </c>
      <c r="B2042" s="8" t="s">
        <v>54</v>
      </c>
      <c r="C2042" s="10">
        <f t="shared" si="95"/>
        <v>35168</v>
      </c>
      <c r="D2042" t="s">
        <v>11</v>
      </c>
      <c r="E2042" t="s">
        <v>12</v>
      </c>
      <c r="F2042" t="s">
        <v>11</v>
      </c>
      <c r="G2042" t="s">
        <v>12</v>
      </c>
      <c r="H2042" t="s">
        <v>11</v>
      </c>
      <c r="I2042" t="s">
        <v>12</v>
      </c>
      <c r="J2042" t="s">
        <v>11</v>
      </c>
      <c r="K2042" t="s">
        <v>12</v>
      </c>
      <c r="L2042" s="12" t="s">
        <v>127</v>
      </c>
      <c r="M2042" s="12" t="s">
        <v>80</v>
      </c>
      <c r="N2042" s="12" t="s">
        <v>64</v>
      </c>
      <c r="O2042" s="12" t="s">
        <v>233</v>
      </c>
      <c r="P2042" s="12" t="s">
        <v>379</v>
      </c>
      <c r="Q2042" s="7" t="str">
        <f t="shared" si="94"/>
        <v>(1996,15,'1996.04.13',14,32,35,66,89,0),</v>
      </c>
      <c r="R2042" s="7" t="str">
        <f t="shared" si="96"/>
        <v>(1996,15,'1996.04.13',14,32,35,66,89),</v>
      </c>
    </row>
    <row r="2043" spans="1:18" x14ac:dyDescent="0.25">
      <c r="A2043" s="7" t="s">
        <v>5843</v>
      </c>
      <c r="B2043" s="8" t="s">
        <v>43</v>
      </c>
      <c r="C2043" s="10">
        <f t="shared" si="95"/>
        <v>35175</v>
      </c>
      <c r="D2043" t="s">
        <v>11</v>
      </c>
      <c r="E2043" t="s">
        <v>12</v>
      </c>
      <c r="F2043" t="s">
        <v>11</v>
      </c>
      <c r="G2043" t="s">
        <v>12</v>
      </c>
      <c r="H2043" t="s">
        <v>11</v>
      </c>
      <c r="I2043" t="s">
        <v>12</v>
      </c>
      <c r="J2043" t="s">
        <v>11</v>
      </c>
      <c r="K2043" t="s">
        <v>12</v>
      </c>
      <c r="L2043" s="12" t="s">
        <v>127</v>
      </c>
      <c r="M2043" s="12" t="s">
        <v>142</v>
      </c>
      <c r="N2043" s="12" t="s">
        <v>192</v>
      </c>
      <c r="O2043" s="12" t="s">
        <v>99</v>
      </c>
      <c r="P2043" s="12" t="s">
        <v>200</v>
      </c>
      <c r="Q2043" s="7" t="str">
        <f t="shared" si="94"/>
        <v>(1996,16,'1996.04.20',14,44,46,52,70,0),</v>
      </c>
      <c r="R2043" s="7" t="str">
        <f t="shared" si="96"/>
        <v>(1996,16,'1996.04.20',14,44,46,52,70),</v>
      </c>
    </row>
    <row r="2044" spans="1:18" x14ac:dyDescent="0.25">
      <c r="A2044" s="7" t="s">
        <v>5843</v>
      </c>
      <c r="B2044" s="8" t="s">
        <v>90</v>
      </c>
      <c r="C2044" s="10">
        <f t="shared" si="95"/>
        <v>35182</v>
      </c>
      <c r="D2044" t="s">
        <v>11</v>
      </c>
      <c r="E2044" t="s">
        <v>12</v>
      </c>
      <c r="F2044" t="s">
        <v>11</v>
      </c>
      <c r="G2044" t="s">
        <v>12</v>
      </c>
      <c r="H2044" t="s">
        <v>11</v>
      </c>
      <c r="I2044" t="s">
        <v>12</v>
      </c>
      <c r="J2044" t="s">
        <v>11</v>
      </c>
      <c r="K2044" t="s">
        <v>12</v>
      </c>
      <c r="L2044" s="12" t="s">
        <v>127</v>
      </c>
      <c r="M2044" s="12" t="s">
        <v>55</v>
      </c>
      <c r="N2044" s="12" t="s">
        <v>115</v>
      </c>
      <c r="O2044" s="12" t="s">
        <v>239</v>
      </c>
      <c r="P2044" s="12" t="s">
        <v>73</v>
      </c>
      <c r="Q2044" s="7" t="str">
        <f t="shared" si="94"/>
        <v>(1996,17,'1996.04.27',14,19,20,73,76,0),</v>
      </c>
      <c r="R2044" s="7" t="str">
        <f t="shared" si="96"/>
        <v>(1996,17,'1996.04.27',14,19,20,73,76),</v>
      </c>
    </row>
    <row r="2045" spans="1:18" x14ac:dyDescent="0.25">
      <c r="A2045" s="7" t="s">
        <v>5843</v>
      </c>
      <c r="B2045" s="8" t="s">
        <v>19</v>
      </c>
      <c r="C2045" s="10">
        <f t="shared" si="95"/>
        <v>35189</v>
      </c>
      <c r="D2045" t="s">
        <v>11</v>
      </c>
      <c r="E2045" t="s">
        <v>12</v>
      </c>
      <c r="F2045" t="s">
        <v>11</v>
      </c>
      <c r="G2045" t="s">
        <v>12</v>
      </c>
      <c r="H2045" t="s">
        <v>11</v>
      </c>
      <c r="I2045" t="s">
        <v>12</v>
      </c>
      <c r="J2045" t="s">
        <v>11</v>
      </c>
      <c r="K2045" t="s">
        <v>12</v>
      </c>
      <c r="L2045" s="12" t="s">
        <v>31</v>
      </c>
      <c r="M2045" s="12" t="s">
        <v>33</v>
      </c>
      <c r="N2045" s="12" t="s">
        <v>233</v>
      </c>
      <c r="O2045" s="12" t="s">
        <v>143</v>
      </c>
      <c r="P2045" s="12" t="s">
        <v>308</v>
      </c>
      <c r="Q2045" s="7" t="str">
        <f t="shared" si="94"/>
        <v>(1996,18,'1996.05.04',12,24,66,77,86,0),</v>
      </c>
      <c r="R2045" s="7" t="str">
        <f t="shared" si="96"/>
        <v>(1996,18,'1996.05.04',12,24,66,77,86),</v>
      </c>
    </row>
    <row r="2046" spans="1:18" x14ac:dyDescent="0.25">
      <c r="A2046" s="7" t="s">
        <v>5843</v>
      </c>
      <c r="B2046" s="8" t="s">
        <v>55</v>
      </c>
      <c r="C2046" s="10">
        <f t="shared" si="95"/>
        <v>35196</v>
      </c>
      <c r="D2046" t="s">
        <v>11</v>
      </c>
      <c r="E2046" t="s">
        <v>12</v>
      </c>
      <c r="F2046" t="s">
        <v>11</v>
      </c>
      <c r="G2046" t="s">
        <v>12</v>
      </c>
      <c r="H2046" t="s">
        <v>11</v>
      </c>
      <c r="I2046" t="s">
        <v>12</v>
      </c>
      <c r="J2046" t="s">
        <v>11</v>
      </c>
      <c r="K2046" t="s">
        <v>12</v>
      </c>
      <c r="L2046" s="12" t="s">
        <v>168</v>
      </c>
      <c r="M2046" s="12" t="s">
        <v>31</v>
      </c>
      <c r="N2046" s="12" t="s">
        <v>45</v>
      </c>
      <c r="O2046" s="12" t="s">
        <v>124</v>
      </c>
      <c r="P2046" s="12" t="s">
        <v>73</v>
      </c>
      <c r="Q2046" s="7" t="str">
        <f t="shared" si="94"/>
        <v>(1996,19,'1996.05.11',4,12,43,62,76,0),</v>
      </c>
      <c r="R2046" s="7" t="str">
        <f t="shared" si="96"/>
        <v>(1996,19,'1996.05.11',4,12,43,62,76),</v>
      </c>
    </row>
    <row r="2047" spans="1:18" x14ac:dyDescent="0.25">
      <c r="A2047" s="7" t="s">
        <v>5843</v>
      </c>
      <c r="B2047" s="8" t="s">
        <v>115</v>
      </c>
      <c r="C2047" s="10">
        <f t="shared" si="95"/>
        <v>35203</v>
      </c>
      <c r="D2047" t="s">
        <v>11</v>
      </c>
      <c r="E2047" t="s">
        <v>12</v>
      </c>
      <c r="F2047" t="s">
        <v>11</v>
      </c>
      <c r="G2047" t="s">
        <v>12</v>
      </c>
      <c r="H2047" t="s">
        <v>11</v>
      </c>
      <c r="I2047" t="s">
        <v>12</v>
      </c>
      <c r="J2047" t="s">
        <v>11</v>
      </c>
      <c r="K2047" t="s">
        <v>12</v>
      </c>
      <c r="L2047" s="12" t="s">
        <v>32</v>
      </c>
      <c r="M2047" s="12" t="s">
        <v>105</v>
      </c>
      <c r="N2047" s="12" t="s">
        <v>123</v>
      </c>
      <c r="O2047" s="12" t="s">
        <v>150</v>
      </c>
      <c r="P2047" s="12" t="s">
        <v>379</v>
      </c>
      <c r="Q2047" s="7" t="str">
        <f t="shared" si="94"/>
        <v>(1996,20,'1996.05.18',22,50,54,57,89,0),</v>
      </c>
      <c r="R2047" s="7" t="str">
        <f t="shared" si="96"/>
        <v>(1996,20,'1996.05.18',22,50,54,57,89),</v>
      </c>
    </row>
    <row r="2048" spans="1:18" x14ac:dyDescent="0.25">
      <c r="A2048" s="7" t="s">
        <v>5843</v>
      </c>
      <c r="B2048" s="8" t="s">
        <v>44</v>
      </c>
      <c r="C2048" s="10">
        <f t="shared" si="95"/>
        <v>35210</v>
      </c>
      <c r="D2048" t="s">
        <v>11</v>
      </c>
      <c r="E2048" t="s">
        <v>12</v>
      </c>
      <c r="F2048" t="s">
        <v>11</v>
      </c>
      <c r="G2048" t="s">
        <v>12</v>
      </c>
      <c r="H2048" t="s">
        <v>11</v>
      </c>
      <c r="I2048" t="s">
        <v>12</v>
      </c>
      <c r="J2048" t="s">
        <v>11</v>
      </c>
      <c r="K2048" t="s">
        <v>12</v>
      </c>
      <c r="L2048" s="12" t="s">
        <v>55</v>
      </c>
      <c r="M2048" s="12" t="s">
        <v>115</v>
      </c>
      <c r="N2048" s="12" t="s">
        <v>134</v>
      </c>
      <c r="O2048" s="12" t="s">
        <v>73</v>
      </c>
      <c r="P2048" s="12" t="s">
        <v>143</v>
      </c>
      <c r="Q2048" s="7" t="str">
        <f t="shared" si="94"/>
        <v>(1996,21,'1996.05.25',19,20,56,76,77,0),</v>
      </c>
      <c r="R2048" s="7" t="str">
        <f t="shared" si="96"/>
        <v>(1996,21,'1996.05.25',19,20,56,76,77),</v>
      </c>
    </row>
    <row r="2049" spans="1:18" x14ac:dyDescent="0.25">
      <c r="A2049" s="7" t="s">
        <v>5843</v>
      </c>
      <c r="B2049" s="8" t="s">
        <v>32</v>
      </c>
      <c r="C2049" s="10">
        <f t="shared" si="95"/>
        <v>35217</v>
      </c>
      <c r="D2049" t="s">
        <v>11</v>
      </c>
      <c r="E2049" t="s">
        <v>12</v>
      </c>
      <c r="F2049" t="s">
        <v>11</v>
      </c>
      <c r="G2049" t="s">
        <v>12</v>
      </c>
      <c r="H2049" t="s">
        <v>11</v>
      </c>
      <c r="I2049" t="s">
        <v>12</v>
      </c>
      <c r="J2049" t="s">
        <v>11</v>
      </c>
      <c r="K2049" t="s">
        <v>12</v>
      </c>
      <c r="L2049" s="12" t="s">
        <v>198</v>
      </c>
      <c r="M2049" s="12" t="s">
        <v>115</v>
      </c>
      <c r="N2049" s="12" t="s">
        <v>82</v>
      </c>
      <c r="O2049" s="12" t="s">
        <v>23</v>
      </c>
      <c r="P2049" s="12" t="s">
        <v>200</v>
      </c>
      <c r="Q2049" s="7" t="str">
        <f t="shared" si="94"/>
        <v>(1996,22,'1996.06.01',9,20,59,60,70,0),</v>
      </c>
      <c r="R2049" s="7" t="str">
        <f t="shared" si="96"/>
        <v>(1996,22,'1996.06.01',9,20,59,60,70),</v>
      </c>
    </row>
    <row r="2050" spans="1:18" x14ac:dyDescent="0.25">
      <c r="A2050" s="7" t="s">
        <v>5843</v>
      </c>
      <c r="B2050" s="8" t="s">
        <v>163</v>
      </c>
      <c r="C2050" s="10">
        <f t="shared" si="95"/>
        <v>35224</v>
      </c>
      <c r="D2050" t="s">
        <v>11</v>
      </c>
      <c r="E2050" t="s">
        <v>12</v>
      </c>
      <c r="F2050" t="s">
        <v>11</v>
      </c>
      <c r="G2050" t="s">
        <v>12</v>
      </c>
      <c r="H2050" t="s">
        <v>11</v>
      </c>
      <c r="I2050" t="s">
        <v>12</v>
      </c>
      <c r="J2050" t="s">
        <v>11</v>
      </c>
      <c r="K2050" t="s">
        <v>12</v>
      </c>
      <c r="L2050" s="12" t="s">
        <v>192</v>
      </c>
      <c r="M2050" s="12" t="s">
        <v>81</v>
      </c>
      <c r="N2050" s="12" t="s">
        <v>124</v>
      </c>
      <c r="O2050" s="12" t="s">
        <v>72</v>
      </c>
      <c r="P2050" s="12" t="s">
        <v>208</v>
      </c>
      <c r="Q2050" s="7" t="str">
        <f t="shared" ref="Q2050:Q2113" si="97">"("&amp;A2050&amp;","&amp;B2050&amp;",'"&amp;TEXT(C2050,"éééé.hh.nn")&amp;"',"&amp;L2050&amp;","&amp;M2050&amp;","&amp;N2050&amp;","&amp;O2050&amp;","&amp;P2050&amp;",0)"&amp;IF(P2051&lt;&gt;0,",","")</f>
        <v>(1996,23,'1996.06.08',46,47,62,67,88,0),</v>
      </c>
      <c r="R2050" s="7" t="str">
        <f t="shared" si="96"/>
        <v>(1996,23,'1996.06.08',46,47,62,67,88),</v>
      </c>
    </row>
    <row r="2051" spans="1:18" x14ac:dyDescent="0.25">
      <c r="A2051" s="7" t="s">
        <v>5843</v>
      </c>
      <c r="B2051" s="8" t="s">
        <v>33</v>
      </c>
      <c r="C2051" s="10">
        <f t="shared" ref="C2051:C2114" si="98">+C2050+7</f>
        <v>35231</v>
      </c>
      <c r="D2051" t="s">
        <v>11</v>
      </c>
      <c r="E2051" t="s">
        <v>12</v>
      </c>
      <c r="F2051" t="s">
        <v>11</v>
      </c>
      <c r="G2051" t="s">
        <v>12</v>
      </c>
      <c r="H2051" t="s">
        <v>11</v>
      </c>
      <c r="I2051" t="s">
        <v>12</v>
      </c>
      <c r="J2051" t="s">
        <v>11</v>
      </c>
      <c r="K2051" t="s">
        <v>12</v>
      </c>
      <c r="L2051" s="12" t="s">
        <v>108</v>
      </c>
      <c r="M2051" s="12" t="s">
        <v>99</v>
      </c>
      <c r="N2051" s="12" t="s">
        <v>72</v>
      </c>
      <c r="O2051" s="12" t="s">
        <v>92</v>
      </c>
      <c r="P2051" s="12" t="s">
        <v>125</v>
      </c>
      <c r="Q2051" s="7" t="str">
        <f t="shared" si="97"/>
        <v>(1996,24,'1996.06.15',1,52,67,68,83,0),</v>
      </c>
      <c r="R2051" s="7" t="str">
        <f t="shared" ref="R2051:R2114" si="99">IF(TRIM(P2051)="","","("&amp;A2051&amp;","&amp;B2051&amp;",'"&amp;TEXT(C2051,"éééé.hh.nn")&amp;"',"&amp;L2051&amp;","&amp;M2051&amp;","&amp;N2051&amp;","&amp;O2051&amp;","&amp;P2051&amp;")"&amp;IF(P2052=0,";",","))</f>
        <v>(1996,24,'1996.06.15',1,52,67,68,83),</v>
      </c>
    </row>
    <row r="2052" spans="1:18" x14ac:dyDescent="0.25">
      <c r="A2052" s="7" t="s">
        <v>5843</v>
      </c>
      <c r="B2052" s="8" t="s">
        <v>152</v>
      </c>
      <c r="C2052" s="10">
        <f t="shared" si="98"/>
        <v>35238</v>
      </c>
      <c r="D2052" t="s">
        <v>11</v>
      </c>
      <c r="E2052" t="s">
        <v>12</v>
      </c>
      <c r="F2052" t="s">
        <v>11</v>
      </c>
      <c r="G2052" t="s">
        <v>12</v>
      </c>
      <c r="H2052" t="s">
        <v>11</v>
      </c>
      <c r="I2052" t="s">
        <v>12</v>
      </c>
      <c r="J2052" t="s">
        <v>11</v>
      </c>
      <c r="K2052" t="s">
        <v>12</v>
      </c>
      <c r="L2052" s="12" t="s">
        <v>115</v>
      </c>
      <c r="M2052" s="12" t="s">
        <v>126</v>
      </c>
      <c r="N2052" s="12" t="s">
        <v>142</v>
      </c>
      <c r="O2052" s="12" t="s">
        <v>192</v>
      </c>
      <c r="P2052" s="12" t="s">
        <v>622</v>
      </c>
      <c r="Q2052" s="7" t="str">
        <f t="shared" si="97"/>
        <v>(1996,25,'1996.06.22',20,28,44,46,82,0),</v>
      </c>
      <c r="R2052" s="7" t="str">
        <f t="shared" si="99"/>
        <v>(1996,25,'1996.06.22',20,28,44,46,82),</v>
      </c>
    </row>
    <row r="2053" spans="1:18" x14ac:dyDescent="0.25">
      <c r="A2053" s="7" t="s">
        <v>5843</v>
      </c>
      <c r="B2053" s="8" t="s">
        <v>74</v>
      </c>
      <c r="C2053" s="10">
        <f t="shared" si="98"/>
        <v>35245</v>
      </c>
      <c r="D2053" t="s">
        <v>11</v>
      </c>
      <c r="E2053" t="s">
        <v>12</v>
      </c>
      <c r="F2053" t="s">
        <v>11</v>
      </c>
      <c r="G2053" t="s">
        <v>12</v>
      </c>
      <c r="H2053" t="s">
        <v>11</v>
      </c>
      <c r="I2053" t="s">
        <v>12</v>
      </c>
      <c r="J2053" t="s">
        <v>11</v>
      </c>
      <c r="K2053" t="s">
        <v>12</v>
      </c>
      <c r="L2053" s="12" t="s">
        <v>89</v>
      </c>
      <c r="M2053" s="12" t="s">
        <v>107</v>
      </c>
      <c r="N2053" s="12" t="s">
        <v>91</v>
      </c>
      <c r="O2053" s="12" t="s">
        <v>248</v>
      </c>
      <c r="P2053" s="12" t="s">
        <v>308</v>
      </c>
      <c r="Q2053" s="7" t="str">
        <f t="shared" si="97"/>
        <v>(1996,26,'1996.06.29',5,30,61,63,86,0),</v>
      </c>
      <c r="R2053" s="7" t="str">
        <f t="shared" si="99"/>
        <v>(1996,26,'1996.06.29',5,30,61,63,86),</v>
      </c>
    </row>
    <row r="2054" spans="1:18" x14ac:dyDescent="0.25">
      <c r="A2054" s="7" t="s">
        <v>5843</v>
      </c>
      <c r="B2054" s="8" t="s">
        <v>135</v>
      </c>
      <c r="C2054" s="10">
        <f t="shared" si="98"/>
        <v>35252</v>
      </c>
      <c r="D2054" t="s">
        <v>11</v>
      </c>
      <c r="E2054" t="s">
        <v>12</v>
      </c>
      <c r="F2054" t="s">
        <v>11</v>
      </c>
      <c r="G2054" t="s">
        <v>12</v>
      </c>
      <c r="H2054" t="s">
        <v>11</v>
      </c>
      <c r="I2054" t="s">
        <v>12</v>
      </c>
      <c r="J2054" t="s">
        <v>11</v>
      </c>
      <c r="K2054" t="s">
        <v>12</v>
      </c>
      <c r="L2054" s="12" t="s">
        <v>55</v>
      </c>
      <c r="M2054" s="12" t="s">
        <v>44</v>
      </c>
      <c r="N2054" s="12" t="s">
        <v>99</v>
      </c>
      <c r="O2054" s="12" t="s">
        <v>622</v>
      </c>
      <c r="P2054" s="12" t="s">
        <v>125</v>
      </c>
      <c r="Q2054" s="7" t="str">
        <f t="shared" si="97"/>
        <v>(1996,27,'1996.07.06',19,21,52,82,83,0),</v>
      </c>
      <c r="R2054" s="7" t="str">
        <f t="shared" si="99"/>
        <v>(1996,27,'1996.07.06',19,21,52,82,83),</v>
      </c>
    </row>
    <row r="2055" spans="1:18" x14ac:dyDescent="0.25">
      <c r="A2055" s="7" t="s">
        <v>5843</v>
      </c>
      <c r="B2055" s="8" t="s">
        <v>126</v>
      </c>
      <c r="C2055" s="10">
        <f t="shared" si="98"/>
        <v>35259</v>
      </c>
      <c r="D2055" t="s">
        <v>11</v>
      </c>
      <c r="E2055" t="s">
        <v>12</v>
      </c>
      <c r="F2055" t="s">
        <v>11</v>
      </c>
      <c r="G2055" t="s">
        <v>12</v>
      </c>
      <c r="H2055" t="s">
        <v>11</v>
      </c>
      <c r="I2055" t="s">
        <v>12</v>
      </c>
      <c r="J2055" t="s">
        <v>11</v>
      </c>
      <c r="K2055" t="s">
        <v>12</v>
      </c>
      <c r="L2055" s="12" t="s">
        <v>107</v>
      </c>
      <c r="M2055" s="12" t="s">
        <v>105</v>
      </c>
      <c r="N2055" s="12" t="s">
        <v>175</v>
      </c>
      <c r="O2055" s="12" t="s">
        <v>73</v>
      </c>
      <c r="P2055" s="12" t="s">
        <v>143</v>
      </c>
      <c r="Q2055" s="7" t="str">
        <f t="shared" si="97"/>
        <v>(1996,28,'1996.07.13',30,50,55,76,77,0),</v>
      </c>
      <c r="R2055" s="7" t="str">
        <f t="shared" si="99"/>
        <v>(1996,28,'1996.07.13',30,50,55,76,77),</v>
      </c>
    </row>
    <row r="2056" spans="1:18" x14ac:dyDescent="0.25">
      <c r="A2056" s="7" t="s">
        <v>5843</v>
      </c>
      <c r="B2056" s="8" t="s">
        <v>116</v>
      </c>
      <c r="C2056" s="10">
        <f t="shared" si="98"/>
        <v>35266</v>
      </c>
      <c r="D2056" t="s">
        <v>11</v>
      </c>
      <c r="E2056" t="s">
        <v>12</v>
      </c>
      <c r="F2056" t="s">
        <v>11</v>
      </c>
      <c r="G2056" t="s">
        <v>12</v>
      </c>
      <c r="H2056" t="s">
        <v>11</v>
      </c>
      <c r="I2056" t="s">
        <v>12</v>
      </c>
      <c r="J2056" t="s">
        <v>11</v>
      </c>
      <c r="K2056" t="s">
        <v>12</v>
      </c>
      <c r="L2056" s="12" t="s">
        <v>116</v>
      </c>
      <c r="M2056" s="12" t="s">
        <v>64</v>
      </c>
      <c r="N2056" s="12" t="s">
        <v>105</v>
      </c>
      <c r="O2056" s="12" t="s">
        <v>201</v>
      </c>
      <c r="P2056" s="12" t="s">
        <v>269</v>
      </c>
      <c r="Q2056" s="7" t="str">
        <f t="shared" si="97"/>
        <v>(1996,29,'1996.07.20',29,35,50,72,87,0),</v>
      </c>
      <c r="R2056" s="7" t="str">
        <f t="shared" si="99"/>
        <v>(1996,29,'1996.07.20',29,35,50,72,87),</v>
      </c>
    </row>
    <row r="2057" spans="1:18" x14ac:dyDescent="0.25">
      <c r="A2057" s="7" t="s">
        <v>5843</v>
      </c>
      <c r="B2057" s="8" t="s">
        <v>107</v>
      </c>
      <c r="C2057" s="10">
        <f t="shared" si="98"/>
        <v>35273</v>
      </c>
      <c r="D2057" t="s">
        <v>11</v>
      </c>
      <c r="E2057" t="s">
        <v>12</v>
      </c>
      <c r="F2057" t="s">
        <v>11</v>
      </c>
      <c r="G2057" t="s">
        <v>12</v>
      </c>
      <c r="H2057" t="s">
        <v>11</v>
      </c>
      <c r="I2057" t="s">
        <v>12</v>
      </c>
      <c r="J2057" t="s">
        <v>11</v>
      </c>
      <c r="K2057" t="s">
        <v>12</v>
      </c>
      <c r="L2057" s="12" t="s">
        <v>33</v>
      </c>
      <c r="M2057" s="12" t="s">
        <v>99</v>
      </c>
      <c r="N2057" s="12" t="s">
        <v>143</v>
      </c>
      <c r="O2057" s="12" t="s">
        <v>301</v>
      </c>
      <c r="P2057" s="12" t="s">
        <v>208</v>
      </c>
      <c r="Q2057" s="7" t="str">
        <f t="shared" si="97"/>
        <v>(1996,30,'1996.07.27',24,52,77,80,88,0),</v>
      </c>
      <c r="R2057" s="7" t="str">
        <f t="shared" si="99"/>
        <v>(1996,30,'1996.07.27',24,52,77,80,88),</v>
      </c>
    </row>
    <row r="2058" spans="1:18" x14ac:dyDescent="0.25">
      <c r="A2058" s="7" t="s">
        <v>5843</v>
      </c>
      <c r="B2058" s="8" t="s">
        <v>71</v>
      </c>
      <c r="C2058" s="10">
        <f t="shared" si="98"/>
        <v>35280</v>
      </c>
      <c r="D2058" t="s">
        <v>11</v>
      </c>
      <c r="E2058" t="s">
        <v>12</v>
      </c>
      <c r="F2058" t="s">
        <v>11</v>
      </c>
      <c r="G2058" t="s">
        <v>12</v>
      </c>
      <c r="H2058" t="s">
        <v>11</v>
      </c>
      <c r="I2058" t="s">
        <v>12</v>
      </c>
      <c r="J2058" t="s">
        <v>11</v>
      </c>
      <c r="K2058" t="s">
        <v>12</v>
      </c>
      <c r="L2058" s="12" t="s">
        <v>115</v>
      </c>
      <c r="M2058" s="12" t="s">
        <v>80</v>
      </c>
      <c r="N2058" s="12" t="s">
        <v>56</v>
      </c>
      <c r="O2058" s="12" t="s">
        <v>63</v>
      </c>
      <c r="P2058" s="12" t="s">
        <v>246</v>
      </c>
      <c r="Q2058" s="7" t="str">
        <f t="shared" si="97"/>
        <v>(1996,31,'1996.08.03',20,32,71,78,84,0),</v>
      </c>
      <c r="R2058" s="7" t="str">
        <f t="shared" si="99"/>
        <v>(1996,31,'1996.08.03',20,32,71,78,84),</v>
      </c>
    </row>
    <row r="2059" spans="1:18" x14ac:dyDescent="0.25">
      <c r="A2059" s="7" t="s">
        <v>5843</v>
      </c>
      <c r="B2059" s="8" t="s">
        <v>80</v>
      </c>
      <c r="C2059" s="10">
        <f t="shared" si="98"/>
        <v>35287</v>
      </c>
      <c r="D2059" t="s">
        <v>11</v>
      </c>
      <c r="E2059" t="s">
        <v>12</v>
      </c>
      <c r="F2059" t="s">
        <v>11</v>
      </c>
      <c r="G2059" t="s">
        <v>12</v>
      </c>
      <c r="H2059" t="s">
        <v>11</v>
      </c>
      <c r="I2059" t="s">
        <v>12</v>
      </c>
      <c r="J2059" t="s">
        <v>11</v>
      </c>
      <c r="K2059" t="s">
        <v>12</v>
      </c>
      <c r="L2059" s="12" t="s">
        <v>62</v>
      </c>
      <c r="M2059" s="12" t="s">
        <v>33</v>
      </c>
      <c r="N2059" s="12" t="s">
        <v>80</v>
      </c>
      <c r="O2059" s="12" t="s">
        <v>72</v>
      </c>
      <c r="P2059" s="12" t="s">
        <v>201</v>
      </c>
      <c r="Q2059" s="7" t="str">
        <f t="shared" si="97"/>
        <v>(1996,32,'1996.08.10',10,24,32,67,72,0),</v>
      </c>
      <c r="R2059" s="7" t="str">
        <f t="shared" si="99"/>
        <v>(1996,32,'1996.08.10',10,24,32,67,72),</v>
      </c>
    </row>
    <row r="2060" spans="1:18" x14ac:dyDescent="0.25">
      <c r="A2060" s="7" t="s">
        <v>5843</v>
      </c>
      <c r="B2060" s="8" t="s">
        <v>20</v>
      </c>
      <c r="C2060" s="10">
        <f t="shared" si="98"/>
        <v>35294</v>
      </c>
      <c r="D2060" t="s">
        <v>11</v>
      </c>
      <c r="E2060" t="s">
        <v>12</v>
      </c>
      <c r="F2060" t="s">
        <v>11</v>
      </c>
      <c r="G2060" t="s">
        <v>12</v>
      </c>
      <c r="H2060" t="s">
        <v>11</v>
      </c>
      <c r="I2060" t="s">
        <v>12</v>
      </c>
      <c r="J2060" t="s">
        <v>11</v>
      </c>
      <c r="K2060" t="s">
        <v>12</v>
      </c>
      <c r="L2060" s="12" t="s">
        <v>74</v>
      </c>
      <c r="M2060" s="12" t="s">
        <v>46</v>
      </c>
      <c r="N2060" s="12" t="s">
        <v>10</v>
      </c>
      <c r="O2060" s="12" t="s">
        <v>201</v>
      </c>
      <c r="P2060" s="12" t="s">
        <v>468</v>
      </c>
      <c r="Q2060" s="7" t="str">
        <f t="shared" si="97"/>
        <v>(1996,33,'1996.08.17',26,37,40,72,85,0),</v>
      </c>
      <c r="R2060" s="7" t="str">
        <f t="shared" si="99"/>
        <v>(1996,33,'1996.08.17',26,37,40,72,85),</v>
      </c>
    </row>
    <row r="2061" spans="1:18" x14ac:dyDescent="0.25">
      <c r="A2061" s="7" t="s">
        <v>5843</v>
      </c>
      <c r="B2061" s="8" t="s">
        <v>25</v>
      </c>
      <c r="C2061" s="10">
        <f t="shared" si="98"/>
        <v>35301</v>
      </c>
      <c r="D2061" t="s">
        <v>11</v>
      </c>
      <c r="E2061" t="s">
        <v>12</v>
      </c>
      <c r="F2061" t="s">
        <v>11</v>
      </c>
      <c r="G2061" t="s">
        <v>12</v>
      </c>
      <c r="H2061" t="s">
        <v>11</v>
      </c>
      <c r="I2061" t="s">
        <v>12</v>
      </c>
      <c r="J2061" t="s">
        <v>11</v>
      </c>
      <c r="K2061" t="s">
        <v>12</v>
      </c>
      <c r="L2061" s="12" t="s">
        <v>207</v>
      </c>
      <c r="M2061" s="12" t="s">
        <v>89</v>
      </c>
      <c r="N2061" s="12" t="s">
        <v>115</v>
      </c>
      <c r="O2061" s="12" t="s">
        <v>98</v>
      </c>
      <c r="P2061" s="12" t="s">
        <v>63</v>
      </c>
      <c r="Q2061" s="7" t="str">
        <f t="shared" si="97"/>
        <v>(1996,34,'1996.08.24',2,5,20,42,78,0),</v>
      </c>
      <c r="R2061" s="7" t="str">
        <f t="shared" si="99"/>
        <v>(1996,34,'1996.08.24',2,5,20,42,78),</v>
      </c>
    </row>
    <row r="2062" spans="1:18" x14ac:dyDescent="0.25">
      <c r="A2062" s="7" t="s">
        <v>5843</v>
      </c>
      <c r="B2062" s="8" t="s">
        <v>64</v>
      </c>
      <c r="C2062" s="10">
        <f t="shared" si="98"/>
        <v>35308</v>
      </c>
      <c r="D2062" t="s">
        <v>11</v>
      </c>
      <c r="E2062" t="s">
        <v>12</v>
      </c>
      <c r="F2062" t="s">
        <v>11</v>
      </c>
      <c r="G2062" t="s">
        <v>12</v>
      </c>
      <c r="H2062" t="s">
        <v>11</v>
      </c>
      <c r="I2062" t="s">
        <v>12</v>
      </c>
      <c r="J2062" t="s">
        <v>11</v>
      </c>
      <c r="K2062" t="s">
        <v>12</v>
      </c>
      <c r="L2062" s="12" t="s">
        <v>44</v>
      </c>
      <c r="M2062" s="12" t="s">
        <v>152</v>
      </c>
      <c r="N2062" s="12" t="s">
        <v>24</v>
      </c>
      <c r="O2062" s="12" t="s">
        <v>133</v>
      </c>
      <c r="P2062" s="12" t="s">
        <v>134</v>
      </c>
      <c r="Q2062" s="7" t="str">
        <f t="shared" si="97"/>
        <v>(1996,35,'1996.08.31',21,25,39,45,56,0),</v>
      </c>
      <c r="R2062" s="7" t="str">
        <f t="shared" si="99"/>
        <v>(1996,35,'1996.08.31',21,25,39,45,56),</v>
      </c>
    </row>
    <row r="2063" spans="1:18" x14ac:dyDescent="0.25">
      <c r="A2063" s="7" t="s">
        <v>5843</v>
      </c>
      <c r="B2063" s="8" t="s">
        <v>21</v>
      </c>
      <c r="C2063" s="10">
        <f t="shared" si="98"/>
        <v>35315</v>
      </c>
      <c r="D2063" t="s">
        <v>11</v>
      </c>
      <c r="E2063" t="s">
        <v>12</v>
      </c>
      <c r="F2063" t="s">
        <v>11</v>
      </c>
      <c r="G2063" t="s">
        <v>12</v>
      </c>
      <c r="H2063" t="s">
        <v>11</v>
      </c>
      <c r="I2063" t="s">
        <v>12</v>
      </c>
      <c r="J2063" t="s">
        <v>11</v>
      </c>
      <c r="K2063" t="s">
        <v>12</v>
      </c>
      <c r="L2063" s="12" t="s">
        <v>55</v>
      </c>
      <c r="M2063" s="12" t="s">
        <v>126</v>
      </c>
      <c r="N2063" s="12" t="s">
        <v>134</v>
      </c>
      <c r="O2063" s="12" t="s">
        <v>201</v>
      </c>
      <c r="P2063" s="12" t="s">
        <v>269</v>
      </c>
      <c r="Q2063" s="7" t="str">
        <f t="shared" si="97"/>
        <v>(1996,36,'1996.09.07',19,28,56,72,87,0),</v>
      </c>
      <c r="R2063" s="7" t="str">
        <f t="shared" si="99"/>
        <v>(1996,36,'1996.09.07',19,28,56,72,87),</v>
      </c>
    </row>
    <row r="2064" spans="1:18" x14ac:dyDescent="0.25">
      <c r="A2064" s="7" t="s">
        <v>5843</v>
      </c>
      <c r="B2064" s="8" t="s">
        <v>46</v>
      </c>
      <c r="C2064" s="10">
        <f t="shared" si="98"/>
        <v>35322</v>
      </c>
      <c r="D2064" t="s">
        <v>11</v>
      </c>
      <c r="E2064" t="s">
        <v>12</v>
      </c>
      <c r="F2064" t="s">
        <v>11</v>
      </c>
      <c r="G2064" t="s">
        <v>12</v>
      </c>
      <c r="H2064" t="s">
        <v>11</v>
      </c>
      <c r="I2064" t="s">
        <v>12</v>
      </c>
      <c r="J2064" t="s">
        <v>11</v>
      </c>
      <c r="K2064" t="s">
        <v>12</v>
      </c>
      <c r="L2064" s="12" t="s">
        <v>163</v>
      </c>
      <c r="M2064" s="12" t="s">
        <v>74</v>
      </c>
      <c r="N2064" s="12" t="s">
        <v>34</v>
      </c>
      <c r="O2064" s="12" t="s">
        <v>92</v>
      </c>
      <c r="P2064" s="12" t="s">
        <v>63</v>
      </c>
      <c r="Q2064" s="7" t="str">
        <f t="shared" si="97"/>
        <v>(1996,37,'1996.09.14',23,26,49,68,78,0),</v>
      </c>
      <c r="R2064" s="7" t="str">
        <f t="shared" si="99"/>
        <v>(1996,37,'1996.09.14',23,26,49,68,78),</v>
      </c>
    </row>
    <row r="2065" spans="1:18" x14ac:dyDescent="0.25">
      <c r="A2065" s="7" t="s">
        <v>5843</v>
      </c>
      <c r="B2065" s="8" t="s">
        <v>36</v>
      </c>
      <c r="C2065" s="10">
        <f t="shared" si="98"/>
        <v>35329</v>
      </c>
      <c r="D2065" t="s">
        <v>11</v>
      </c>
      <c r="E2065" t="s">
        <v>12</v>
      </c>
      <c r="F2065" t="s">
        <v>11</v>
      </c>
      <c r="G2065" t="s">
        <v>12</v>
      </c>
      <c r="H2065" t="s">
        <v>11</v>
      </c>
      <c r="I2065" t="s">
        <v>12</v>
      </c>
      <c r="J2065" t="s">
        <v>11</v>
      </c>
      <c r="K2065" t="s">
        <v>12</v>
      </c>
      <c r="L2065" s="12" t="s">
        <v>127</v>
      </c>
      <c r="M2065" s="12" t="s">
        <v>135</v>
      </c>
      <c r="N2065" s="12" t="s">
        <v>13</v>
      </c>
      <c r="O2065" s="12" t="s">
        <v>134</v>
      </c>
      <c r="P2065" s="12" t="s">
        <v>73</v>
      </c>
      <c r="Q2065" s="7" t="str">
        <f t="shared" si="97"/>
        <v>(1996,38,'1996.09.21',14,27,41,56,76,0),</v>
      </c>
      <c r="R2065" s="7" t="str">
        <f t="shared" si="99"/>
        <v>(1996,38,'1996.09.21',14,27,41,56,76),</v>
      </c>
    </row>
    <row r="2066" spans="1:18" x14ac:dyDescent="0.25">
      <c r="A2066" s="7" t="s">
        <v>5843</v>
      </c>
      <c r="B2066" s="8" t="s">
        <v>24</v>
      </c>
      <c r="C2066" s="10">
        <f t="shared" si="98"/>
        <v>35336</v>
      </c>
      <c r="D2066" t="s">
        <v>11</v>
      </c>
      <c r="E2066" t="s">
        <v>12</v>
      </c>
      <c r="F2066" t="s">
        <v>11</v>
      </c>
      <c r="G2066" t="s">
        <v>12</v>
      </c>
      <c r="H2066" t="s">
        <v>11</v>
      </c>
      <c r="I2066" t="s">
        <v>12</v>
      </c>
      <c r="J2066" t="s">
        <v>11</v>
      </c>
      <c r="K2066" t="s">
        <v>12</v>
      </c>
      <c r="L2066" s="12" t="s">
        <v>116</v>
      </c>
      <c r="M2066" s="12" t="s">
        <v>10</v>
      </c>
      <c r="N2066" s="12" t="s">
        <v>122</v>
      </c>
      <c r="O2066" s="12" t="s">
        <v>35</v>
      </c>
      <c r="P2066" s="12" t="s">
        <v>233</v>
      </c>
      <c r="Q2066" s="7" t="str">
        <f t="shared" si="97"/>
        <v>(1996,39,'1996.09.28',29,40,51,65,66,0),</v>
      </c>
      <c r="R2066" s="7" t="str">
        <f t="shared" si="99"/>
        <v>(1996,39,'1996.09.28',29,40,51,65,66),</v>
      </c>
    </row>
    <row r="2067" spans="1:18" x14ac:dyDescent="0.25">
      <c r="A2067" s="7" t="s">
        <v>5843</v>
      </c>
      <c r="B2067" s="8" t="s">
        <v>10</v>
      </c>
      <c r="C2067" s="10">
        <f t="shared" si="98"/>
        <v>35343</v>
      </c>
      <c r="D2067" t="s">
        <v>11</v>
      </c>
      <c r="E2067" t="s">
        <v>12</v>
      </c>
      <c r="F2067" t="s">
        <v>11</v>
      </c>
      <c r="G2067" t="s">
        <v>12</v>
      </c>
      <c r="H2067" t="s">
        <v>11</v>
      </c>
      <c r="I2067" t="s">
        <v>12</v>
      </c>
      <c r="J2067" t="s">
        <v>11</v>
      </c>
      <c r="K2067" t="s">
        <v>12</v>
      </c>
      <c r="L2067" s="12" t="s">
        <v>53</v>
      </c>
      <c r="M2067" s="12" t="s">
        <v>116</v>
      </c>
      <c r="N2067" s="12" t="s">
        <v>10</v>
      </c>
      <c r="O2067" s="12" t="s">
        <v>248</v>
      </c>
      <c r="P2067" s="12" t="s">
        <v>143</v>
      </c>
      <c r="Q2067" s="7" t="str">
        <f t="shared" si="97"/>
        <v>(1996,40,'1996.10.05',7,29,40,63,77,0),</v>
      </c>
      <c r="R2067" s="7" t="str">
        <f t="shared" si="99"/>
        <v>(1996,40,'1996.10.05',7,29,40,63,77),</v>
      </c>
    </row>
    <row r="2068" spans="1:18" x14ac:dyDescent="0.25">
      <c r="A2068" s="7" t="s">
        <v>5843</v>
      </c>
      <c r="B2068" s="8" t="s">
        <v>13</v>
      </c>
      <c r="C2068" s="10">
        <f t="shared" si="98"/>
        <v>35350</v>
      </c>
      <c r="D2068" t="s">
        <v>11</v>
      </c>
      <c r="E2068" t="s">
        <v>12</v>
      </c>
      <c r="F2068" t="s">
        <v>11</v>
      </c>
      <c r="G2068" t="s">
        <v>12</v>
      </c>
      <c r="H2068" t="s">
        <v>11</v>
      </c>
      <c r="I2068" t="s">
        <v>12</v>
      </c>
      <c r="J2068" t="s">
        <v>11</v>
      </c>
      <c r="K2068" t="s">
        <v>12</v>
      </c>
      <c r="L2068" s="12" t="s">
        <v>65</v>
      </c>
      <c r="M2068" s="12" t="s">
        <v>32</v>
      </c>
      <c r="N2068" s="12" t="s">
        <v>36</v>
      </c>
      <c r="O2068" s="12" t="s">
        <v>35</v>
      </c>
      <c r="P2068" s="12" t="s">
        <v>186</v>
      </c>
      <c r="Q2068" s="7" t="str">
        <f t="shared" si="97"/>
        <v>(1996,41,'1996.10.12',13,22,38,65,90,0),</v>
      </c>
      <c r="R2068" s="7" t="str">
        <f t="shared" si="99"/>
        <v>(1996,41,'1996.10.12',13,22,38,65,90),</v>
      </c>
    </row>
    <row r="2069" spans="1:18" x14ac:dyDescent="0.25">
      <c r="A2069" s="7" t="s">
        <v>5843</v>
      </c>
      <c r="B2069" s="8" t="s">
        <v>98</v>
      </c>
      <c r="C2069" s="10">
        <f t="shared" si="98"/>
        <v>35357</v>
      </c>
      <c r="D2069" t="s">
        <v>11</v>
      </c>
      <c r="E2069" t="s">
        <v>12</v>
      </c>
      <c r="F2069" t="s">
        <v>11</v>
      </c>
      <c r="G2069" t="s">
        <v>12</v>
      </c>
      <c r="H2069" t="s">
        <v>11</v>
      </c>
      <c r="I2069" t="s">
        <v>12</v>
      </c>
      <c r="J2069" t="s">
        <v>11</v>
      </c>
      <c r="K2069" t="s">
        <v>12</v>
      </c>
      <c r="L2069" s="12" t="s">
        <v>62</v>
      </c>
      <c r="M2069" s="12" t="s">
        <v>116</v>
      </c>
      <c r="N2069" s="12" t="s">
        <v>142</v>
      </c>
      <c r="O2069" s="12" t="s">
        <v>99</v>
      </c>
      <c r="P2069" s="12" t="s">
        <v>143</v>
      </c>
      <c r="Q2069" s="7" t="str">
        <f t="shared" si="97"/>
        <v>(1996,42,'1996.10.19',10,29,44,52,77,0),</v>
      </c>
      <c r="R2069" s="7" t="str">
        <f t="shared" si="99"/>
        <v>(1996,42,'1996.10.19',10,29,44,52,77),</v>
      </c>
    </row>
    <row r="2070" spans="1:18" x14ac:dyDescent="0.25">
      <c r="A2070" s="7" t="s">
        <v>5843</v>
      </c>
      <c r="B2070" s="8" t="s">
        <v>45</v>
      </c>
      <c r="C2070" s="10">
        <f t="shared" si="98"/>
        <v>35364</v>
      </c>
      <c r="D2070" t="s">
        <v>11</v>
      </c>
      <c r="E2070" t="s">
        <v>12</v>
      </c>
      <c r="F2070" t="s">
        <v>11</v>
      </c>
      <c r="G2070" t="s">
        <v>12</v>
      </c>
      <c r="H2070" t="s">
        <v>11</v>
      </c>
      <c r="I2070" t="s">
        <v>12</v>
      </c>
      <c r="J2070" t="s">
        <v>11</v>
      </c>
      <c r="K2070" t="s">
        <v>12</v>
      </c>
      <c r="L2070" s="12" t="s">
        <v>83</v>
      </c>
      <c r="M2070" s="12" t="s">
        <v>10</v>
      </c>
      <c r="N2070" s="12" t="s">
        <v>133</v>
      </c>
      <c r="O2070" s="12" t="s">
        <v>201</v>
      </c>
      <c r="P2070" s="12" t="s">
        <v>301</v>
      </c>
      <c r="Q2070" s="7" t="str">
        <f t="shared" si="97"/>
        <v>(1996,43,'1996.10.26',11,40,45,72,80,0),</v>
      </c>
      <c r="R2070" s="7" t="str">
        <f t="shared" si="99"/>
        <v>(1996,43,'1996.10.26',11,40,45,72,80),</v>
      </c>
    </row>
    <row r="2071" spans="1:18" x14ac:dyDescent="0.25">
      <c r="A2071" s="7" t="s">
        <v>5843</v>
      </c>
      <c r="B2071" s="8" t="s">
        <v>142</v>
      </c>
      <c r="C2071" s="10">
        <f t="shared" si="98"/>
        <v>35371</v>
      </c>
      <c r="D2071" t="s">
        <v>11</v>
      </c>
      <c r="E2071" t="s">
        <v>12</v>
      </c>
      <c r="F2071" t="s">
        <v>11</v>
      </c>
      <c r="G2071" t="s">
        <v>12</v>
      </c>
      <c r="H2071" t="s">
        <v>11</v>
      </c>
      <c r="I2071" t="s">
        <v>12</v>
      </c>
      <c r="J2071" t="s">
        <v>11</v>
      </c>
      <c r="K2071" t="s">
        <v>12</v>
      </c>
      <c r="L2071" s="12" t="s">
        <v>168</v>
      </c>
      <c r="M2071" s="12" t="s">
        <v>270</v>
      </c>
      <c r="N2071" s="12" t="s">
        <v>135</v>
      </c>
      <c r="O2071" s="12" t="s">
        <v>92</v>
      </c>
      <c r="P2071" s="12" t="s">
        <v>379</v>
      </c>
      <c r="Q2071" s="7" t="str">
        <f t="shared" si="97"/>
        <v>(1996,44,'1996.11.02',4,6,27,68,89,0),</v>
      </c>
      <c r="R2071" s="7" t="str">
        <f t="shared" si="99"/>
        <v>(1996,44,'1996.11.02',4,6,27,68,89),</v>
      </c>
    </row>
    <row r="2072" spans="1:18" x14ac:dyDescent="0.25">
      <c r="A2072" s="7" t="s">
        <v>5843</v>
      </c>
      <c r="B2072" s="8" t="s">
        <v>133</v>
      </c>
      <c r="C2072" s="10">
        <f t="shared" si="98"/>
        <v>35378</v>
      </c>
      <c r="D2072" t="s">
        <v>11</v>
      </c>
      <c r="E2072" t="s">
        <v>12</v>
      </c>
      <c r="F2072" t="s">
        <v>11</v>
      </c>
      <c r="G2072" t="s">
        <v>12</v>
      </c>
      <c r="H2072" t="s">
        <v>11</v>
      </c>
      <c r="I2072" t="s">
        <v>12</v>
      </c>
      <c r="J2072" t="s">
        <v>11</v>
      </c>
      <c r="K2072" t="s">
        <v>12</v>
      </c>
      <c r="L2072" s="12" t="s">
        <v>32</v>
      </c>
      <c r="M2072" s="12" t="s">
        <v>71</v>
      </c>
      <c r="N2072" s="12" t="s">
        <v>105</v>
      </c>
      <c r="O2072" s="12" t="s">
        <v>23</v>
      </c>
      <c r="P2072" s="12" t="s">
        <v>72</v>
      </c>
      <c r="Q2072" s="7" t="str">
        <f t="shared" si="97"/>
        <v>(1996,45,'1996.11.09',22,31,50,60,67,0),</v>
      </c>
      <c r="R2072" s="7" t="str">
        <f t="shared" si="99"/>
        <v>(1996,45,'1996.11.09',22,31,50,60,67),</v>
      </c>
    </row>
    <row r="2073" spans="1:18" x14ac:dyDescent="0.25">
      <c r="A2073" s="7" t="s">
        <v>5843</v>
      </c>
      <c r="B2073" s="8" t="s">
        <v>192</v>
      </c>
      <c r="C2073" s="10">
        <f t="shared" si="98"/>
        <v>35385</v>
      </c>
      <c r="D2073" t="s">
        <v>11</v>
      </c>
      <c r="E2073" t="s">
        <v>12</v>
      </c>
      <c r="F2073" t="s">
        <v>11</v>
      </c>
      <c r="G2073" t="s">
        <v>12</v>
      </c>
      <c r="H2073" t="s">
        <v>11</v>
      </c>
      <c r="I2073" t="s">
        <v>12</v>
      </c>
      <c r="J2073" t="s">
        <v>11</v>
      </c>
      <c r="K2073" t="s">
        <v>12</v>
      </c>
      <c r="L2073" s="12" t="s">
        <v>89</v>
      </c>
      <c r="M2073" s="12" t="s">
        <v>81</v>
      </c>
      <c r="N2073" s="12" t="s">
        <v>124</v>
      </c>
      <c r="O2073" s="12" t="s">
        <v>106</v>
      </c>
      <c r="P2073" s="12" t="s">
        <v>246</v>
      </c>
      <c r="Q2073" s="7" t="str">
        <f t="shared" si="97"/>
        <v>(1996,46,'1996.11.16',5,47,62,75,84,0),</v>
      </c>
      <c r="R2073" s="7" t="str">
        <f t="shared" si="99"/>
        <v>(1996,46,'1996.11.16',5,47,62,75,84),</v>
      </c>
    </row>
    <row r="2074" spans="1:18" x14ac:dyDescent="0.25">
      <c r="A2074" s="7" t="s">
        <v>5843</v>
      </c>
      <c r="B2074" s="8" t="s">
        <v>81</v>
      </c>
      <c r="C2074" s="10">
        <f t="shared" si="98"/>
        <v>35392</v>
      </c>
      <c r="D2074" t="s">
        <v>11</v>
      </c>
      <c r="E2074" t="s">
        <v>12</v>
      </c>
      <c r="F2074" t="s">
        <v>11</v>
      </c>
      <c r="G2074" t="s">
        <v>12</v>
      </c>
      <c r="H2074" t="s">
        <v>11</v>
      </c>
      <c r="I2074" t="s">
        <v>12</v>
      </c>
      <c r="J2074" t="s">
        <v>11</v>
      </c>
      <c r="K2074" t="s">
        <v>12</v>
      </c>
      <c r="L2074" s="12" t="s">
        <v>126</v>
      </c>
      <c r="M2074" s="12" t="s">
        <v>64</v>
      </c>
      <c r="N2074" s="12" t="s">
        <v>47</v>
      </c>
      <c r="O2074" s="12" t="s">
        <v>215</v>
      </c>
      <c r="P2074" s="12" t="s">
        <v>622</v>
      </c>
      <c r="Q2074" s="7" t="str">
        <f t="shared" si="97"/>
        <v>(1996,47,'1996.11.23',28,35,69,81,82,0),</v>
      </c>
      <c r="R2074" s="7" t="str">
        <f t="shared" si="99"/>
        <v>(1996,47,'1996.11.23',28,35,69,81,82),</v>
      </c>
    </row>
    <row r="2075" spans="1:18" x14ac:dyDescent="0.25">
      <c r="A2075" s="7" t="s">
        <v>5843</v>
      </c>
      <c r="B2075" s="8" t="s">
        <v>22</v>
      </c>
      <c r="C2075" s="10">
        <f t="shared" si="98"/>
        <v>35399</v>
      </c>
      <c r="D2075" t="s">
        <v>11</v>
      </c>
      <c r="E2075" t="s">
        <v>12</v>
      </c>
      <c r="F2075" t="s">
        <v>11</v>
      </c>
      <c r="G2075" t="s">
        <v>12</v>
      </c>
      <c r="H2075" t="s">
        <v>11</v>
      </c>
      <c r="I2075" t="s">
        <v>12</v>
      </c>
      <c r="J2075" t="s">
        <v>11</v>
      </c>
      <c r="K2075" t="s">
        <v>12</v>
      </c>
      <c r="L2075" s="12" t="s">
        <v>43</v>
      </c>
      <c r="M2075" s="12" t="s">
        <v>135</v>
      </c>
      <c r="N2075" s="12" t="s">
        <v>20</v>
      </c>
      <c r="O2075" s="12" t="s">
        <v>25</v>
      </c>
      <c r="P2075" s="12" t="s">
        <v>192</v>
      </c>
      <c r="Q2075" s="7" t="str">
        <f t="shared" si="97"/>
        <v>(1996,48,'1996.11.30',16,27,33,34,46,0),</v>
      </c>
      <c r="R2075" s="7" t="str">
        <f t="shared" si="99"/>
        <v>(1996,48,'1996.11.30',16,27,33,34,46),</v>
      </c>
    </row>
    <row r="2076" spans="1:18" x14ac:dyDescent="0.25">
      <c r="A2076" s="7" t="s">
        <v>5843</v>
      </c>
      <c r="B2076" s="8" t="s">
        <v>34</v>
      </c>
      <c r="C2076" s="10">
        <f t="shared" si="98"/>
        <v>35406</v>
      </c>
      <c r="D2076" t="s">
        <v>11</v>
      </c>
      <c r="E2076" t="s">
        <v>12</v>
      </c>
      <c r="F2076" t="s">
        <v>11</v>
      </c>
      <c r="G2076" t="s">
        <v>12</v>
      </c>
      <c r="H2076" t="s">
        <v>11</v>
      </c>
      <c r="I2076" t="s">
        <v>12</v>
      </c>
      <c r="J2076" t="s">
        <v>11</v>
      </c>
      <c r="K2076" t="s">
        <v>12</v>
      </c>
      <c r="L2076" s="12" t="s">
        <v>53</v>
      </c>
      <c r="M2076" s="12" t="s">
        <v>127</v>
      </c>
      <c r="N2076" s="12" t="s">
        <v>20</v>
      </c>
      <c r="O2076" s="12" t="s">
        <v>214</v>
      </c>
      <c r="P2076" s="12" t="s">
        <v>622</v>
      </c>
      <c r="Q2076" s="7" t="str">
        <f t="shared" si="97"/>
        <v>(1996,49,'1996.12.07',7,14,33,64,82,0),</v>
      </c>
      <c r="R2076" s="7" t="str">
        <f t="shared" si="99"/>
        <v>(1996,49,'1996.12.07',7,14,33,64,82),</v>
      </c>
    </row>
    <row r="2077" spans="1:18" x14ac:dyDescent="0.25">
      <c r="A2077" s="7" t="s">
        <v>5843</v>
      </c>
      <c r="B2077" s="8" t="s">
        <v>105</v>
      </c>
      <c r="C2077" s="10">
        <f t="shared" si="98"/>
        <v>35413</v>
      </c>
      <c r="D2077" t="s">
        <v>11</v>
      </c>
      <c r="E2077" t="s">
        <v>12</v>
      </c>
      <c r="F2077" t="s">
        <v>11</v>
      </c>
      <c r="G2077" t="s">
        <v>12</v>
      </c>
      <c r="H2077" t="s">
        <v>11</v>
      </c>
      <c r="I2077" t="s">
        <v>12</v>
      </c>
      <c r="J2077" t="s">
        <v>11</v>
      </c>
      <c r="K2077" t="s">
        <v>12</v>
      </c>
      <c r="L2077" s="12" t="s">
        <v>108</v>
      </c>
      <c r="M2077" s="12" t="s">
        <v>127</v>
      </c>
      <c r="N2077" s="12" t="s">
        <v>32</v>
      </c>
      <c r="O2077" s="12" t="s">
        <v>201</v>
      </c>
      <c r="P2077" s="12" t="s">
        <v>379</v>
      </c>
      <c r="Q2077" s="7" t="str">
        <f t="shared" si="97"/>
        <v>(1996,50,'1996.12.14',1,14,22,72,89,0),</v>
      </c>
      <c r="R2077" s="7" t="str">
        <f t="shared" si="99"/>
        <v>(1996,50,'1996.12.14',1,14,22,72,89),</v>
      </c>
    </row>
    <row r="2078" spans="1:18" x14ac:dyDescent="0.25">
      <c r="A2078" s="7" t="s">
        <v>5843</v>
      </c>
      <c r="B2078" s="8" t="s">
        <v>122</v>
      </c>
      <c r="C2078" s="10">
        <f t="shared" si="98"/>
        <v>35420</v>
      </c>
      <c r="D2078" t="s">
        <v>11</v>
      </c>
      <c r="E2078" t="s">
        <v>12</v>
      </c>
      <c r="F2078" t="s">
        <v>11</v>
      </c>
      <c r="G2078" t="s">
        <v>12</v>
      </c>
      <c r="H2078" t="s">
        <v>11</v>
      </c>
      <c r="I2078" t="s">
        <v>12</v>
      </c>
      <c r="J2078" t="s">
        <v>11</v>
      </c>
      <c r="K2078" t="s">
        <v>12</v>
      </c>
      <c r="L2078" s="12" t="s">
        <v>168</v>
      </c>
      <c r="M2078" s="12" t="s">
        <v>90</v>
      </c>
      <c r="N2078" s="12" t="s">
        <v>163</v>
      </c>
      <c r="O2078" s="12" t="s">
        <v>81</v>
      </c>
      <c r="P2078" s="12" t="s">
        <v>233</v>
      </c>
      <c r="Q2078" s="7" t="str">
        <f t="shared" si="97"/>
        <v>(1996,51,'1996.12.21',4,17,23,47,66,0),</v>
      </c>
      <c r="R2078" s="7" t="str">
        <f t="shared" si="99"/>
        <v>(1996,51,'1996.12.21',4,17,23,47,66),</v>
      </c>
    </row>
    <row r="2079" spans="1:18" x14ac:dyDescent="0.25">
      <c r="A2079" s="7" t="s">
        <v>5843</v>
      </c>
      <c r="B2079" s="8" t="s">
        <v>99</v>
      </c>
      <c r="C2079" s="10">
        <f t="shared" si="98"/>
        <v>35427</v>
      </c>
      <c r="D2079" t="s">
        <v>11</v>
      </c>
      <c r="E2079" t="s">
        <v>12</v>
      </c>
      <c r="F2079" t="s">
        <v>11</v>
      </c>
      <c r="G2079" t="s">
        <v>12</v>
      </c>
      <c r="H2079" t="s">
        <v>11</v>
      </c>
      <c r="I2079" t="s">
        <v>12</v>
      </c>
      <c r="J2079" t="s">
        <v>11</v>
      </c>
      <c r="K2079" t="s">
        <v>12</v>
      </c>
      <c r="L2079" s="12" t="s">
        <v>83</v>
      </c>
      <c r="M2079" s="12" t="s">
        <v>65</v>
      </c>
      <c r="N2079" s="12" t="s">
        <v>133</v>
      </c>
      <c r="O2079" s="12" t="s">
        <v>72</v>
      </c>
      <c r="P2079" s="12" t="s">
        <v>106</v>
      </c>
      <c r="Q2079" s="7" t="str">
        <f t="shared" si="97"/>
        <v>(1996,52,'1996.12.28',11,13,45,67,75,0),</v>
      </c>
      <c r="R2079" s="7" t="str">
        <f t="shared" si="99"/>
        <v>(1996,52,'1996.12.28',11,13,45,67,75),</v>
      </c>
    </row>
    <row r="2080" spans="1:18" x14ac:dyDescent="0.25">
      <c r="A2080" s="7" t="s">
        <v>5842</v>
      </c>
      <c r="B2080" s="8" t="s">
        <v>108</v>
      </c>
      <c r="C2080" s="10">
        <f t="shared" si="98"/>
        <v>35434</v>
      </c>
      <c r="D2080" t="s">
        <v>11</v>
      </c>
      <c r="E2080" t="s">
        <v>12</v>
      </c>
      <c r="F2080" t="s">
        <v>11</v>
      </c>
      <c r="G2080" t="s">
        <v>12</v>
      </c>
      <c r="H2080" t="s">
        <v>11</v>
      </c>
      <c r="I2080" t="s">
        <v>12</v>
      </c>
      <c r="J2080" t="s">
        <v>11</v>
      </c>
      <c r="K2080" t="s">
        <v>12</v>
      </c>
      <c r="L2080" s="12" t="s">
        <v>108</v>
      </c>
      <c r="M2080" s="12" t="s">
        <v>42</v>
      </c>
      <c r="N2080" s="12" t="s">
        <v>62</v>
      </c>
      <c r="O2080" s="12" t="s">
        <v>152</v>
      </c>
      <c r="P2080" s="12" t="s">
        <v>124</v>
      </c>
      <c r="Q2080" s="7" t="str">
        <f t="shared" si="97"/>
        <v>(1997,1,'1997.01.04',1,3,10,25,62,0),</v>
      </c>
      <c r="R2080" s="7" t="str">
        <f t="shared" si="99"/>
        <v>(1997,1,'1997.01.04',1,3,10,25,62),</v>
      </c>
    </row>
    <row r="2081" spans="1:18" x14ac:dyDescent="0.25">
      <c r="A2081" s="7" t="s">
        <v>5842</v>
      </c>
      <c r="B2081" s="8" t="s">
        <v>207</v>
      </c>
      <c r="C2081" s="10">
        <f t="shared" si="98"/>
        <v>35441</v>
      </c>
      <c r="D2081" t="s">
        <v>11</v>
      </c>
      <c r="E2081" t="s">
        <v>12</v>
      </c>
      <c r="F2081" t="s">
        <v>11</v>
      </c>
      <c r="G2081" t="s">
        <v>12</v>
      </c>
      <c r="H2081" t="s">
        <v>11</v>
      </c>
      <c r="I2081" t="s">
        <v>12</v>
      </c>
      <c r="J2081" t="s">
        <v>11</v>
      </c>
      <c r="K2081" t="s">
        <v>12</v>
      </c>
      <c r="L2081" s="12" t="s">
        <v>74</v>
      </c>
      <c r="M2081" s="12" t="s">
        <v>45</v>
      </c>
      <c r="N2081" s="12" t="s">
        <v>123</v>
      </c>
      <c r="O2081" s="12" t="s">
        <v>134</v>
      </c>
      <c r="P2081" s="12" t="s">
        <v>200</v>
      </c>
      <c r="Q2081" s="7" t="str">
        <f t="shared" si="97"/>
        <v>(1997,2,'1997.01.11',26,43,54,56,70,0),</v>
      </c>
      <c r="R2081" s="7" t="str">
        <f t="shared" si="99"/>
        <v>(1997,2,'1997.01.11',26,43,54,56,70),</v>
      </c>
    </row>
    <row r="2082" spans="1:18" x14ac:dyDescent="0.25">
      <c r="A2082" s="7" t="s">
        <v>5842</v>
      </c>
      <c r="B2082" s="8" t="s">
        <v>42</v>
      </c>
      <c r="C2082" s="10">
        <f t="shared" si="98"/>
        <v>35448</v>
      </c>
      <c r="D2082" t="s">
        <v>11</v>
      </c>
      <c r="E2082" t="s">
        <v>12</v>
      </c>
      <c r="F2082" t="s">
        <v>11</v>
      </c>
      <c r="G2082" t="s">
        <v>12</v>
      </c>
      <c r="H2082" t="s">
        <v>11</v>
      </c>
      <c r="I2082" t="s">
        <v>12</v>
      </c>
      <c r="J2082" t="s">
        <v>11</v>
      </c>
      <c r="K2082" t="s">
        <v>12</v>
      </c>
      <c r="L2082" s="12" t="s">
        <v>21</v>
      </c>
      <c r="M2082" s="12" t="s">
        <v>36</v>
      </c>
      <c r="N2082" s="12" t="s">
        <v>98</v>
      </c>
      <c r="O2082" s="12" t="s">
        <v>123</v>
      </c>
      <c r="P2082" s="12" t="s">
        <v>233</v>
      </c>
      <c r="Q2082" s="7" t="str">
        <f t="shared" si="97"/>
        <v>(1997,3,'1997.01.18',36,38,42,54,66,0),</v>
      </c>
      <c r="R2082" s="7" t="str">
        <f t="shared" si="99"/>
        <v>(1997,3,'1997.01.18',36,38,42,54,66),</v>
      </c>
    </row>
    <row r="2083" spans="1:18" x14ac:dyDescent="0.25">
      <c r="A2083" s="7" t="s">
        <v>5842</v>
      </c>
      <c r="B2083" s="8" t="s">
        <v>168</v>
      </c>
      <c r="C2083" s="10">
        <f t="shared" si="98"/>
        <v>35455</v>
      </c>
      <c r="D2083" t="s">
        <v>11</v>
      </c>
      <c r="E2083" t="s">
        <v>12</v>
      </c>
      <c r="F2083" t="s">
        <v>11</v>
      </c>
      <c r="G2083" t="s">
        <v>12</v>
      </c>
      <c r="H2083" t="s">
        <v>11</v>
      </c>
      <c r="I2083" t="s">
        <v>12</v>
      </c>
      <c r="J2083" t="s">
        <v>11</v>
      </c>
      <c r="K2083" t="s">
        <v>12</v>
      </c>
      <c r="L2083" s="12" t="s">
        <v>207</v>
      </c>
      <c r="M2083" s="12" t="s">
        <v>116</v>
      </c>
      <c r="N2083" s="12" t="s">
        <v>10</v>
      </c>
      <c r="O2083" s="12" t="s">
        <v>124</v>
      </c>
      <c r="P2083" s="12" t="s">
        <v>35</v>
      </c>
      <c r="Q2083" s="7" t="str">
        <f t="shared" si="97"/>
        <v>(1997,4,'1997.01.25',2,29,40,62,65,0),</v>
      </c>
      <c r="R2083" s="7" t="str">
        <f t="shared" si="99"/>
        <v>(1997,4,'1997.01.25',2,29,40,62,65),</v>
      </c>
    </row>
    <row r="2084" spans="1:18" x14ac:dyDescent="0.25">
      <c r="A2084" s="7" t="s">
        <v>5842</v>
      </c>
      <c r="B2084" s="8" t="s">
        <v>89</v>
      </c>
      <c r="C2084" s="10">
        <f t="shared" si="98"/>
        <v>35462</v>
      </c>
      <c r="D2084" t="s">
        <v>11</v>
      </c>
      <c r="E2084" t="s">
        <v>12</v>
      </c>
      <c r="F2084" t="s">
        <v>11</v>
      </c>
      <c r="G2084" t="s">
        <v>12</v>
      </c>
      <c r="H2084" t="s">
        <v>11</v>
      </c>
      <c r="I2084" t="s">
        <v>12</v>
      </c>
      <c r="J2084" t="s">
        <v>11</v>
      </c>
      <c r="K2084" t="s">
        <v>12</v>
      </c>
      <c r="L2084" s="12" t="s">
        <v>20</v>
      </c>
      <c r="M2084" s="12" t="s">
        <v>36</v>
      </c>
      <c r="N2084" s="12" t="s">
        <v>192</v>
      </c>
      <c r="O2084" s="12" t="s">
        <v>72</v>
      </c>
      <c r="P2084" s="12" t="s">
        <v>245</v>
      </c>
      <c r="Q2084" s="7" t="str">
        <f t="shared" si="97"/>
        <v>(1997,5,'1997.02.01',33,38,46,67,74,0),</v>
      </c>
      <c r="R2084" s="7" t="str">
        <f t="shared" si="99"/>
        <v>(1997,5,'1997.02.01',33,38,46,67,74),</v>
      </c>
    </row>
    <row r="2085" spans="1:18" x14ac:dyDescent="0.25">
      <c r="A2085" s="7" t="s">
        <v>5842</v>
      </c>
      <c r="B2085" s="8" t="s">
        <v>270</v>
      </c>
      <c r="C2085" s="10">
        <f t="shared" si="98"/>
        <v>35469</v>
      </c>
      <c r="D2085" t="s">
        <v>11</v>
      </c>
      <c r="E2085" t="s">
        <v>12</v>
      </c>
      <c r="F2085" t="s">
        <v>11</v>
      </c>
      <c r="G2085" t="s">
        <v>12</v>
      </c>
      <c r="H2085" t="s">
        <v>11</v>
      </c>
      <c r="I2085" t="s">
        <v>12</v>
      </c>
      <c r="J2085" t="s">
        <v>11</v>
      </c>
      <c r="K2085" t="s">
        <v>12</v>
      </c>
      <c r="L2085" s="12" t="s">
        <v>10</v>
      </c>
      <c r="M2085" s="12" t="s">
        <v>169</v>
      </c>
      <c r="N2085" s="12" t="s">
        <v>233</v>
      </c>
      <c r="O2085" s="12" t="s">
        <v>47</v>
      </c>
      <c r="P2085" s="12" t="s">
        <v>106</v>
      </c>
      <c r="Q2085" s="7" t="str">
        <f t="shared" si="97"/>
        <v>(1997,6,'1997.02.08',40,58,66,69,75,0),</v>
      </c>
      <c r="R2085" s="7" t="str">
        <f t="shared" si="99"/>
        <v>(1997,6,'1997.02.08',40,58,66,69,75),</v>
      </c>
    </row>
    <row r="2086" spans="1:18" x14ac:dyDescent="0.25">
      <c r="A2086" s="7" t="s">
        <v>5842</v>
      </c>
      <c r="B2086" s="8" t="s">
        <v>53</v>
      </c>
      <c r="C2086" s="10">
        <f t="shared" si="98"/>
        <v>35476</v>
      </c>
      <c r="D2086" t="s">
        <v>11</v>
      </c>
      <c r="E2086" t="s">
        <v>12</v>
      </c>
      <c r="F2086" t="s">
        <v>11</v>
      </c>
      <c r="G2086" t="s">
        <v>12</v>
      </c>
      <c r="H2086" t="s">
        <v>11</v>
      </c>
      <c r="I2086" t="s">
        <v>12</v>
      </c>
      <c r="J2086" t="s">
        <v>11</v>
      </c>
      <c r="K2086" t="s">
        <v>12</v>
      </c>
      <c r="L2086" s="12" t="s">
        <v>232</v>
      </c>
      <c r="M2086" s="12" t="s">
        <v>127</v>
      </c>
      <c r="N2086" s="12" t="s">
        <v>45</v>
      </c>
      <c r="O2086" s="12" t="s">
        <v>22</v>
      </c>
      <c r="P2086" s="12" t="s">
        <v>123</v>
      </c>
      <c r="Q2086" s="7" t="str">
        <f t="shared" si="97"/>
        <v>(1997,7,'1997.02.15',8,14,43,48,54,0),</v>
      </c>
      <c r="R2086" s="7" t="str">
        <f t="shared" si="99"/>
        <v>(1997,7,'1997.02.15',8,14,43,48,54),</v>
      </c>
    </row>
    <row r="2087" spans="1:18" x14ac:dyDescent="0.25">
      <c r="A2087" s="7" t="s">
        <v>5842</v>
      </c>
      <c r="B2087" s="8" t="s">
        <v>232</v>
      </c>
      <c r="C2087" s="10">
        <f t="shared" si="98"/>
        <v>35483</v>
      </c>
      <c r="D2087" t="s">
        <v>11</v>
      </c>
      <c r="E2087" t="s">
        <v>12</v>
      </c>
      <c r="F2087" t="s">
        <v>11</v>
      </c>
      <c r="G2087" t="s">
        <v>12</v>
      </c>
      <c r="H2087" t="s">
        <v>11</v>
      </c>
      <c r="I2087" t="s">
        <v>12</v>
      </c>
      <c r="J2087" t="s">
        <v>11</v>
      </c>
      <c r="K2087" t="s">
        <v>12</v>
      </c>
      <c r="L2087" s="12" t="s">
        <v>126</v>
      </c>
      <c r="M2087" s="12" t="s">
        <v>107</v>
      </c>
      <c r="N2087" s="12" t="s">
        <v>71</v>
      </c>
      <c r="O2087" s="12" t="s">
        <v>143</v>
      </c>
      <c r="P2087" s="12" t="s">
        <v>308</v>
      </c>
      <c r="Q2087" s="7" t="str">
        <f t="shared" si="97"/>
        <v>(1997,8,'1997.02.22',28,30,31,77,86,0),</v>
      </c>
      <c r="R2087" s="7" t="str">
        <f t="shared" si="99"/>
        <v>(1997,8,'1997.02.22',28,30,31,77,86),</v>
      </c>
    </row>
    <row r="2088" spans="1:18" x14ac:dyDescent="0.25">
      <c r="A2088" s="7" t="s">
        <v>5842</v>
      </c>
      <c r="B2088" s="8" t="s">
        <v>198</v>
      </c>
      <c r="C2088" s="10">
        <f t="shared" si="98"/>
        <v>35490</v>
      </c>
      <c r="D2088" t="s">
        <v>11</v>
      </c>
      <c r="E2088" t="s">
        <v>12</v>
      </c>
      <c r="F2088" t="s">
        <v>11</v>
      </c>
      <c r="G2088" t="s">
        <v>12</v>
      </c>
      <c r="H2088" t="s">
        <v>11</v>
      </c>
      <c r="I2088" t="s">
        <v>12</v>
      </c>
      <c r="J2088" t="s">
        <v>11</v>
      </c>
      <c r="K2088" t="s">
        <v>12</v>
      </c>
      <c r="L2088" s="12" t="s">
        <v>32</v>
      </c>
      <c r="M2088" s="12" t="s">
        <v>126</v>
      </c>
      <c r="N2088" s="12" t="s">
        <v>36</v>
      </c>
      <c r="O2088" s="12" t="s">
        <v>98</v>
      </c>
      <c r="P2088" s="12" t="s">
        <v>73</v>
      </c>
      <c r="Q2088" s="7" t="str">
        <f t="shared" si="97"/>
        <v>(1997,9,'1997.03.01',22,28,38,42,76,0),</v>
      </c>
      <c r="R2088" s="7" t="str">
        <f t="shared" si="99"/>
        <v>(1997,9,'1997.03.01',22,28,38,42,76),</v>
      </c>
    </row>
    <row r="2089" spans="1:18" x14ac:dyDescent="0.25">
      <c r="A2089" s="7" t="s">
        <v>5842</v>
      </c>
      <c r="B2089" s="8" t="s">
        <v>62</v>
      </c>
      <c r="C2089" s="10">
        <f t="shared" si="98"/>
        <v>35497</v>
      </c>
      <c r="D2089" t="s">
        <v>11</v>
      </c>
      <c r="E2089" t="s">
        <v>12</v>
      </c>
      <c r="F2089" t="s">
        <v>11</v>
      </c>
      <c r="G2089" t="s">
        <v>12</v>
      </c>
      <c r="H2089" t="s">
        <v>11</v>
      </c>
      <c r="I2089" t="s">
        <v>12</v>
      </c>
      <c r="J2089" t="s">
        <v>11</v>
      </c>
      <c r="K2089" t="s">
        <v>12</v>
      </c>
      <c r="L2089" s="12" t="s">
        <v>90</v>
      </c>
      <c r="M2089" s="12" t="s">
        <v>24</v>
      </c>
      <c r="N2089" s="12" t="s">
        <v>45</v>
      </c>
      <c r="O2089" s="12" t="s">
        <v>175</v>
      </c>
      <c r="P2089" s="12" t="s">
        <v>151</v>
      </c>
      <c r="Q2089" s="7" t="str">
        <f t="shared" si="97"/>
        <v>(1997,10,'1997.03.08',17,39,43,55,79,0),</v>
      </c>
      <c r="R2089" s="7" t="str">
        <f t="shared" si="99"/>
        <v>(1997,10,'1997.03.08',17,39,43,55,79),</v>
      </c>
    </row>
    <row r="2090" spans="1:18" x14ac:dyDescent="0.25">
      <c r="A2090" s="7" t="s">
        <v>5842</v>
      </c>
      <c r="B2090" s="8" t="s">
        <v>83</v>
      </c>
      <c r="C2090" s="10">
        <f t="shared" si="98"/>
        <v>35504</v>
      </c>
      <c r="D2090" t="s">
        <v>11</v>
      </c>
      <c r="E2090" t="s">
        <v>12</v>
      </c>
      <c r="F2090" t="s">
        <v>11</v>
      </c>
      <c r="G2090" t="s">
        <v>12</v>
      </c>
      <c r="H2090" t="s">
        <v>11</v>
      </c>
      <c r="I2090" t="s">
        <v>12</v>
      </c>
      <c r="J2090" t="s">
        <v>11</v>
      </c>
      <c r="K2090" t="s">
        <v>12</v>
      </c>
      <c r="L2090" s="12" t="s">
        <v>42</v>
      </c>
      <c r="M2090" s="12" t="s">
        <v>55</v>
      </c>
      <c r="N2090" s="12" t="s">
        <v>135</v>
      </c>
      <c r="O2090" s="12" t="s">
        <v>126</v>
      </c>
      <c r="P2090" s="12" t="s">
        <v>106</v>
      </c>
      <c r="Q2090" s="7" t="str">
        <f t="shared" si="97"/>
        <v>(1997,11,'1997.03.15',3,19,27,28,75,0),</v>
      </c>
      <c r="R2090" s="7" t="str">
        <f t="shared" si="99"/>
        <v>(1997,11,'1997.03.15',3,19,27,28,75),</v>
      </c>
    </row>
    <row r="2091" spans="1:18" x14ac:dyDescent="0.25">
      <c r="A2091" s="7" t="s">
        <v>5842</v>
      </c>
      <c r="B2091" s="8" t="s">
        <v>31</v>
      </c>
      <c r="C2091" s="10">
        <f t="shared" si="98"/>
        <v>35511</v>
      </c>
      <c r="D2091" t="s">
        <v>11</v>
      </c>
      <c r="E2091" t="s">
        <v>12</v>
      </c>
      <c r="F2091" t="s">
        <v>11</v>
      </c>
      <c r="G2091" t="s">
        <v>12</v>
      </c>
      <c r="H2091" t="s">
        <v>11</v>
      </c>
      <c r="I2091" t="s">
        <v>12</v>
      </c>
      <c r="J2091" t="s">
        <v>11</v>
      </c>
      <c r="K2091" t="s">
        <v>12</v>
      </c>
      <c r="L2091" s="12" t="s">
        <v>207</v>
      </c>
      <c r="M2091" s="12" t="s">
        <v>54</v>
      </c>
      <c r="N2091" s="12" t="s">
        <v>36</v>
      </c>
      <c r="O2091" s="12" t="s">
        <v>23</v>
      </c>
      <c r="P2091" s="12" t="s">
        <v>143</v>
      </c>
      <c r="Q2091" s="7" t="str">
        <f t="shared" si="97"/>
        <v>(1997,12,'1997.03.22',2,15,38,60,77,0),</v>
      </c>
      <c r="R2091" s="7" t="str">
        <f t="shared" si="99"/>
        <v>(1997,12,'1997.03.22',2,15,38,60,77),</v>
      </c>
    </row>
    <row r="2092" spans="1:18" x14ac:dyDescent="0.25">
      <c r="A2092" s="7" t="s">
        <v>5842</v>
      </c>
      <c r="B2092" s="8" t="s">
        <v>65</v>
      </c>
      <c r="C2092" s="10">
        <f t="shared" si="98"/>
        <v>35518</v>
      </c>
      <c r="D2092" t="s">
        <v>11</v>
      </c>
      <c r="E2092" t="s">
        <v>12</v>
      </c>
      <c r="F2092" t="s">
        <v>11</v>
      </c>
      <c r="G2092" t="s">
        <v>12</v>
      </c>
      <c r="H2092" t="s">
        <v>11</v>
      </c>
      <c r="I2092" t="s">
        <v>12</v>
      </c>
      <c r="J2092" t="s">
        <v>11</v>
      </c>
      <c r="K2092" t="s">
        <v>12</v>
      </c>
      <c r="L2092" s="12" t="s">
        <v>80</v>
      </c>
      <c r="M2092" s="12" t="s">
        <v>25</v>
      </c>
      <c r="N2092" s="12" t="s">
        <v>63</v>
      </c>
      <c r="O2092" s="12" t="s">
        <v>208</v>
      </c>
      <c r="P2092" s="12" t="s">
        <v>379</v>
      </c>
      <c r="Q2092" s="7" t="str">
        <f t="shared" si="97"/>
        <v>(1997,13,'1997.03.29',32,34,78,88,89,0),</v>
      </c>
      <c r="R2092" s="7" t="str">
        <f t="shared" si="99"/>
        <v>(1997,13,'1997.03.29',32,34,78,88,89),</v>
      </c>
    </row>
    <row r="2093" spans="1:18" x14ac:dyDescent="0.25">
      <c r="A2093" s="7" t="s">
        <v>5842</v>
      </c>
      <c r="B2093" s="8" t="s">
        <v>127</v>
      </c>
      <c r="C2093" s="10">
        <f t="shared" si="98"/>
        <v>35525</v>
      </c>
      <c r="D2093" t="s">
        <v>11</v>
      </c>
      <c r="E2093" t="s">
        <v>12</v>
      </c>
      <c r="F2093" t="s">
        <v>11</v>
      </c>
      <c r="G2093" t="s">
        <v>12</v>
      </c>
      <c r="H2093" t="s">
        <v>11</v>
      </c>
      <c r="I2093" t="s">
        <v>12</v>
      </c>
      <c r="J2093" t="s">
        <v>11</v>
      </c>
      <c r="K2093" t="s">
        <v>12</v>
      </c>
      <c r="L2093" s="12" t="s">
        <v>163</v>
      </c>
      <c r="M2093" s="12" t="s">
        <v>10</v>
      </c>
      <c r="N2093" s="12" t="s">
        <v>124</v>
      </c>
      <c r="O2093" s="12" t="s">
        <v>143</v>
      </c>
      <c r="P2093" s="12" t="s">
        <v>468</v>
      </c>
      <c r="Q2093" s="7" t="str">
        <f t="shared" si="97"/>
        <v>(1997,14,'1997.04.05',23,40,62,77,85,0),</v>
      </c>
      <c r="R2093" s="7" t="str">
        <f t="shared" si="99"/>
        <v>(1997,14,'1997.04.05',23,40,62,77,85),</v>
      </c>
    </row>
    <row r="2094" spans="1:18" x14ac:dyDescent="0.25">
      <c r="A2094" s="7" t="s">
        <v>5842</v>
      </c>
      <c r="B2094" s="8" t="s">
        <v>54</v>
      </c>
      <c r="C2094" s="10">
        <f t="shared" si="98"/>
        <v>35532</v>
      </c>
      <c r="D2094" t="s">
        <v>11</v>
      </c>
      <c r="E2094" t="s">
        <v>12</v>
      </c>
      <c r="F2094" t="s">
        <v>11</v>
      </c>
      <c r="G2094" t="s">
        <v>12</v>
      </c>
      <c r="H2094" t="s">
        <v>11</v>
      </c>
      <c r="I2094" t="s">
        <v>12</v>
      </c>
      <c r="J2094" t="s">
        <v>11</v>
      </c>
      <c r="K2094" t="s">
        <v>12</v>
      </c>
      <c r="L2094" s="12" t="s">
        <v>107</v>
      </c>
      <c r="M2094" s="12" t="s">
        <v>20</v>
      </c>
      <c r="N2094" s="12" t="s">
        <v>125</v>
      </c>
      <c r="O2094" s="12" t="s">
        <v>208</v>
      </c>
      <c r="P2094" s="12" t="s">
        <v>379</v>
      </c>
      <c r="Q2094" s="7" t="str">
        <f t="shared" si="97"/>
        <v>(1997,15,'1997.04.12',30,33,83,88,89,0),</v>
      </c>
      <c r="R2094" s="7" t="str">
        <f t="shared" si="99"/>
        <v>(1997,15,'1997.04.12',30,33,83,88,89),</v>
      </c>
    </row>
    <row r="2095" spans="1:18" x14ac:dyDescent="0.25">
      <c r="A2095" s="7" t="s">
        <v>5842</v>
      </c>
      <c r="B2095" s="8" t="s">
        <v>43</v>
      </c>
      <c r="C2095" s="10">
        <f t="shared" si="98"/>
        <v>35539</v>
      </c>
      <c r="D2095" t="s">
        <v>11</v>
      </c>
      <c r="E2095" t="s">
        <v>12</v>
      </c>
      <c r="F2095" t="s">
        <v>11</v>
      </c>
      <c r="G2095" t="s">
        <v>12</v>
      </c>
      <c r="H2095" t="s">
        <v>11</v>
      </c>
      <c r="I2095" t="s">
        <v>12</v>
      </c>
      <c r="J2095" t="s">
        <v>11</v>
      </c>
      <c r="K2095" t="s">
        <v>12</v>
      </c>
      <c r="L2095" s="12" t="s">
        <v>25</v>
      </c>
      <c r="M2095" s="12" t="s">
        <v>98</v>
      </c>
      <c r="N2095" s="12" t="s">
        <v>175</v>
      </c>
      <c r="O2095" s="12" t="s">
        <v>151</v>
      </c>
      <c r="P2095" s="12" t="s">
        <v>468</v>
      </c>
      <c r="Q2095" s="7" t="str">
        <f t="shared" si="97"/>
        <v>(1997,16,'1997.04.19',34,42,55,79,85,0),</v>
      </c>
      <c r="R2095" s="7" t="str">
        <f t="shared" si="99"/>
        <v>(1997,16,'1997.04.19',34,42,55,79,85),</v>
      </c>
    </row>
    <row r="2096" spans="1:18" x14ac:dyDescent="0.25">
      <c r="A2096" s="7" t="s">
        <v>5842</v>
      </c>
      <c r="B2096" s="8" t="s">
        <v>90</v>
      </c>
      <c r="C2096" s="10">
        <f t="shared" si="98"/>
        <v>35546</v>
      </c>
      <c r="D2096" t="s">
        <v>11</v>
      </c>
      <c r="E2096" t="s">
        <v>12</v>
      </c>
      <c r="F2096" t="s">
        <v>11</v>
      </c>
      <c r="G2096" t="s">
        <v>12</v>
      </c>
      <c r="H2096" t="s">
        <v>11</v>
      </c>
      <c r="I2096" t="s">
        <v>12</v>
      </c>
      <c r="J2096" t="s">
        <v>11</v>
      </c>
      <c r="K2096" t="s">
        <v>12</v>
      </c>
      <c r="L2096" s="12" t="s">
        <v>207</v>
      </c>
      <c r="M2096" s="12" t="s">
        <v>107</v>
      </c>
      <c r="N2096" s="12" t="s">
        <v>175</v>
      </c>
      <c r="O2096" s="12" t="s">
        <v>150</v>
      </c>
      <c r="P2096" s="12" t="s">
        <v>214</v>
      </c>
      <c r="Q2096" s="7" t="str">
        <f t="shared" si="97"/>
        <v>(1997,17,'1997.04.26',2,30,55,57,64,0),</v>
      </c>
      <c r="R2096" s="7" t="str">
        <f t="shared" si="99"/>
        <v>(1997,17,'1997.04.26',2,30,55,57,64),</v>
      </c>
    </row>
    <row r="2097" spans="1:18" x14ac:dyDescent="0.25">
      <c r="A2097" s="7" t="s">
        <v>5842</v>
      </c>
      <c r="B2097" s="8" t="s">
        <v>19</v>
      </c>
      <c r="C2097" s="10">
        <f t="shared" si="98"/>
        <v>35553</v>
      </c>
      <c r="D2097" t="s">
        <v>11</v>
      </c>
      <c r="E2097" t="s">
        <v>12</v>
      </c>
      <c r="F2097" t="s">
        <v>11</v>
      </c>
      <c r="G2097" t="s">
        <v>12</v>
      </c>
      <c r="H2097" t="s">
        <v>11</v>
      </c>
      <c r="I2097" t="s">
        <v>12</v>
      </c>
      <c r="J2097" t="s">
        <v>11</v>
      </c>
      <c r="K2097" t="s">
        <v>12</v>
      </c>
      <c r="L2097" s="12" t="s">
        <v>152</v>
      </c>
      <c r="M2097" s="12" t="s">
        <v>169</v>
      </c>
      <c r="N2097" s="12" t="s">
        <v>215</v>
      </c>
      <c r="O2097" s="12" t="s">
        <v>208</v>
      </c>
      <c r="P2097" s="12" t="s">
        <v>186</v>
      </c>
      <c r="Q2097" s="7" t="str">
        <f t="shared" si="97"/>
        <v>(1997,18,'1997.05.03',25,58,81,88,90,0),</v>
      </c>
      <c r="R2097" s="7" t="str">
        <f t="shared" si="99"/>
        <v>(1997,18,'1997.05.03',25,58,81,88,90),</v>
      </c>
    </row>
    <row r="2098" spans="1:18" x14ac:dyDescent="0.25">
      <c r="A2098" s="7" t="s">
        <v>5842</v>
      </c>
      <c r="B2098" s="8" t="s">
        <v>55</v>
      </c>
      <c r="C2098" s="10">
        <f t="shared" si="98"/>
        <v>35560</v>
      </c>
      <c r="D2098" t="s">
        <v>11</v>
      </c>
      <c r="E2098" t="s">
        <v>12</v>
      </c>
      <c r="F2098" t="s">
        <v>11</v>
      </c>
      <c r="G2098" t="s">
        <v>12</v>
      </c>
      <c r="H2098" t="s">
        <v>11</v>
      </c>
      <c r="I2098" t="s">
        <v>12</v>
      </c>
      <c r="J2098" t="s">
        <v>11</v>
      </c>
      <c r="K2098" t="s">
        <v>12</v>
      </c>
      <c r="L2098" s="12" t="s">
        <v>127</v>
      </c>
      <c r="M2098" s="12" t="s">
        <v>80</v>
      </c>
      <c r="N2098" s="12" t="s">
        <v>34</v>
      </c>
      <c r="O2098" s="12" t="s">
        <v>201</v>
      </c>
      <c r="P2098" s="12" t="s">
        <v>143</v>
      </c>
      <c r="Q2098" s="7" t="str">
        <f t="shared" si="97"/>
        <v>(1997,19,'1997.05.10',14,32,49,72,77,0),</v>
      </c>
      <c r="R2098" s="7" t="str">
        <f t="shared" si="99"/>
        <v>(1997,19,'1997.05.10',14,32,49,72,77),</v>
      </c>
    </row>
    <row r="2099" spans="1:18" x14ac:dyDescent="0.25">
      <c r="A2099" s="7" t="s">
        <v>5842</v>
      </c>
      <c r="B2099" s="8" t="s">
        <v>115</v>
      </c>
      <c r="C2099" s="10">
        <f t="shared" si="98"/>
        <v>35567</v>
      </c>
      <c r="D2099" t="s">
        <v>11</v>
      </c>
      <c r="E2099" t="s">
        <v>12</v>
      </c>
      <c r="F2099" t="s">
        <v>11</v>
      </c>
      <c r="G2099" t="s">
        <v>12</v>
      </c>
      <c r="H2099" t="s">
        <v>11</v>
      </c>
      <c r="I2099" t="s">
        <v>12</v>
      </c>
      <c r="J2099" t="s">
        <v>11</v>
      </c>
      <c r="K2099" t="s">
        <v>12</v>
      </c>
      <c r="L2099" s="12" t="s">
        <v>43</v>
      </c>
      <c r="M2099" s="12" t="s">
        <v>36</v>
      </c>
      <c r="N2099" s="12" t="s">
        <v>169</v>
      </c>
      <c r="O2099" s="12" t="s">
        <v>239</v>
      </c>
      <c r="P2099" s="12" t="s">
        <v>269</v>
      </c>
      <c r="Q2099" s="7" t="str">
        <f t="shared" si="97"/>
        <v>(1997,20,'1997.05.17',16,38,58,73,87,0),</v>
      </c>
      <c r="R2099" s="7" t="str">
        <f t="shared" si="99"/>
        <v>(1997,20,'1997.05.17',16,38,58,73,87),</v>
      </c>
    </row>
    <row r="2100" spans="1:18" x14ac:dyDescent="0.25">
      <c r="A2100" s="7" t="s">
        <v>5842</v>
      </c>
      <c r="B2100" s="8" t="s">
        <v>44</v>
      </c>
      <c r="C2100" s="10">
        <f t="shared" si="98"/>
        <v>35574</v>
      </c>
      <c r="D2100" t="s">
        <v>11</v>
      </c>
      <c r="E2100" t="s">
        <v>12</v>
      </c>
      <c r="F2100" t="s">
        <v>11</v>
      </c>
      <c r="G2100" t="s">
        <v>12</v>
      </c>
      <c r="H2100" t="s">
        <v>11</v>
      </c>
      <c r="I2100" t="s">
        <v>12</v>
      </c>
      <c r="J2100" t="s">
        <v>11</v>
      </c>
      <c r="K2100" t="s">
        <v>12</v>
      </c>
      <c r="L2100" s="12" t="s">
        <v>42</v>
      </c>
      <c r="M2100" s="12" t="s">
        <v>55</v>
      </c>
      <c r="N2100" s="12" t="s">
        <v>64</v>
      </c>
      <c r="O2100" s="12" t="s">
        <v>134</v>
      </c>
      <c r="P2100" s="12" t="s">
        <v>214</v>
      </c>
      <c r="Q2100" s="7" t="str">
        <f t="shared" si="97"/>
        <v>(1997,21,'1997.05.24',3,19,35,56,64,0),</v>
      </c>
      <c r="R2100" s="7" t="str">
        <f t="shared" si="99"/>
        <v>(1997,21,'1997.05.24',3,19,35,56,64),</v>
      </c>
    </row>
    <row r="2101" spans="1:18" x14ac:dyDescent="0.25">
      <c r="A2101" s="7" t="s">
        <v>5842</v>
      </c>
      <c r="B2101" s="8" t="s">
        <v>32</v>
      </c>
      <c r="C2101" s="10">
        <f t="shared" si="98"/>
        <v>35581</v>
      </c>
      <c r="D2101" t="s">
        <v>11</v>
      </c>
      <c r="E2101" t="s">
        <v>12</v>
      </c>
      <c r="F2101" t="s">
        <v>11</v>
      </c>
      <c r="G2101" t="s">
        <v>12</v>
      </c>
      <c r="H2101" t="s">
        <v>11</v>
      </c>
      <c r="I2101" t="s">
        <v>12</v>
      </c>
      <c r="J2101" t="s">
        <v>11</v>
      </c>
      <c r="K2101" t="s">
        <v>12</v>
      </c>
      <c r="L2101" s="12" t="s">
        <v>54</v>
      </c>
      <c r="M2101" s="12" t="s">
        <v>91</v>
      </c>
      <c r="N2101" s="12" t="s">
        <v>72</v>
      </c>
      <c r="O2101" s="12" t="s">
        <v>56</v>
      </c>
      <c r="P2101" s="12" t="s">
        <v>308</v>
      </c>
      <c r="Q2101" s="7" t="str">
        <f t="shared" si="97"/>
        <v>(1997,22,'1997.05.31',15,61,67,71,86,0),</v>
      </c>
      <c r="R2101" s="7" t="str">
        <f t="shared" si="99"/>
        <v>(1997,22,'1997.05.31',15,61,67,71,86),</v>
      </c>
    </row>
    <row r="2102" spans="1:18" x14ac:dyDescent="0.25">
      <c r="A2102" s="7" t="s">
        <v>5842</v>
      </c>
      <c r="B2102" s="8" t="s">
        <v>163</v>
      </c>
      <c r="C2102" s="10">
        <f t="shared" si="98"/>
        <v>35588</v>
      </c>
      <c r="D2102" t="s">
        <v>11</v>
      </c>
      <c r="E2102" t="s">
        <v>12</v>
      </c>
      <c r="F2102" t="s">
        <v>11</v>
      </c>
      <c r="G2102" t="s">
        <v>12</v>
      </c>
      <c r="H2102" t="s">
        <v>11</v>
      </c>
      <c r="I2102" t="s">
        <v>12</v>
      </c>
      <c r="J2102" t="s">
        <v>11</v>
      </c>
      <c r="K2102" t="s">
        <v>12</v>
      </c>
      <c r="L2102" s="12" t="s">
        <v>152</v>
      </c>
      <c r="M2102" s="12" t="s">
        <v>45</v>
      </c>
      <c r="N2102" s="12" t="s">
        <v>134</v>
      </c>
      <c r="O2102" s="12" t="s">
        <v>233</v>
      </c>
      <c r="P2102" s="12" t="s">
        <v>63</v>
      </c>
      <c r="Q2102" s="7" t="str">
        <f t="shared" si="97"/>
        <v>(1997,23,'1997.06.07',25,43,56,66,78,0),</v>
      </c>
      <c r="R2102" s="7" t="str">
        <f t="shared" si="99"/>
        <v>(1997,23,'1997.06.07',25,43,56,66,78),</v>
      </c>
    </row>
    <row r="2103" spans="1:18" x14ac:dyDescent="0.25">
      <c r="A2103" s="7" t="s">
        <v>5842</v>
      </c>
      <c r="B2103" s="8" t="s">
        <v>33</v>
      </c>
      <c r="C2103" s="10">
        <f t="shared" si="98"/>
        <v>35595</v>
      </c>
      <c r="D2103" t="s">
        <v>11</v>
      </c>
      <c r="E2103" t="s">
        <v>12</v>
      </c>
      <c r="F2103" t="s">
        <v>11</v>
      </c>
      <c r="G2103" t="s">
        <v>12</v>
      </c>
      <c r="H2103" t="s">
        <v>11</v>
      </c>
      <c r="I2103" t="s">
        <v>12</v>
      </c>
      <c r="J2103" t="s">
        <v>11</v>
      </c>
      <c r="K2103" t="s">
        <v>12</v>
      </c>
      <c r="L2103" s="12" t="s">
        <v>62</v>
      </c>
      <c r="M2103" s="12" t="s">
        <v>32</v>
      </c>
      <c r="N2103" s="12" t="s">
        <v>135</v>
      </c>
      <c r="O2103" s="12" t="s">
        <v>126</v>
      </c>
      <c r="P2103" s="12" t="s">
        <v>622</v>
      </c>
      <c r="Q2103" s="7" t="str">
        <f t="shared" si="97"/>
        <v>(1997,24,'1997.06.14',10,22,27,28,82,0),</v>
      </c>
      <c r="R2103" s="7" t="str">
        <f t="shared" si="99"/>
        <v>(1997,24,'1997.06.14',10,22,27,28,82),</v>
      </c>
    </row>
    <row r="2104" spans="1:18" x14ac:dyDescent="0.25">
      <c r="A2104" s="7" t="s">
        <v>5842</v>
      </c>
      <c r="B2104" s="8" t="s">
        <v>152</v>
      </c>
      <c r="C2104" s="10">
        <f t="shared" si="98"/>
        <v>35602</v>
      </c>
      <c r="D2104" t="s">
        <v>11</v>
      </c>
      <c r="E2104" t="s">
        <v>12</v>
      </c>
      <c r="F2104" t="s">
        <v>11</v>
      </c>
      <c r="G2104" t="s">
        <v>12</v>
      </c>
      <c r="H2104" t="s">
        <v>11</v>
      </c>
      <c r="I2104" t="s">
        <v>12</v>
      </c>
      <c r="J2104" t="s">
        <v>11</v>
      </c>
      <c r="K2104" t="s">
        <v>12</v>
      </c>
      <c r="L2104" s="12" t="s">
        <v>19</v>
      </c>
      <c r="M2104" s="12" t="s">
        <v>150</v>
      </c>
      <c r="N2104" s="12" t="s">
        <v>124</v>
      </c>
      <c r="O2104" s="12" t="s">
        <v>106</v>
      </c>
      <c r="P2104" s="12" t="s">
        <v>143</v>
      </c>
      <c r="Q2104" s="7" t="str">
        <f t="shared" si="97"/>
        <v>(1997,25,'1997.06.21',18,57,62,75,77,0),</v>
      </c>
      <c r="R2104" s="7" t="str">
        <f t="shared" si="99"/>
        <v>(1997,25,'1997.06.21',18,57,62,75,77),</v>
      </c>
    </row>
    <row r="2105" spans="1:18" x14ac:dyDescent="0.25">
      <c r="A2105" s="7" t="s">
        <v>5842</v>
      </c>
      <c r="B2105" s="8" t="s">
        <v>74</v>
      </c>
      <c r="C2105" s="10">
        <f t="shared" si="98"/>
        <v>35609</v>
      </c>
      <c r="D2105" t="s">
        <v>11</v>
      </c>
      <c r="E2105" t="s">
        <v>12</v>
      </c>
      <c r="F2105" t="s">
        <v>11</v>
      </c>
      <c r="G2105" t="s">
        <v>12</v>
      </c>
      <c r="H2105" t="s">
        <v>11</v>
      </c>
      <c r="I2105" t="s">
        <v>12</v>
      </c>
      <c r="J2105" t="s">
        <v>11</v>
      </c>
      <c r="K2105" t="s">
        <v>12</v>
      </c>
      <c r="L2105" s="12" t="s">
        <v>232</v>
      </c>
      <c r="M2105" s="12" t="s">
        <v>83</v>
      </c>
      <c r="N2105" s="12" t="s">
        <v>122</v>
      </c>
      <c r="O2105" s="12" t="s">
        <v>106</v>
      </c>
      <c r="P2105" s="12" t="s">
        <v>308</v>
      </c>
      <c r="Q2105" s="7" t="str">
        <f t="shared" si="97"/>
        <v>(1997,26,'1997.06.28',8,11,51,75,86,0),</v>
      </c>
      <c r="R2105" s="7" t="str">
        <f t="shared" si="99"/>
        <v>(1997,26,'1997.06.28',8,11,51,75,86),</v>
      </c>
    </row>
    <row r="2106" spans="1:18" x14ac:dyDescent="0.25">
      <c r="A2106" s="7" t="s">
        <v>5842</v>
      </c>
      <c r="B2106" s="8" t="s">
        <v>135</v>
      </c>
      <c r="C2106" s="10">
        <f t="shared" si="98"/>
        <v>35616</v>
      </c>
      <c r="D2106" t="s">
        <v>11</v>
      </c>
      <c r="E2106" t="s">
        <v>12</v>
      </c>
      <c r="F2106" t="s">
        <v>11</v>
      </c>
      <c r="G2106" t="s">
        <v>12</v>
      </c>
      <c r="H2106" t="s">
        <v>11</v>
      </c>
      <c r="I2106" t="s">
        <v>12</v>
      </c>
      <c r="J2106" t="s">
        <v>11</v>
      </c>
      <c r="K2106" t="s">
        <v>12</v>
      </c>
      <c r="L2106" s="12" t="s">
        <v>83</v>
      </c>
      <c r="M2106" s="12" t="s">
        <v>24</v>
      </c>
      <c r="N2106" s="12" t="s">
        <v>192</v>
      </c>
      <c r="O2106" s="12" t="s">
        <v>105</v>
      </c>
      <c r="P2106" s="12" t="s">
        <v>35</v>
      </c>
      <c r="Q2106" s="7" t="str">
        <f t="shared" si="97"/>
        <v>(1997,27,'1997.07.05',11,39,46,50,65,0),</v>
      </c>
      <c r="R2106" s="7" t="str">
        <f t="shared" si="99"/>
        <v>(1997,27,'1997.07.05',11,39,46,50,65),</v>
      </c>
    </row>
    <row r="2107" spans="1:18" x14ac:dyDescent="0.25">
      <c r="A2107" s="7" t="s">
        <v>5842</v>
      </c>
      <c r="B2107" s="8" t="s">
        <v>126</v>
      </c>
      <c r="C2107" s="10">
        <f t="shared" si="98"/>
        <v>35623</v>
      </c>
      <c r="D2107" t="s">
        <v>11</v>
      </c>
      <c r="E2107" t="s">
        <v>12</v>
      </c>
      <c r="F2107" t="s">
        <v>11</v>
      </c>
      <c r="G2107" t="s">
        <v>12</v>
      </c>
      <c r="H2107" t="s">
        <v>11</v>
      </c>
      <c r="I2107" t="s">
        <v>12</v>
      </c>
      <c r="J2107" t="s">
        <v>11</v>
      </c>
      <c r="K2107" t="s">
        <v>12</v>
      </c>
      <c r="L2107" s="12" t="s">
        <v>83</v>
      </c>
      <c r="M2107" s="12" t="s">
        <v>163</v>
      </c>
      <c r="N2107" s="12" t="s">
        <v>33</v>
      </c>
      <c r="O2107" s="12" t="s">
        <v>71</v>
      </c>
      <c r="P2107" s="12" t="s">
        <v>214</v>
      </c>
      <c r="Q2107" s="7" t="str">
        <f t="shared" si="97"/>
        <v>(1997,28,'1997.07.12',11,23,24,31,64,0),</v>
      </c>
      <c r="R2107" s="7" t="str">
        <f t="shared" si="99"/>
        <v>(1997,28,'1997.07.12',11,23,24,31,64),</v>
      </c>
    </row>
    <row r="2108" spans="1:18" x14ac:dyDescent="0.25">
      <c r="A2108" s="7" t="s">
        <v>5842</v>
      </c>
      <c r="B2108" s="8" t="s">
        <v>116</v>
      </c>
      <c r="C2108" s="10">
        <f t="shared" si="98"/>
        <v>35630</v>
      </c>
      <c r="D2108" t="s">
        <v>11</v>
      </c>
      <c r="E2108" t="s">
        <v>12</v>
      </c>
      <c r="F2108" t="s">
        <v>11</v>
      </c>
      <c r="G2108" t="s">
        <v>12</v>
      </c>
      <c r="H2108" t="s">
        <v>11</v>
      </c>
      <c r="I2108" t="s">
        <v>12</v>
      </c>
      <c r="J2108" t="s">
        <v>11</v>
      </c>
      <c r="K2108" t="s">
        <v>12</v>
      </c>
      <c r="L2108" s="12" t="s">
        <v>232</v>
      </c>
      <c r="M2108" s="12" t="s">
        <v>133</v>
      </c>
      <c r="N2108" s="12" t="s">
        <v>122</v>
      </c>
      <c r="O2108" s="12" t="s">
        <v>134</v>
      </c>
      <c r="P2108" s="12" t="s">
        <v>245</v>
      </c>
      <c r="Q2108" s="7" t="str">
        <f t="shared" si="97"/>
        <v>(1997,29,'1997.07.19',8,45,51,56,74,0),</v>
      </c>
      <c r="R2108" s="7" t="str">
        <f t="shared" si="99"/>
        <v>(1997,29,'1997.07.19',8,45,51,56,74),</v>
      </c>
    </row>
    <row r="2109" spans="1:18" x14ac:dyDescent="0.25">
      <c r="A2109" s="7" t="s">
        <v>5842</v>
      </c>
      <c r="B2109" s="8" t="s">
        <v>107</v>
      </c>
      <c r="C2109" s="10">
        <f t="shared" si="98"/>
        <v>35637</v>
      </c>
      <c r="D2109" t="s">
        <v>11</v>
      </c>
      <c r="E2109" t="s">
        <v>12</v>
      </c>
      <c r="F2109" t="s">
        <v>11</v>
      </c>
      <c r="G2109" t="s">
        <v>12</v>
      </c>
      <c r="H2109" t="s">
        <v>11</v>
      </c>
      <c r="I2109" t="s">
        <v>12</v>
      </c>
      <c r="J2109" t="s">
        <v>11</v>
      </c>
      <c r="K2109" t="s">
        <v>12</v>
      </c>
      <c r="L2109" s="12" t="s">
        <v>44</v>
      </c>
      <c r="M2109" s="12" t="s">
        <v>105</v>
      </c>
      <c r="N2109" s="12" t="s">
        <v>82</v>
      </c>
      <c r="O2109" s="12" t="s">
        <v>63</v>
      </c>
      <c r="P2109" s="12" t="s">
        <v>301</v>
      </c>
      <c r="Q2109" s="7" t="str">
        <f t="shared" si="97"/>
        <v>(1997,30,'1997.07.26',21,50,59,78,80,0),</v>
      </c>
      <c r="R2109" s="7" t="str">
        <f t="shared" si="99"/>
        <v>(1997,30,'1997.07.26',21,50,59,78,80),</v>
      </c>
    </row>
    <row r="2110" spans="1:18" x14ac:dyDescent="0.25">
      <c r="A2110" s="7" t="s">
        <v>5842</v>
      </c>
      <c r="B2110" s="8" t="s">
        <v>71</v>
      </c>
      <c r="C2110" s="10">
        <f t="shared" si="98"/>
        <v>35644</v>
      </c>
      <c r="D2110" t="s">
        <v>11</v>
      </c>
      <c r="E2110" t="s">
        <v>12</v>
      </c>
      <c r="F2110" t="s">
        <v>11</v>
      </c>
      <c r="G2110" t="s">
        <v>12</v>
      </c>
      <c r="H2110" t="s">
        <v>11</v>
      </c>
      <c r="I2110" t="s">
        <v>12</v>
      </c>
      <c r="J2110" t="s">
        <v>11</v>
      </c>
      <c r="K2110" t="s">
        <v>12</v>
      </c>
      <c r="L2110" s="12" t="s">
        <v>71</v>
      </c>
      <c r="M2110" s="12" t="s">
        <v>46</v>
      </c>
      <c r="N2110" s="12" t="s">
        <v>142</v>
      </c>
      <c r="O2110" s="12" t="s">
        <v>239</v>
      </c>
      <c r="P2110" s="12" t="s">
        <v>308</v>
      </c>
      <c r="Q2110" s="7" t="str">
        <f t="shared" si="97"/>
        <v>(1997,31,'1997.08.02',31,37,44,73,86,0),</v>
      </c>
      <c r="R2110" s="7" t="str">
        <f t="shared" si="99"/>
        <v>(1997,31,'1997.08.02',31,37,44,73,86),</v>
      </c>
    </row>
    <row r="2111" spans="1:18" x14ac:dyDescent="0.25">
      <c r="A2111" s="7" t="s">
        <v>5842</v>
      </c>
      <c r="B2111" s="8" t="s">
        <v>80</v>
      </c>
      <c r="C2111" s="10">
        <f t="shared" si="98"/>
        <v>35651</v>
      </c>
      <c r="D2111" t="s">
        <v>11</v>
      </c>
      <c r="E2111" t="s">
        <v>12</v>
      </c>
      <c r="F2111" t="s">
        <v>11</v>
      </c>
      <c r="G2111" t="s">
        <v>12</v>
      </c>
      <c r="H2111" t="s">
        <v>11</v>
      </c>
      <c r="I2111" t="s">
        <v>12</v>
      </c>
      <c r="J2111" t="s">
        <v>11</v>
      </c>
      <c r="K2111" t="s">
        <v>12</v>
      </c>
      <c r="L2111" s="12" t="s">
        <v>207</v>
      </c>
      <c r="M2111" s="12" t="s">
        <v>163</v>
      </c>
      <c r="N2111" s="12" t="s">
        <v>73</v>
      </c>
      <c r="O2111" s="12" t="s">
        <v>622</v>
      </c>
      <c r="P2111" s="12" t="s">
        <v>379</v>
      </c>
      <c r="Q2111" s="7" t="str">
        <f t="shared" si="97"/>
        <v>(1997,32,'1997.08.09',2,23,76,82,89,0),</v>
      </c>
      <c r="R2111" s="7" t="str">
        <f t="shared" si="99"/>
        <v>(1997,32,'1997.08.09',2,23,76,82,89),</v>
      </c>
    </row>
    <row r="2112" spans="1:18" x14ac:dyDescent="0.25">
      <c r="A2112" s="7" t="s">
        <v>5842</v>
      </c>
      <c r="B2112" s="8" t="s">
        <v>20</v>
      </c>
      <c r="C2112" s="10">
        <f t="shared" si="98"/>
        <v>35658</v>
      </c>
      <c r="D2112" t="s">
        <v>11</v>
      </c>
      <c r="E2112" t="s">
        <v>12</v>
      </c>
      <c r="F2112" t="s">
        <v>11</v>
      </c>
      <c r="G2112" t="s">
        <v>12</v>
      </c>
      <c r="H2112" t="s">
        <v>11</v>
      </c>
      <c r="I2112" t="s">
        <v>12</v>
      </c>
      <c r="J2112" t="s">
        <v>11</v>
      </c>
      <c r="K2112" t="s">
        <v>12</v>
      </c>
      <c r="L2112" s="12" t="s">
        <v>62</v>
      </c>
      <c r="M2112" s="12" t="s">
        <v>83</v>
      </c>
      <c r="N2112" s="12" t="s">
        <v>44</v>
      </c>
      <c r="O2112" s="12" t="s">
        <v>123</v>
      </c>
      <c r="P2112" s="12" t="s">
        <v>248</v>
      </c>
      <c r="Q2112" s="7" t="str">
        <f t="shared" si="97"/>
        <v>(1997,33,'1997.08.16',10,11,21,54,63,0),</v>
      </c>
      <c r="R2112" s="7" t="str">
        <f t="shared" si="99"/>
        <v>(1997,33,'1997.08.16',10,11,21,54,63),</v>
      </c>
    </row>
    <row r="2113" spans="1:18" x14ac:dyDescent="0.25">
      <c r="A2113" s="7" t="s">
        <v>5842</v>
      </c>
      <c r="B2113" s="8" t="s">
        <v>25</v>
      </c>
      <c r="C2113" s="10">
        <f t="shared" si="98"/>
        <v>35665</v>
      </c>
      <c r="D2113" t="s">
        <v>11</v>
      </c>
      <c r="E2113" t="s">
        <v>12</v>
      </c>
      <c r="F2113" t="s">
        <v>11</v>
      </c>
      <c r="G2113" t="s">
        <v>12</v>
      </c>
      <c r="H2113" t="s">
        <v>11</v>
      </c>
      <c r="I2113" t="s">
        <v>12</v>
      </c>
      <c r="J2113" t="s">
        <v>11</v>
      </c>
      <c r="K2113" t="s">
        <v>12</v>
      </c>
      <c r="L2113" s="12" t="s">
        <v>31</v>
      </c>
      <c r="M2113" s="12" t="s">
        <v>55</v>
      </c>
      <c r="N2113" s="12" t="s">
        <v>115</v>
      </c>
      <c r="O2113" s="12" t="s">
        <v>200</v>
      </c>
      <c r="P2113" s="12" t="s">
        <v>239</v>
      </c>
      <c r="Q2113" s="7" t="str">
        <f t="shared" si="97"/>
        <v>(1997,34,'1997.08.23',12,19,20,70,73,0),</v>
      </c>
      <c r="R2113" s="7" t="str">
        <f t="shared" si="99"/>
        <v>(1997,34,'1997.08.23',12,19,20,70,73),</v>
      </c>
    </row>
    <row r="2114" spans="1:18" x14ac:dyDescent="0.25">
      <c r="A2114" s="7" t="s">
        <v>5842</v>
      </c>
      <c r="B2114" s="8" t="s">
        <v>64</v>
      </c>
      <c r="C2114" s="10">
        <f t="shared" si="98"/>
        <v>35672</v>
      </c>
      <c r="D2114" t="s">
        <v>11</v>
      </c>
      <c r="E2114" t="s">
        <v>12</v>
      </c>
      <c r="F2114" t="s">
        <v>11</v>
      </c>
      <c r="G2114" t="s">
        <v>12</v>
      </c>
      <c r="H2114" t="s">
        <v>11</v>
      </c>
      <c r="I2114" t="s">
        <v>12</v>
      </c>
      <c r="J2114" t="s">
        <v>11</v>
      </c>
      <c r="K2114" t="s">
        <v>12</v>
      </c>
      <c r="L2114" s="12" t="s">
        <v>198</v>
      </c>
      <c r="M2114" s="12" t="s">
        <v>64</v>
      </c>
      <c r="N2114" s="12" t="s">
        <v>142</v>
      </c>
      <c r="O2114" s="12" t="s">
        <v>34</v>
      </c>
      <c r="P2114" s="12" t="s">
        <v>199</v>
      </c>
      <c r="Q2114" s="7" t="str">
        <f t="shared" ref="Q2114:Q2177" si="100">"("&amp;A2114&amp;","&amp;B2114&amp;",'"&amp;TEXT(C2114,"éééé.hh.nn")&amp;"',"&amp;L2114&amp;","&amp;M2114&amp;","&amp;N2114&amp;","&amp;O2114&amp;","&amp;P2114&amp;",0)"&amp;IF(P2115&lt;&gt;0,",","")</f>
        <v>(1997,35,'1997.08.30',9,35,44,49,53,0),</v>
      </c>
      <c r="R2114" s="7" t="str">
        <f t="shared" si="99"/>
        <v>(1997,35,'1997.08.30',9,35,44,49,53),</v>
      </c>
    </row>
    <row r="2115" spans="1:18" x14ac:dyDescent="0.25">
      <c r="A2115" s="7" t="s">
        <v>5842</v>
      </c>
      <c r="B2115" s="8" t="s">
        <v>21</v>
      </c>
      <c r="C2115" s="10">
        <f t="shared" ref="C2115:C2178" si="101">+C2114+7</f>
        <v>35679</v>
      </c>
      <c r="D2115" t="s">
        <v>11</v>
      </c>
      <c r="E2115" t="s">
        <v>12</v>
      </c>
      <c r="F2115" t="s">
        <v>11</v>
      </c>
      <c r="G2115" t="s">
        <v>12</v>
      </c>
      <c r="H2115" t="s">
        <v>11</v>
      </c>
      <c r="I2115" t="s">
        <v>12</v>
      </c>
      <c r="J2115" t="s">
        <v>11</v>
      </c>
      <c r="K2115" t="s">
        <v>12</v>
      </c>
      <c r="L2115" s="12" t="s">
        <v>81</v>
      </c>
      <c r="M2115" s="12" t="s">
        <v>22</v>
      </c>
      <c r="N2115" s="12" t="s">
        <v>122</v>
      </c>
      <c r="O2115" s="12" t="s">
        <v>233</v>
      </c>
      <c r="P2115" s="12" t="s">
        <v>125</v>
      </c>
      <c r="Q2115" s="7" t="str">
        <f t="shared" si="100"/>
        <v>(1997,36,'1997.09.06',47,48,51,66,83,0),</v>
      </c>
      <c r="R2115" s="7" t="str">
        <f t="shared" ref="R2115:R2178" si="102">IF(TRIM(P2115)="","","("&amp;A2115&amp;","&amp;B2115&amp;",'"&amp;TEXT(C2115,"éééé.hh.nn")&amp;"',"&amp;L2115&amp;","&amp;M2115&amp;","&amp;N2115&amp;","&amp;O2115&amp;","&amp;P2115&amp;")"&amp;IF(P2116=0,";",","))</f>
        <v>(1997,36,'1997.09.06',47,48,51,66,83),</v>
      </c>
    </row>
    <row r="2116" spans="1:18" x14ac:dyDescent="0.25">
      <c r="A2116" s="7" t="s">
        <v>5842</v>
      </c>
      <c r="B2116" s="8" t="s">
        <v>46</v>
      </c>
      <c r="C2116" s="10">
        <f t="shared" si="101"/>
        <v>35686</v>
      </c>
      <c r="D2116" t="s">
        <v>11</v>
      </c>
      <c r="E2116" t="s">
        <v>12</v>
      </c>
      <c r="F2116" t="s">
        <v>11</v>
      </c>
      <c r="G2116" t="s">
        <v>12</v>
      </c>
      <c r="H2116" t="s">
        <v>11</v>
      </c>
      <c r="I2116" t="s">
        <v>12</v>
      </c>
      <c r="J2116" t="s">
        <v>11</v>
      </c>
      <c r="K2116" t="s">
        <v>12</v>
      </c>
      <c r="L2116" s="12" t="s">
        <v>43</v>
      </c>
      <c r="M2116" s="12" t="s">
        <v>32</v>
      </c>
      <c r="N2116" s="12" t="s">
        <v>134</v>
      </c>
      <c r="O2116" s="12" t="s">
        <v>150</v>
      </c>
      <c r="P2116" s="12" t="s">
        <v>301</v>
      </c>
      <c r="Q2116" s="7" t="str">
        <f t="shared" si="100"/>
        <v>(1997,37,'1997.09.13',16,22,56,57,80,0),</v>
      </c>
      <c r="R2116" s="7" t="str">
        <f t="shared" si="102"/>
        <v>(1997,37,'1997.09.13',16,22,56,57,80),</v>
      </c>
    </row>
    <row r="2117" spans="1:18" x14ac:dyDescent="0.25">
      <c r="A2117" s="7" t="s">
        <v>5842</v>
      </c>
      <c r="B2117" s="8" t="s">
        <v>36</v>
      </c>
      <c r="C2117" s="10">
        <f t="shared" si="101"/>
        <v>35693</v>
      </c>
      <c r="D2117" t="s">
        <v>11</v>
      </c>
      <c r="E2117" t="s">
        <v>12</v>
      </c>
      <c r="F2117" t="s">
        <v>11</v>
      </c>
      <c r="G2117" t="s">
        <v>12</v>
      </c>
      <c r="H2117" t="s">
        <v>11</v>
      </c>
      <c r="I2117" t="s">
        <v>12</v>
      </c>
      <c r="J2117" t="s">
        <v>11</v>
      </c>
      <c r="K2117" t="s">
        <v>12</v>
      </c>
      <c r="L2117" s="12" t="s">
        <v>270</v>
      </c>
      <c r="M2117" s="12" t="s">
        <v>43</v>
      </c>
      <c r="N2117" s="12" t="s">
        <v>74</v>
      </c>
      <c r="O2117" s="12" t="s">
        <v>24</v>
      </c>
      <c r="P2117" s="12" t="s">
        <v>233</v>
      </c>
      <c r="Q2117" s="7" t="str">
        <f t="shared" si="100"/>
        <v>(1997,38,'1997.09.20',6,16,26,39,66,0),</v>
      </c>
      <c r="R2117" s="7" t="str">
        <f t="shared" si="102"/>
        <v>(1997,38,'1997.09.20',6,16,26,39,66),</v>
      </c>
    </row>
    <row r="2118" spans="1:18" x14ac:dyDescent="0.25">
      <c r="A2118" s="7" t="s">
        <v>5842</v>
      </c>
      <c r="B2118" s="8" t="s">
        <v>24</v>
      </c>
      <c r="C2118" s="10">
        <f t="shared" si="101"/>
        <v>35700</v>
      </c>
      <c r="D2118" t="s">
        <v>11</v>
      </c>
      <c r="E2118" t="s">
        <v>12</v>
      </c>
      <c r="F2118" t="s">
        <v>11</v>
      </c>
      <c r="G2118" t="s">
        <v>12</v>
      </c>
      <c r="H2118" t="s">
        <v>11</v>
      </c>
      <c r="I2118" t="s">
        <v>12</v>
      </c>
      <c r="J2118" t="s">
        <v>11</v>
      </c>
      <c r="K2118" t="s">
        <v>12</v>
      </c>
      <c r="L2118" s="12" t="s">
        <v>163</v>
      </c>
      <c r="M2118" s="12" t="s">
        <v>105</v>
      </c>
      <c r="N2118" s="12" t="s">
        <v>175</v>
      </c>
      <c r="O2118" s="12" t="s">
        <v>72</v>
      </c>
      <c r="P2118" s="12" t="s">
        <v>125</v>
      </c>
      <c r="Q2118" s="7" t="str">
        <f t="shared" si="100"/>
        <v>(1997,39,'1997.09.27',23,50,55,67,83,0),</v>
      </c>
      <c r="R2118" s="7" t="str">
        <f t="shared" si="102"/>
        <v>(1997,39,'1997.09.27',23,50,55,67,83),</v>
      </c>
    </row>
    <row r="2119" spans="1:18" x14ac:dyDescent="0.25">
      <c r="A2119" s="7" t="s">
        <v>5842</v>
      </c>
      <c r="B2119" s="8" t="s">
        <v>10</v>
      </c>
      <c r="C2119" s="10">
        <f t="shared" si="101"/>
        <v>35707</v>
      </c>
      <c r="D2119" t="s">
        <v>11</v>
      </c>
      <c r="E2119" t="s">
        <v>12</v>
      </c>
      <c r="F2119" t="s">
        <v>11</v>
      </c>
      <c r="G2119" t="s">
        <v>12</v>
      </c>
      <c r="H2119" t="s">
        <v>11</v>
      </c>
      <c r="I2119" t="s">
        <v>12</v>
      </c>
      <c r="J2119" t="s">
        <v>11</v>
      </c>
      <c r="K2119" t="s">
        <v>12</v>
      </c>
      <c r="L2119" s="12" t="s">
        <v>54</v>
      </c>
      <c r="M2119" s="12" t="s">
        <v>71</v>
      </c>
      <c r="N2119" s="12" t="s">
        <v>80</v>
      </c>
      <c r="O2119" s="12" t="s">
        <v>99</v>
      </c>
      <c r="P2119" s="12" t="s">
        <v>214</v>
      </c>
      <c r="Q2119" s="7" t="str">
        <f t="shared" si="100"/>
        <v>(1997,40,'1997.10.04',15,31,32,52,64,0),</v>
      </c>
      <c r="R2119" s="7" t="str">
        <f t="shared" si="102"/>
        <v>(1997,40,'1997.10.04',15,31,32,52,64),</v>
      </c>
    </row>
    <row r="2120" spans="1:18" x14ac:dyDescent="0.25">
      <c r="A2120" s="7" t="s">
        <v>5842</v>
      </c>
      <c r="B2120" s="8" t="s">
        <v>13</v>
      </c>
      <c r="C2120" s="10">
        <f t="shared" si="101"/>
        <v>35714</v>
      </c>
      <c r="D2120" t="s">
        <v>11</v>
      </c>
      <c r="E2120" t="s">
        <v>12</v>
      </c>
      <c r="F2120" t="s">
        <v>11</v>
      </c>
      <c r="G2120" t="s">
        <v>12</v>
      </c>
      <c r="H2120" t="s">
        <v>11</v>
      </c>
      <c r="I2120" t="s">
        <v>12</v>
      </c>
      <c r="J2120" t="s">
        <v>11</v>
      </c>
      <c r="K2120" t="s">
        <v>12</v>
      </c>
      <c r="L2120" s="12" t="s">
        <v>127</v>
      </c>
      <c r="M2120" s="12" t="s">
        <v>74</v>
      </c>
      <c r="N2120" s="12" t="s">
        <v>82</v>
      </c>
      <c r="O2120" s="12" t="s">
        <v>106</v>
      </c>
      <c r="P2120" s="12" t="s">
        <v>468</v>
      </c>
      <c r="Q2120" s="7" t="str">
        <f t="shared" si="100"/>
        <v>(1997,41,'1997.10.11',14,26,59,75,85,0),</v>
      </c>
      <c r="R2120" s="7" t="str">
        <f t="shared" si="102"/>
        <v>(1997,41,'1997.10.11',14,26,59,75,85),</v>
      </c>
    </row>
    <row r="2121" spans="1:18" x14ac:dyDescent="0.25">
      <c r="A2121" s="7" t="s">
        <v>5842</v>
      </c>
      <c r="B2121" s="8" t="s">
        <v>98</v>
      </c>
      <c r="C2121" s="10">
        <f t="shared" si="101"/>
        <v>35721</v>
      </c>
      <c r="D2121" t="s">
        <v>11</v>
      </c>
      <c r="E2121" t="s">
        <v>12</v>
      </c>
      <c r="F2121" t="s">
        <v>11</v>
      </c>
      <c r="G2121" t="s">
        <v>12</v>
      </c>
      <c r="H2121" t="s">
        <v>11</v>
      </c>
      <c r="I2121" t="s">
        <v>12</v>
      </c>
      <c r="J2121" t="s">
        <v>11</v>
      </c>
      <c r="K2121" t="s">
        <v>12</v>
      </c>
      <c r="L2121" s="12" t="s">
        <v>107</v>
      </c>
      <c r="M2121" s="12" t="s">
        <v>10</v>
      </c>
      <c r="N2121" s="12" t="s">
        <v>13</v>
      </c>
      <c r="O2121" s="12" t="s">
        <v>45</v>
      </c>
      <c r="P2121" s="12" t="s">
        <v>106</v>
      </c>
      <c r="Q2121" s="7" t="str">
        <f t="shared" si="100"/>
        <v>(1997,42,'1997.10.18',30,40,41,43,75,0),</v>
      </c>
      <c r="R2121" s="7" t="str">
        <f t="shared" si="102"/>
        <v>(1997,42,'1997.10.18',30,40,41,43,75),</v>
      </c>
    </row>
    <row r="2122" spans="1:18" x14ac:dyDescent="0.25">
      <c r="A2122" s="7" t="s">
        <v>5842</v>
      </c>
      <c r="B2122" s="8" t="s">
        <v>45</v>
      </c>
      <c r="C2122" s="10">
        <f t="shared" si="101"/>
        <v>35728</v>
      </c>
      <c r="D2122" t="s">
        <v>11</v>
      </c>
      <c r="E2122" t="s">
        <v>12</v>
      </c>
      <c r="F2122" t="s">
        <v>11</v>
      </c>
      <c r="G2122" t="s">
        <v>12</v>
      </c>
      <c r="H2122" t="s">
        <v>11</v>
      </c>
      <c r="I2122" t="s">
        <v>12</v>
      </c>
      <c r="J2122" t="s">
        <v>11</v>
      </c>
      <c r="K2122" t="s">
        <v>12</v>
      </c>
      <c r="L2122" s="12" t="s">
        <v>168</v>
      </c>
      <c r="M2122" s="12" t="s">
        <v>44</v>
      </c>
      <c r="N2122" s="12" t="s">
        <v>152</v>
      </c>
      <c r="O2122" s="12" t="s">
        <v>25</v>
      </c>
      <c r="P2122" s="12" t="s">
        <v>106</v>
      </c>
      <c r="Q2122" s="7" t="str">
        <f t="shared" si="100"/>
        <v>(1997,43,'1997.10.25',4,21,25,34,75,0),</v>
      </c>
      <c r="R2122" s="7" t="str">
        <f t="shared" si="102"/>
        <v>(1997,43,'1997.10.25',4,21,25,34,75),</v>
      </c>
    </row>
    <row r="2123" spans="1:18" x14ac:dyDescent="0.25">
      <c r="A2123" s="7" t="s">
        <v>5842</v>
      </c>
      <c r="B2123" s="8" t="s">
        <v>142</v>
      </c>
      <c r="C2123" s="10">
        <f t="shared" si="101"/>
        <v>35735</v>
      </c>
      <c r="D2123" t="s">
        <v>11</v>
      </c>
      <c r="E2123" t="s">
        <v>12</v>
      </c>
      <c r="F2123" t="s">
        <v>11</v>
      </c>
      <c r="G2123" t="s">
        <v>12</v>
      </c>
      <c r="H2123" t="s">
        <v>11</v>
      </c>
      <c r="I2123" t="s">
        <v>12</v>
      </c>
      <c r="J2123" t="s">
        <v>11</v>
      </c>
      <c r="K2123" t="s">
        <v>12</v>
      </c>
      <c r="L2123" s="12" t="s">
        <v>64</v>
      </c>
      <c r="M2123" s="12" t="s">
        <v>142</v>
      </c>
      <c r="N2123" s="12" t="s">
        <v>134</v>
      </c>
      <c r="O2123" s="12" t="s">
        <v>233</v>
      </c>
      <c r="P2123" s="12" t="s">
        <v>200</v>
      </c>
      <c r="Q2123" s="7" t="str">
        <f t="shared" si="100"/>
        <v>(1997,44,'1997.11.01',35,44,56,66,70,0),</v>
      </c>
      <c r="R2123" s="7" t="str">
        <f t="shared" si="102"/>
        <v>(1997,44,'1997.11.01',35,44,56,66,70),</v>
      </c>
    </row>
    <row r="2124" spans="1:18" x14ac:dyDescent="0.25">
      <c r="A2124" s="7" t="s">
        <v>5842</v>
      </c>
      <c r="B2124" s="8" t="s">
        <v>133</v>
      </c>
      <c r="C2124" s="10">
        <f t="shared" si="101"/>
        <v>35742</v>
      </c>
      <c r="D2124" t="s">
        <v>11</v>
      </c>
      <c r="E2124" t="s">
        <v>12</v>
      </c>
      <c r="F2124" t="s">
        <v>11</v>
      </c>
      <c r="G2124" t="s">
        <v>12</v>
      </c>
      <c r="H2124" t="s">
        <v>11</v>
      </c>
      <c r="I2124" t="s">
        <v>12</v>
      </c>
      <c r="J2124" t="s">
        <v>11</v>
      </c>
      <c r="K2124" t="s">
        <v>12</v>
      </c>
      <c r="L2124" s="12" t="s">
        <v>163</v>
      </c>
      <c r="M2124" s="12" t="s">
        <v>126</v>
      </c>
      <c r="N2124" s="12" t="s">
        <v>10</v>
      </c>
      <c r="O2124" s="12" t="s">
        <v>142</v>
      </c>
      <c r="P2124" s="12" t="s">
        <v>99</v>
      </c>
      <c r="Q2124" s="7" t="str">
        <f t="shared" si="100"/>
        <v>(1997,45,'1997.11.08',23,28,40,44,52,0),</v>
      </c>
      <c r="R2124" s="7" t="str">
        <f t="shared" si="102"/>
        <v>(1997,45,'1997.11.08',23,28,40,44,52),</v>
      </c>
    </row>
    <row r="2125" spans="1:18" x14ac:dyDescent="0.25">
      <c r="A2125" s="7" t="s">
        <v>5842</v>
      </c>
      <c r="B2125" s="8" t="s">
        <v>192</v>
      </c>
      <c r="C2125" s="10">
        <f t="shared" si="101"/>
        <v>35749</v>
      </c>
      <c r="D2125" t="s">
        <v>11</v>
      </c>
      <c r="E2125" t="s">
        <v>12</v>
      </c>
      <c r="F2125" t="s">
        <v>11</v>
      </c>
      <c r="G2125" t="s">
        <v>12</v>
      </c>
      <c r="H2125" t="s">
        <v>11</v>
      </c>
      <c r="I2125" t="s">
        <v>12</v>
      </c>
      <c r="J2125" t="s">
        <v>11</v>
      </c>
      <c r="K2125" t="s">
        <v>12</v>
      </c>
      <c r="L2125" s="12" t="s">
        <v>65</v>
      </c>
      <c r="M2125" s="12" t="s">
        <v>142</v>
      </c>
      <c r="N2125" s="12" t="s">
        <v>81</v>
      </c>
      <c r="O2125" s="12" t="s">
        <v>151</v>
      </c>
      <c r="P2125" s="12" t="s">
        <v>215</v>
      </c>
      <c r="Q2125" s="7" t="str">
        <f t="shared" si="100"/>
        <v>(1997,46,'1997.11.15',13,44,47,79,81,0),</v>
      </c>
      <c r="R2125" s="7" t="str">
        <f t="shared" si="102"/>
        <v>(1997,46,'1997.11.15',13,44,47,79,81),</v>
      </c>
    </row>
    <row r="2126" spans="1:18" x14ac:dyDescent="0.25">
      <c r="A2126" s="7" t="s">
        <v>5842</v>
      </c>
      <c r="B2126" s="8" t="s">
        <v>81</v>
      </c>
      <c r="C2126" s="10">
        <f t="shared" si="101"/>
        <v>35756</v>
      </c>
      <c r="D2126" t="s">
        <v>11</v>
      </c>
      <c r="E2126" t="s">
        <v>12</v>
      </c>
      <c r="F2126" t="s">
        <v>11</v>
      </c>
      <c r="G2126" t="s">
        <v>12</v>
      </c>
      <c r="H2126" t="s">
        <v>11</v>
      </c>
      <c r="I2126" t="s">
        <v>12</v>
      </c>
      <c r="J2126" t="s">
        <v>11</v>
      </c>
      <c r="K2126" t="s">
        <v>12</v>
      </c>
      <c r="L2126" s="12" t="s">
        <v>21</v>
      </c>
      <c r="M2126" s="12" t="s">
        <v>10</v>
      </c>
      <c r="N2126" s="12" t="s">
        <v>98</v>
      </c>
      <c r="O2126" s="12" t="s">
        <v>124</v>
      </c>
      <c r="P2126" s="12" t="s">
        <v>233</v>
      </c>
      <c r="Q2126" s="7" t="str">
        <f t="shared" si="100"/>
        <v>(1997,47,'1997.11.22',36,40,42,62,66,0),</v>
      </c>
      <c r="R2126" s="7" t="str">
        <f t="shared" si="102"/>
        <v>(1997,47,'1997.11.22',36,40,42,62,66),</v>
      </c>
    </row>
    <row r="2127" spans="1:18" x14ac:dyDescent="0.25">
      <c r="A2127" s="7" t="s">
        <v>5842</v>
      </c>
      <c r="B2127" s="8" t="s">
        <v>22</v>
      </c>
      <c r="C2127" s="10">
        <f t="shared" si="101"/>
        <v>35763</v>
      </c>
      <c r="D2127" t="s">
        <v>11</v>
      </c>
      <c r="E2127" t="s">
        <v>12</v>
      </c>
      <c r="F2127" t="s">
        <v>11</v>
      </c>
      <c r="G2127" t="s">
        <v>12</v>
      </c>
      <c r="H2127" t="s">
        <v>11</v>
      </c>
      <c r="I2127" t="s">
        <v>12</v>
      </c>
      <c r="J2127" t="s">
        <v>11</v>
      </c>
      <c r="K2127" t="s">
        <v>12</v>
      </c>
      <c r="L2127" s="12" t="s">
        <v>150</v>
      </c>
      <c r="M2127" s="12" t="s">
        <v>82</v>
      </c>
      <c r="N2127" s="12" t="s">
        <v>72</v>
      </c>
      <c r="O2127" s="12" t="s">
        <v>208</v>
      </c>
      <c r="P2127" s="12" t="s">
        <v>186</v>
      </c>
      <c r="Q2127" s="7" t="str">
        <f t="shared" si="100"/>
        <v>(1997,48,'1997.11.29',57,59,67,88,90,0),</v>
      </c>
      <c r="R2127" s="7" t="str">
        <f t="shared" si="102"/>
        <v>(1997,48,'1997.11.29',57,59,67,88,90),</v>
      </c>
    </row>
    <row r="2128" spans="1:18" x14ac:dyDescent="0.25">
      <c r="A2128" s="7" t="s">
        <v>5842</v>
      </c>
      <c r="B2128" s="8" t="s">
        <v>34</v>
      </c>
      <c r="C2128" s="10">
        <f t="shared" si="101"/>
        <v>35770</v>
      </c>
      <c r="D2128" t="s">
        <v>11</v>
      </c>
      <c r="E2128" t="s">
        <v>12</v>
      </c>
      <c r="F2128" t="s">
        <v>11</v>
      </c>
      <c r="G2128" t="s">
        <v>12</v>
      </c>
      <c r="H2128" t="s">
        <v>11</v>
      </c>
      <c r="I2128" t="s">
        <v>12</v>
      </c>
      <c r="J2128" t="s">
        <v>11</v>
      </c>
      <c r="K2128" t="s">
        <v>12</v>
      </c>
      <c r="L2128" s="12" t="s">
        <v>163</v>
      </c>
      <c r="M2128" s="12" t="s">
        <v>122</v>
      </c>
      <c r="N2128" s="12" t="s">
        <v>200</v>
      </c>
      <c r="O2128" s="12" t="s">
        <v>56</v>
      </c>
      <c r="P2128" s="12" t="s">
        <v>239</v>
      </c>
      <c r="Q2128" s="7" t="str">
        <f t="shared" si="100"/>
        <v>(1997,49,'1997.12.06',23,51,70,71,73,0),</v>
      </c>
      <c r="R2128" s="7" t="str">
        <f t="shared" si="102"/>
        <v>(1997,49,'1997.12.06',23,51,70,71,73),</v>
      </c>
    </row>
    <row r="2129" spans="1:18" x14ac:dyDescent="0.25">
      <c r="A2129" s="7" t="s">
        <v>5842</v>
      </c>
      <c r="B2129" s="8" t="s">
        <v>105</v>
      </c>
      <c r="C2129" s="10">
        <f t="shared" si="101"/>
        <v>35777</v>
      </c>
      <c r="D2129" t="s">
        <v>11</v>
      </c>
      <c r="E2129" t="s">
        <v>12</v>
      </c>
      <c r="F2129" t="s">
        <v>11</v>
      </c>
      <c r="G2129" t="s">
        <v>12</v>
      </c>
      <c r="H2129" t="s">
        <v>11</v>
      </c>
      <c r="I2129" t="s">
        <v>12</v>
      </c>
      <c r="J2129" t="s">
        <v>11</v>
      </c>
      <c r="K2129" t="s">
        <v>12</v>
      </c>
      <c r="L2129" s="12" t="s">
        <v>90</v>
      </c>
      <c r="M2129" s="12" t="s">
        <v>123</v>
      </c>
      <c r="N2129" s="12" t="s">
        <v>23</v>
      </c>
      <c r="O2129" s="12" t="s">
        <v>91</v>
      </c>
      <c r="P2129" s="12" t="s">
        <v>186</v>
      </c>
      <c r="Q2129" s="7" t="str">
        <f t="shared" si="100"/>
        <v>(1997,50,'1997.12.13',17,54,60,61,90,0),</v>
      </c>
      <c r="R2129" s="7" t="str">
        <f t="shared" si="102"/>
        <v>(1997,50,'1997.12.13',17,54,60,61,90),</v>
      </c>
    </row>
    <row r="2130" spans="1:18" x14ac:dyDescent="0.25">
      <c r="A2130" s="7" t="s">
        <v>5842</v>
      </c>
      <c r="B2130" s="8" t="s">
        <v>122</v>
      </c>
      <c r="C2130" s="10">
        <f t="shared" si="101"/>
        <v>35784</v>
      </c>
      <c r="D2130" t="s">
        <v>11</v>
      </c>
      <c r="E2130" t="s">
        <v>12</v>
      </c>
      <c r="F2130" t="s">
        <v>11</v>
      </c>
      <c r="G2130" t="s">
        <v>12</v>
      </c>
      <c r="H2130" t="s">
        <v>11</v>
      </c>
      <c r="I2130" t="s">
        <v>12</v>
      </c>
      <c r="J2130" t="s">
        <v>11</v>
      </c>
      <c r="K2130" t="s">
        <v>12</v>
      </c>
      <c r="L2130" s="12" t="s">
        <v>108</v>
      </c>
      <c r="M2130" s="12" t="s">
        <v>89</v>
      </c>
      <c r="N2130" s="12" t="s">
        <v>65</v>
      </c>
      <c r="O2130" s="12" t="s">
        <v>175</v>
      </c>
      <c r="P2130" s="12" t="s">
        <v>63</v>
      </c>
      <c r="Q2130" s="7" t="str">
        <f t="shared" si="100"/>
        <v>(1997,51,'1997.12.20',1,5,13,55,78,0),</v>
      </c>
      <c r="R2130" s="7" t="str">
        <f t="shared" si="102"/>
        <v>(1997,51,'1997.12.20',1,5,13,55,78),</v>
      </c>
    </row>
    <row r="2131" spans="1:18" x14ac:dyDescent="0.25">
      <c r="A2131" s="7" t="s">
        <v>5842</v>
      </c>
      <c r="B2131" s="8" t="s">
        <v>99</v>
      </c>
      <c r="C2131" s="10">
        <f t="shared" si="101"/>
        <v>35791</v>
      </c>
      <c r="D2131" t="s">
        <v>11</v>
      </c>
      <c r="E2131" t="s">
        <v>12</v>
      </c>
      <c r="F2131" t="s">
        <v>11</v>
      </c>
      <c r="G2131" t="s">
        <v>12</v>
      </c>
      <c r="H2131" t="s">
        <v>11</v>
      </c>
      <c r="I2131" t="s">
        <v>12</v>
      </c>
      <c r="J2131" t="s">
        <v>11</v>
      </c>
      <c r="K2131" t="s">
        <v>12</v>
      </c>
      <c r="L2131" s="12" t="s">
        <v>32</v>
      </c>
      <c r="M2131" s="12" t="s">
        <v>20</v>
      </c>
      <c r="N2131" s="12" t="s">
        <v>133</v>
      </c>
      <c r="O2131" s="12" t="s">
        <v>233</v>
      </c>
      <c r="P2131" s="12" t="s">
        <v>215</v>
      </c>
      <c r="Q2131" s="7" t="str">
        <f t="shared" si="100"/>
        <v>(1997,52,'1997.12.27',22,33,45,66,81,0),</v>
      </c>
      <c r="R2131" s="7" t="str">
        <f t="shared" si="102"/>
        <v>(1997,52,'1997.12.27',22,33,45,66,81),</v>
      </c>
    </row>
    <row r="2132" spans="1:18" x14ac:dyDescent="0.25">
      <c r="A2132" s="7" t="s">
        <v>642</v>
      </c>
      <c r="B2132" s="8" t="s">
        <v>108</v>
      </c>
      <c r="C2132" s="10">
        <f t="shared" si="101"/>
        <v>35798</v>
      </c>
      <c r="D2132" t="s">
        <v>11</v>
      </c>
      <c r="E2132" t="s">
        <v>12</v>
      </c>
      <c r="F2132" t="s">
        <v>47</v>
      </c>
      <c r="G2132" t="s">
        <v>5837</v>
      </c>
      <c r="H2132" t="s">
        <v>5838</v>
      </c>
      <c r="I2132" t="s">
        <v>5839</v>
      </c>
      <c r="J2132" t="s">
        <v>5840</v>
      </c>
      <c r="K2132" t="s">
        <v>5841</v>
      </c>
      <c r="L2132" s="12" t="s">
        <v>168</v>
      </c>
      <c r="M2132" s="12" t="s">
        <v>19</v>
      </c>
      <c r="N2132" s="12" t="s">
        <v>44</v>
      </c>
      <c r="O2132" s="12" t="s">
        <v>33</v>
      </c>
      <c r="P2132" s="12" t="s">
        <v>116</v>
      </c>
      <c r="Q2132" s="7" t="str">
        <f t="shared" si="100"/>
        <v>(1998,1,'1998.01.03',4,18,21,24,29,0),</v>
      </c>
      <c r="R2132" s="7" t="str">
        <f t="shared" si="102"/>
        <v>(1998,1,'1998.01.03',4,18,21,24,29),</v>
      </c>
    </row>
    <row r="2133" spans="1:18" x14ac:dyDescent="0.25">
      <c r="A2133" s="7" t="s">
        <v>642</v>
      </c>
      <c r="B2133" s="8" t="s">
        <v>207</v>
      </c>
      <c r="C2133" s="10">
        <f t="shared" si="101"/>
        <v>35805</v>
      </c>
      <c r="D2133" t="s">
        <v>108</v>
      </c>
      <c r="E2133" t="s">
        <v>5832</v>
      </c>
      <c r="F2133" t="s">
        <v>127</v>
      </c>
      <c r="G2133" t="s">
        <v>5833</v>
      </c>
      <c r="H2133" t="s">
        <v>5834</v>
      </c>
      <c r="I2133" t="s">
        <v>5835</v>
      </c>
      <c r="J2133" t="s">
        <v>5836</v>
      </c>
      <c r="K2133" t="s">
        <v>3909</v>
      </c>
      <c r="L2133" s="12" t="s">
        <v>108</v>
      </c>
      <c r="M2133" s="12" t="s">
        <v>127</v>
      </c>
      <c r="N2133" s="12" t="s">
        <v>192</v>
      </c>
      <c r="O2133" s="12" t="s">
        <v>82</v>
      </c>
      <c r="P2133" s="12" t="s">
        <v>214</v>
      </c>
      <c r="Q2133" s="7" t="str">
        <f t="shared" si="100"/>
        <v>(1998,2,'1998.01.10',1,14,46,59,64,0),</v>
      </c>
      <c r="R2133" s="7" t="str">
        <f t="shared" si="102"/>
        <v>(1998,2,'1998.01.10',1,14,46,59,64),</v>
      </c>
    </row>
    <row r="2134" spans="1:18" x14ac:dyDescent="0.25">
      <c r="A2134" s="7" t="s">
        <v>642</v>
      </c>
      <c r="B2134" s="8" t="s">
        <v>42</v>
      </c>
      <c r="C2134" s="10">
        <f t="shared" si="101"/>
        <v>35812</v>
      </c>
      <c r="D2134" t="s">
        <v>11</v>
      </c>
      <c r="E2134" t="s">
        <v>12</v>
      </c>
      <c r="F2134" t="s">
        <v>169</v>
      </c>
      <c r="G2134" t="s">
        <v>5829</v>
      </c>
      <c r="H2134" t="s">
        <v>5433</v>
      </c>
      <c r="I2134" t="s">
        <v>5830</v>
      </c>
      <c r="J2134" t="s">
        <v>5831</v>
      </c>
      <c r="K2134" t="s">
        <v>5643</v>
      </c>
      <c r="L2134" s="12" t="s">
        <v>24</v>
      </c>
      <c r="M2134" s="12" t="s">
        <v>34</v>
      </c>
      <c r="N2134" s="12" t="s">
        <v>99</v>
      </c>
      <c r="O2134" s="12" t="s">
        <v>233</v>
      </c>
      <c r="P2134" s="12" t="s">
        <v>200</v>
      </c>
      <c r="Q2134" s="7" t="str">
        <f t="shared" si="100"/>
        <v>(1998,3,'1998.01.17',39,49,52,66,70,0),</v>
      </c>
      <c r="R2134" s="7" t="str">
        <f t="shared" si="102"/>
        <v>(1998,3,'1998.01.17',39,49,52,66,70),</v>
      </c>
    </row>
    <row r="2135" spans="1:18" x14ac:dyDescent="0.25">
      <c r="A2135" s="7" t="s">
        <v>642</v>
      </c>
      <c r="B2135" s="8" t="s">
        <v>168</v>
      </c>
      <c r="C2135" s="10">
        <f t="shared" si="101"/>
        <v>35819</v>
      </c>
      <c r="D2135" t="s">
        <v>108</v>
      </c>
      <c r="E2135" t="s">
        <v>5823</v>
      </c>
      <c r="F2135" t="s">
        <v>208</v>
      </c>
      <c r="G2135" t="s">
        <v>5824</v>
      </c>
      <c r="H2135" t="s">
        <v>5825</v>
      </c>
      <c r="I2135" t="s">
        <v>5826</v>
      </c>
      <c r="J2135" t="s">
        <v>5827</v>
      </c>
      <c r="K2135" t="s">
        <v>5828</v>
      </c>
      <c r="L2135" s="12" t="s">
        <v>42</v>
      </c>
      <c r="M2135" s="12" t="s">
        <v>65</v>
      </c>
      <c r="N2135" s="12" t="s">
        <v>107</v>
      </c>
      <c r="O2135" s="12" t="s">
        <v>133</v>
      </c>
      <c r="P2135" s="12" t="s">
        <v>34</v>
      </c>
      <c r="Q2135" s="7" t="str">
        <f t="shared" si="100"/>
        <v>(1998,4,'1998.01.24',3,13,30,45,49,0),</v>
      </c>
      <c r="R2135" s="7" t="str">
        <f t="shared" si="102"/>
        <v>(1998,4,'1998.01.24',3,13,30,45,49),</v>
      </c>
    </row>
    <row r="2136" spans="1:18" x14ac:dyDescent="0.25">
      <c r="A2136" s="7" t="s">
        <v>642</v>
      </c>
      <c r="B2136" s="8" t="s">
        <v>89</v>
      </c>
      <c r="C2136" s="10">
        <f t="shared" si="101"/>
        <v>35826</v>
      </c>
      <c r="D2136" t="s">
        <v>11</v>
      </c>
      <c r="E2136" t="s">
        <v>12</v>
      </c>
      <c r="F2136" t="s">
        <v>116</v>
      </c>
      <c r="G2136" t="s">
        <v>5818</v>
      </c>
      <c r="H2136" t="s">
        <v>5819</v>
      </c>
      <c r="I2136" t="s">
        <v>5820</v>
      </c>
      <c r="J2136" t="s">
        <v>5821</v>
      </c>
      <c r="K2136" t="s">
        <v>5822</v>
      </c>
      <c r="L2136" s="12" t="s">
        <v>53</v>
      </c>
      <c r="M2136" s="12" t="s">
        <v>62</v>
      </c>
      <c r="N2136" s="12" t="s">
        <v>80</v>
      </c>
      <c r="O2136" s="12" t="s">
        <v>56</v>
      </c>
      <c r="P2136" s="12" t="s">
        <v>246</v>
      </c>
      <c r="Q2136" s="7" t="str">
        <f t="shared" si="100"/>
        <v>(1998,5,'1998.01.31',7,10,32,71,84,0),</v>
      </c>
      <c r="R2136" s="7" t="str">
        <f t="shared" si="102"/>
        <v>(1998,5,'1998.01.31',7,10,32,71,84),</v>
      </c>
    </row>
    <row r="2137" spans="1:18" x14ac:dyDescent="0.25">
      <c r="A2137" s="7" t="s">
        <v>642</v>
      </c>
      <c r="B2137" s="8" t="s">
        <v>270</v>
      </c>
      <c r="C2137" s="10">
        <f t="shared" si="101"/>
        <v>35833</v>
      </c>
      <c r="D2137" t="s">
        <v>11</v>
      </c>
      <c r="E2137" t="s">
        <v>12</v>
      </c>
      <c r="F2137" t="s">
        <v>24</v>
      </c>
      <c r="G2137" t="s">
        <v>5814</v>
      </c>
      <c r="H2137" t="s">
        <v>5815</v>
      </c>
      <c r="I2137" t="s">
        <v>5816</v>
      </c>
      <c r="J2137" t="s">
        <v>5817</v>
      </c>
      <c r="K2137" t="s">
        <v>5679</v>
      </c>
      <c r="L2137" s="12" t="s">
        <v>54</v>
      </c>
      <c r="M2137" s="12" t="s">
        <v>45</v>
      </c>
      <c r="N2137" s="12" t="s">
        <v>123</v>
      </c>
      <c r="O2137" s="12" t="s">
        <v>47</v>
      </c>
      <c r="P2137" s="12" t="s">
        <v>245</v>
      </c>
      <c r="Q2137" s="7" t="str">
        <f t="shared" si="100"/>
        <v>(1998,6,'1998.02.07',15,43,54,69,74,0),</v>
      </c>
      <c r="R2137" s="7" t="str">
        <f t="shared" si="102"/>
        <v>(1998,6,'1998.02.07',15,43,54,69,74),</v>
      </c>
    </row>
    <row r="2138" spans="1:18" x14ac:dyDescent="0.25">
      <c r="A2138" s="7" t="s">
        <v>642</v>
      </c>
      <c r="B2138" s="8" t="s">
        <v>53</v>
      </c>
      <c r="C2138" s="10">
        <f t="shared" si="101"/>
        <v>35840</v>
      </c>
      <c r="D2138" t="s">
        <v>11</v>
      </c>
      <c r="E2138" t="s">
        <v>12</v>
      </c>
      <c r="F2138" t="s">
        <v>45</v>
      </c>
      <c r="G2138" t="s">
        <v>5809</v>
      </c>
      <c r="H2138" t="s">
        <v>5810</v>
      </c>
      <c r="I2138" t="s">
        <v>5811</v>
      </c>
      <c r="J2138" t="s">
        <v>5812</v>
      </c>
      <c r="K2138" t="s">
        <v>5813</v>
      </c>
      <c r="L2138" s="12" t="s">
        <v>62</v>
      </c>
      <c r="M2138" s="12" t="s">
        <v>31</v>
      </c>
      <c r="N2138" s="12" t="s">
        <v>152</v>
      </c>
      <c r="O2138" s="12" t="s">
        <v>13</v>
      </c>
      <c r="P2138" s="12" t="s">
        <v>468</v>
      </c>
      <c r="Q2138" s="7" t="str">
        <f t="shared" si="100"/>
        <v>(1998,7,'1998.02.14',10,12,25,41,85,0),</v>
      </c>
      <c r="R2138" s="7" t="str">
        <f t="shared" si="102"/>
        <v>(1998,7,'1998.02.14',10,12,25,41,85),</v>
      </c>
    </row>
    <row r="2139" spans="1:18" x14ac:dyDescent="0.25">
      <c r="A2139" s="7" t="s">
        <v>642</v>
      </c>
      <c r="B2139" s="8" t="s">
        <v>232</v>
      </c>
      <c r="C2139" s="10">
        <f t="shared" si="101"/>
        <v>35847</v>
      </c>
      <c r="D2139" t="s">
        <v>11</v>
      </c>
      <c r="E2139" t="s">
        <v>12</v>
      </c>
      <c r="F2139" t="s">
        <v>133</v>
      </c>
      <c r="G2139" t="s">
        <v>5804</v>
      </c>
      <c r="H2139" t="s">
        <v>5805</v>
      </c>
      <c r="I2139" t="s">
        <v>5806</v>
      </c>
      <c r="J2139" t="s">
        <v>5807</v>
      </c>
      <c r="K2139" t="s">
        <v>5808</v>
      </c>
      <c r="L2139" s="12" t="s">
        <v>232</v>
      </c>
      <c r="M2139" s="12" t="s">
        <v>33</v>
      </c>
      <c r="N2139" s="12" t="s">
        <v>80</v>
      </c>
      <c r="O2139" s="12" t="s">
        <v>133</v>
      </c>
      <c r="P2139" s="12" t="s">
        <v>23</v>
      </c>
      <c r="Q2139" s="7" t="str">
        <f t="shared" si="100"/>
        <v>(1998,8,'1998.02.21',8,24,32,45,60,0),</v>
      </c>
      <c r="R2139" s="7" t="str">
        <f t="shared" si="102"/>
        <v>(1998,8,'1998.02.21',8,24,32,45,60),</v>
      </c>
    </row>
    <row r="2140" spans="1:18" x14ac:dyDescent="0.25">
      <c r="A2140" s="7" t="s">
        <v>642</v>
      </c>
      <c r="B2140" s="8" t="s">
        <v>198</v>
      </c>
      <c r="C2140" s="10">
        <f t="shared" si="101"/>
        <v>35854</v>
      </c>
      <c r="D2140" t="s">
        <v>11</v>
      </c>
      <c r="E2140" t="s">
        <v>12</v>
      </c>
      <c r="F2140" t="s">
        <v>21</v>
      </c>
      <c r="G2140" t="s">
        <v>5800</v>
      </c>
      <c r="H2140" t="s">
        <v>5801</v>
      </c>
      <c r="I2140" t="s">
        <v>5802</v>
      </c>
      <c r="J2140" t="s">
        <v>5803</v>
      </c>
      <c r="K2140" t="s">
        <v>5531</v>
      </c>
      <c r="L2140" s="12" t="s">
        <v>31</v>
      </c>
      <c r="M2140" s="12" t="s">
        <v>74</v>
      </c>
      <c r="N2140" s="12" t="s">
        <v>126</v>
      </c>
      <c r="O2140" s="12" t="s">
        <v>64</v>
      </c>
      <c r="P2140" s="12" t="s">
        <v>142</v>
      </c>
      <c r="Q2140" s="7" t="str">
        <f t="shared" si="100"/>
        <v>(1998,9,'1998.02.28',12,26,28,35,44,0),</v>
      </c>
      <c r="R2140" s="7" t="str">
        <f t="shared" si="102"/>
        <v>(1998,9,'1998.02.28',12,26,28,35,44),</v>
      </c>
    </row>
    <row r="2141" spans="1:18" x14ac:dyDescent="0.25">
      <c r="A2141" s="7" t="s">
        <v>642</v>
      </c>
      <c r="B2141" s="8" t="s">
        <v>62</v>
      </c>
      <c r="C2141" s="10">
        <f t="shared" si="101"/>
        <v>35861</v>
      </c>
      <c r="D2141" t="s">
        <v>11</v>
      </c>
      <c r="E2141" t="s">
        <v>12</v>
      </c>
      <c r="F2141" t="s">
        <v>1961</v>
      </c>
      <c r="G2141" t="s">
        <v>5795</v>
      </c>
      <c r="H2141" t="s">
        <v>5796</v>
      </c>
      <c r="I2141" t="s">
        <v>5797</v>
      </c>
      <c r="J2141" t="s">
        <v>5798</v>
      </c>
      <c r="K2141" t="s">
        <v>5799</v>
      </c>
      <c r="L2141" s="12" t="s">
        <v>198</v>
      </c>
      <c r="M2141" s="12" t="s">
        <v>83</v>
      </c>
      <c r="N2141" s="12" t="s">
        <v>19</v>
      </c>
      <c r="O2141" s="12" t="s">
        <v>33</v>
      </c>
      <c r="P2141" s="12" t="s">
        <v>122</v>
      </c>
      <c r="Q2141" s="7" t="str">
        <f t="shared" si="100"/>
        <v>(1998,10,'1998.03.07',9,11,18,24,51,0),</v>
      </c>
      <c r="R2141" s="7" t="str">
        <f t="shared" si="102"/>
        <v>(1998,10,'1998.03.07',9,11,18,24,51),</v>
      </c>
    </row>
    <row r="2142" spans="1:18" x14ac:dyDescent="0.25">
      <c r="A2142" s="7" t="s">
        <v>642</v>
      </c>
      <c r="B2142" s="8" t="s">
        <v>83</v>
      </c>
      <c r="C2142" s="10">
        <f t="shared" si="101"/>
        <v>35868</v>
      </c>
      <c r="D2142" t="s">
        <v>11</v>
      </c>
      <c r="E2142" t="s">
        <v>12</v>
      </c>
      <c r="F2142" t="s">
        <v>83</v>
      </c>
      <c r="G2142" t="s">
        <v>5790</v>
      </c>
      <c r="H2142" t="s">
        <v>5791</v>
      </c>
      <c r="I2142" t="s">
        <v>5792</v>
      </c>
      <c r="J2142" t="s">
        <v>5793</v>
      </c>
      <c r="K2142" t="s">
        <v>5794</v>
      </c>
      <c r="L2142" s="12" t="s">
        <v>74</v>
      </c>
      <c r="M2142" s="12" t="s">
        <v>107</v>
      </c>
      <c r="N2142" s="12" t="s">
        <v>47</v>
      </c>
      <c r="O2142" s="12" t="s">
        <v>622</v>
      </c>
      <c r="P2142" s="12" t="s">
        <v>468</v>
      </c>
      <c r="Q2142" s="7" t="str">
        <f t="shared" si="100"/>
        <v>(1998,11,'1998.03.14',26,30,69,82,85,0),</v>
      </c>
      <c r="R2142" s="7" t="str">
        <f t="shared" si="102"/>
        <v>(1998,11,'1998.03.14',26,30,69,82,85),</v>
      </c>
    </row>
    <row r="2143" spans="1:18" x14ac:dyDescent="0.25">
      <c r="A2143" s="7" t="s">
        <v>642</v>
      </c>
      <c r="B2143" s="8" t="s">
        <v>31</v>
      </c>
      <c r="C2143" s="10">
        <f t="shared" si="101"/>
        <v>35875</v>
      </c>
      <c r="D2143" t="s">
        <v>11</v>
      </c>
      <c r="E2143" t="s">
        <v>12</v>
      </c>
      <c r="F2143" t="s">
        <v>44</v>
      </c>
      <c r="G2143" t="s">
        <v>5785</v>
      </c>
      <c r="H2143" t="s">
        <v>5786</v>
      </c>
      <c r="I2143" t="s">
        <v>5787</v>
      </c>
      <c r="J2143" t="s">
        <v>5788</v>
      </c>
      <c r="K2143" t="s">
        <v>5789</v>
      </c>
      <c r="L2143" s="12" t="s">
        <v>107</v>
      </c>
      <c r="M2143" s="12" t="s">
        <v>13</v>
      </c>
      <c r="N2143" s="12" t="s">
        <v>150</v>
      </c>
      <c r="O2143" s="12" t="s">
        <v>124</v>
      </c>
      <c r="P2143" s="12" t="s">
        <v>246</v>
      </c>
      <c r="Q2143" s="7" t="str">
        <f t="shared" si="100"/>
        <v>(1998,12,'1998.03.21',30,41,57,62,84,0),</v>
      </c>
      <c r="R2143" s="7" t="str">
        <f t="shared" si="102"/>
        <v>(1998,12,'1998.03.21',30,41,57,62,84),</v>
      </c>
    </row>
    <row r="2144" spans="1:18" x14ac:dyDescent="0.25">
      <c r="A2144" s="7" t="s">
        <v>642</v>
      </c>
      <c r="B2144" s="8" t="s">
        <v>65</v>
      </c>
      <c r="C2144" s="10">
        <f t="shared" si="101"/>
        <v>35882</v>
      </c>
      <c r="D2144" t="s">
        <v>11</v>
      </c>
      <c r="E2144" t="s">
        <v>12</v>
      </c>
      <c r="F2144" t="s">
        <v>239</v>
      </c>
      <c r="G2144" t="s">
        <v>5780</v>
      </c>
      <c r="H2144" t="s">
        <v>5781</v>
      </c>
      <c r="I2144" t="s">
        <v>5782</v>
      </c>
      <c r="J2144" t="s">
        <v>5783</v>
      </c>
      <c r="K2144" t="s">
        <v>5784</v>
      </c>
      <c r="L2144" s="12" t="s">
        <v>53</v>
      </c>
      <c r="M2144" s="12" t="s">
        <v>152</v>
      </c>
      <c r="N2144" s="12" t="s">
        <v>45</v>
      </c>
      <c r="O2144" s="12" t="s">
        <v>35</v>
      </c>
      <c r="P2144" s="12" t="s">
        <v>245</v>
      </c>
      <c r="Q2144" s="7" t="str">
        <f t="shared" si="100"/>
        <v>(1998,13,'1998.03.28',7,25,43,65,74,0),</v>
      </c>
      <c r="R2144" s="7" t="str">
        <f t="shared" si="102"/>
        <v>(1998,13,'1998.03.28',7,25,43,65,74),</v>
      </c>
    </row>
    <row r="2145" spans="1:18" x14ac:dyDescent="0.25">
      <c r="A2145" s="7" t="s">
        <v>642</v>
      </c>
      <c r="B2145" s="8" t="s">
        <v>127</v>
      </c>
      <c r="C2145" s="10">
        <f t="shared" si="101"/>
        <v>35889</v>
      </c>
      <c r="D2145" t="s">
        <v>11</v>
      </c>
      <c r="E2145" t="s">
        <v>12</v>
      </c>
      <c r="F2145" t="s">
        <v>5774</v>
      </c>
      <c r="G2145" t="s">
        <v>5775</v>
      </c>
      <c r="H2145" t="s">
        <v>5776</v>
      </c>
      <c r="I2145" t="s">
        <v>5777</v>
      </c>
      <c r="J2145" t="s">
        <v>5778</v>
      </c>
      <c r="K2145" t="s">
        <v>5779</v>
      </c>
      <c r="L2145" s="12" t="s">
        <v>198</v>
      </c>
      <c r="M2145" s="12" t="s">
        <v>19</v>
      </c>
      <c r="N2145" s="12" t="s">
        <v>44</v>
      </c>
      <c r="O2145" s="12" t="s">
        <v>99</v>
      </c>
      <c r="P2145" s="12" t="s">
        <v>150</v>
      </c>
      <c r="Q2145" s="7" t="str">
        <f t="shared" si="100"/>
        <v>(1998,14,'1998.04.04',9,18,21,52,57,0),</v>
      </c>
      <c r="R2145" s="7" t="str">
        <f t="shared" si="102"/>
        <v>(1998,14,'1998.04.04',9,18,21,52,57),</v>
      </c>
    </row>
    <row r="2146" spans="1:18" x14ac:dyDescent="0.25">
      <c r="A2146" s="7" t="s">
        <v>642</v>
      </c>
      <c r="B2146" s="8" t="s">
        <v>54</v>
      </c>
      <c r="C2146" s="10">
        <f t="shared" si="101"/>
        <v>35896</v>
      </c>
      <c r="D2146" t="s">
        <v>11</v>
      </c>
      <c r="E2146" t="s">
        <v>12</v>
      </c>
      <c r="F2146" t="s">
        <v>89</v>
      </c>
      <c r="G2146" t="s">
        <v>5769</v>
      </c>
      <c r="H2146" t="s">
        <v>5770</v>
      </c>
      <c r="I2146" t="s">
        <v>5771</v>
      </c>
      <c r="J2146" t="s">
        <v>5772</v>
      </c>
      <c r="K2146" t="s">
        <v>5773</v>
      </c>
      <c r="L2146" s="12" t="s">
        <v>108</v>
      </c>
      <c r="M2146" s="12" t="s">
        <v>74</v>
      </c>
      <c r="N2146" s="12" t="s">
        <v>13</v>
      </c>
      <c r="O2146" s="12" t="s">
        <v>133</v>
      </c>
      <c r="P2146" s="12" t="s">
        <v>73</v>
      </c>
      <c r="Q2146" s="7" t="str">
        <f t="shared" si="100"/>
        <v>(1998,15,'1998.04.11',1,26,41,45,76,0),</v>
      </c>
      <c r="R2146" s="7" t="str">
        <f t="shared" si="102"/>
        <v>(1998,15,'1998.04.11',1,26,41,45,76),</v>
      </c>
    </row>
    <row r="2147" spans="1:18" x14ac:dyDescent="0.25">
      <c r="A2147" s="7" t="s">
        <v>642</v>
      </c>
      <c r="B2147" s="8" t="s">
        <v>43</v>
      </c>
      <c r="C2147" s="10">
        <f t="shared" si="101"/>
        <v>35903</v>
      </c>
      <c r="D2147" t="s">
        <v>11</v>
      </c>
      <c r="E2147" t="s">
        <v>12</v>
      </c>
      <c r="F2147" t="s">
        <v>115</v>
      </c>
      <c r="G2147" t="s">
        <v>5765</v>
      </c>
      <c r="H2147" t="s">
        <v>5766</v>
      </c>
      <c r="I2147" t="s">
        <v>5767</v>
      </c>
      <c r="J2147" t="s">
        <v>5768</v>
      </c>
      <c r="K2147" t="s">
        <v>5416</v>
      </c>
      <c r="L2147" s="12" t="s">
        <v>71</v>
      </c>
      <c r="M2147" s="12" t="s">
        <v>214</v>
      </c>
      <c r="N2147" s="12" t="s">
        <v>201</v>
      </c>
      <c r="O2147" s="12" t="s">
        <v>106</v>
      </c>
      <c r="P2147" s="12" t="s">
        <v>379</v>
      </c>
      <c r="Q2147" s="7" t="str">
        <f t="shared" si="100"/>
        <v>(1998,16,'1998.04.18',31,64,72,75,89,0),</v>
      </c>
      <c r="R2147" s="7" t="str">
        <f t="shared" si="102"/>
        <v>(1998,16,'1998.04.18',31,64,72,75,89),</v>
      </c>
    </row>
    <row r="2148" spans="1:18" x14ac:dyDescent="0.25">
      <c r="A2148" s="7" t="s">
        <v>642</v>
      </c>
      <c r="B2148" s="8" t="s">
        <v>90</v>
      </c>
      <c r="C2148" s="10">
        <f t="shared" si="101"/>
        <v>35910</v>
      </c>
      <c r="D2148" t="s">
        <v>108</v>
      </c>
      <c r="E2148" t="s">
        <v>5759</v>
      </c>
      <c r="F2148" t="s">
        <v>2942</v>
      </c>
      <c r="G2148" t="s">
        <v>5760</v>
      </c>
      <c r="H2148" t="s">
        <v>5761</v>
      </c>
      <c r="I2148" t="s">
        <v>5762</v>
      </c>
      <c r="J2148" t="s">
        <v>5763</v>
      </c>
      <c r="K2148" t="s">
        <v>5764</v>
      </c>
      <c r="L2148" s="12" t="s">
        <v>232</v>
      </c>
      <c r="M2148" s="12" t="s">
        <v>65</v>
      </c>
      <c r="N2148" s="12" t="s">
        <v>19</v>
      </c>
      <c r="O2148" s="12" t="s">
        <v>123</v>
      </c>
      <c r="P2148" s="12" t="s">
        <v>245</v>
      </c>
      <c r="Q2148" s="7" t="str">
        <f t="shared" si="100"/>
        <v>(1998,17,'1998.04.25',8,13,18,54,74,0),</v>
      </c>
      <c r="R2148" s="7" t="str">
        <f t="shared" si="102"/>
        <v>(1998,17,'1998.04.25',8,13,18,54,74),</v>
      </c>
    </row>
    <row r="2149" spans="1:18" x14ac:dyDescent="0.25">
      <c r="A2149" s="7" t="s">
        <v>642</v>
      </c>
      <c r="B2149" s="8" t="s">
        <v>19</v>
      </c>
      <c r="C2149" s="10">
        <f t="shared" si="101"/>
        <v>35917</v>
      </c>
      <c r="D2149" t="s">
        <v>11</v>
      </c>
      <c r="E2149" t="s">
        <v>12</v>
      </c>
      <c r="F2149" t="s">
        <v>10</v>
      </c>
      <c r="G2149" t="s">
        <v>5755</v>
      </c>
      <c r="H2149" t="s">
        <v>5756</v>
      </c>
      <c r="I2149" t="s">
        <v>5757</v>
      </c>
      <c r="J2149" t="s">
        <v>5758</v>
      </c>
      <c r="K2149" t="s">
        <v>5228</v>
      </c>
      <c r="L2149" s="12" t="s">
        <v>207</v>
      </c>
      <c r="M2149" s="12" t="s">
        <v>54</v>
      </c>
      <c r="N2149" s="12" t="s">
        <v>21</v>
      </c>
      <c r="O2149" s="12" t="s">
        <v>22</v>
      </c>
      <c r="P2149" s="12" t="s">
        <v>239</v>
      </c>
      <c r="Q2149" s="7" t="str">
        <f t="shared" si="100"/>
        <v>(1998,18,'1998.05.02',2,15,36,48,73,0),</v>
      </c>
      <c r="R2149" s="7" t="str">
        <f t="shared" si="102"/>
        <v>(1998,18,'1998.05.02',2,15,36,48,73),</v>
      </c>
    </row>
    <row r="2150" spans="1:18" x14ac:dyDescent="0.25">
      <c r="A2150" s="7" t="s">
        <v>642</v>
      </c>
      <c r="B2150" s="8" t="s">
        <v>55</v>
      </c>
      <c r="C2150" s="10">
        <f t="shared" si="101"/>
        <v>35924</v>
      </c>
      <c r="D2150" t="s">
        <v>11</v>
      </c>
      <c r="E2150" t="s">
        <v>12</v>
      </c>
      <c r="F2150" t="s">
        <v>123</v>
      </c>
      <c r="G2150" t="s">
        <v>5750</v>
      </c>
      <c r="H2150" t="s">
        <v>5751</v>
      </c>
      <c r="I2150" t="s">
        <v>5752</v>
      </c>
      <c r="J2150" t="s">
        <v>5753</v>
      </c>
      <c r="K2150" t="s">
        <v>5754</v>
      </c>
      <c r="L2150" s="12" t="s">
        <v>42</v>
      </c>
      <c r="M2150" s="12" t="s">
        <v>115</v>
      </c>
      <c r="N2150" s="12" t="s">
        <v>25</v>
      </c>
      <c r="O2150" s="12" t="s">
        <v>24</v>
      </c>
      <c r="P2150" s="12" t="s">
        <v>56</v>
      </c>
      <c r="Q2150" s="7" t="str">
        <f t="shared" si="100"/>
        <v>(1998,19,'1998.05.09',3,20,34,39,71,0),</v>
      </c>
      <c r="R2150" s="7" t="str">
        <f t="shared" si="102"/>
        <v>(1998,19,'1998.05.09',3,20,34,39,71),</v>
      </c>
    </row>
    <row r="2151" spans="1:18" x14ac:dyDescent="0.25">
      <c r="A2151" s="7" t="s">
        <v>642</v>
      </c>
      <c r="B2151" s="8" t="s">
        <v>115</v>
      </c>
      <c r="C2151" s="10">
        <f t="shared" si="101"/>
        <v>35931</v>
      </c>
      <c r="D2151" t="s">
        <v>11</v>
      </c>
      <c r="E2151" t="s">
        <v>12</v>
      </c>
      <c r="F2151" t="s">
        <v>89</v>
      </c>
      <c r="G2151" t="s">
        <v>5745</v>
      </c>
      <c r="H2151" t="s">
        <v>5746</v>
      </c>
      <c r="I2151" t="s">
        <v>5747</v>
      </c>
      <c r="J2151" t="s">
        <v>5748</v>
      </c>
      <c r="K2151" t="s">
        <v>5749</v>
      </c>
      <c r="L2151" s="12" t="s">
        <v>33</v>
      </c>
      <c r="M2151" s="12" t="s">
        <v>107</v>
      </c>
      <c r="N2151" s="12" t="s">
        <v>10</v>
      </c>
      <c r="O2151" s="12" t="s">
        <v>215</v>
      </c>
      <c r="P2151" s="12" t="s">
        <v>468</v>
      </c>
      <c r="Q2151" s="7" t="str">
        <f t="shared" si="100"/>
        <v>(1998,20,'1998.05.16',24,30,40,81,85,0),</v>
      </c>
      <c r="R2151" s="7" t="str">
        <f t="shared" si="102"/>
        <v>(1998,20,'1998.05.16',24,30,40,81,85),</v>
      </c>
    </row>
    <row r="2152" spans="1:18" x14ac:dyDescent="0.25">
      <c r="A2152" s="7" t="s">
        <v>642</v>
      </c>
      <c r="B2152" s="8" t="s">
        <v>44</v>
      </c>
      <c r="C2152" s="10">
        <f t="shared" si="101"/>
        <v>35938</v>
      </c>
      <c r="D2152" t="s">
        <v>11</v>
      </c>
      <c r="E2152" t="s">
        <v>12</v>
      </c>
      <c r="F2152" t="s">
        <v>232</v>
      </c>
      <c r="G2152" t="s">
        <v>5741</v>
      </c>
      <c r="H2152" t="s">
        <v>5742</v>
      </c>
      <c r="I2152" t="s">
        <v>5743</v>
      </c>
      <c r="J2152" t="s">
        <v>5744</v>
      </c>
      <c r="K2152" t="s">
        <v>2867</v>
      </c>
      <c r="L2152" s="12" t="s">
        <v>71</v>
      </c>
      <c r="M2152" s="12" t="s">
        <v>10</v>
      </c>
      <c r="N2152" s="12" t="s">
        <v>73</v>
      </c>
      <c r="O2152" s="12" t="s">
        <v>246</v>
      </c>
      <c r="P2152" s="12" t="s">
        <v>379</v>
      </c>
      <c r="Q2152" s="7" t="str">
        <f t="shared" si="100"/>
        <v>(1998,21,'1998.05.23',31,40,76,84,89,0),</v>
      </c>
      <c r="R2152" s="7" t="str">
        <f t="shared" si="102"/>
        <v>(1998,21,'1998.05.23',31,40,76,84,89),</v>
      </c>
    </row>
    <row r="2153" spans="1:18" x14ac:dyDescent="0.25">
      <c r="A2153" s="7" t="s">
        <v>642</v>
      </c>
      <c r="B2153" s="8" t="s">
        <v>32</v>
      </c>
      <c r="C2153" s="10">
        <f t="shared" si="101"/>
        <v>35945</v>
      </c>
      <c r="D2153" t="s">
        <v>11</v>
      </c>
      <c r="E2153" t="s">
        <v>12</v>
      </c>
      <c r="F2153" t="s">
        <v>43</v>
      </c>
      <c r="G2153" t="s">
        <v>5738</v>
      </c>
      <c r="H2153" t="s">
        <v>2301</v>
      </c>
      <c r="I2153" t="s">
        <v>5739</v>
      </c>
      <c r="J2153" t="s">
        <v>5740</v>
      </c>
      <c r="K2153" t="s">
        <v>4304</v>
      </c>
      <c r="L2153" s="12" t="s">
        <v>83</v>
      </c>
      <c r="M2153" s="12" t="s">
        <v>107</v>
      </c>
      <c r="N2153" s="12" t="s">
        <v>23</v>
      </c>
      <c r="O2153" s="12" t="s">
        <v>125</v>
      </c>
      <c r="P2153" s="12" t="s">
        <v>208</v>
      </c>
      <c r="Q2153" s="7" t="str">
        <f t="shared" si="100"/>
        <v>(1998,22,'1998.05.30',11,30,60,83,88,0),</v>
      </c>
      <c r="R2153" s="7" t="str">
        <f t="shared" si="102"/>
        <v>(1998,22,'1998.05.30',11,30,60,83,88),</v>
      </c>
    </row>
    <row r="2154" spans="1:18" x14ac:dyDescent="0.25">
      <c r="A2154" s="7" t="s">
        <v>642</v>
      </c>
      <c r="B2154" s="8" t="s">
        <v>163</v>
      </c>
      <c r="C2154" s="10">
        <f t="shared" si="101"/>
        <v>35952</v>
      </c>
      <c r="D2154" t="s">
        <v>11</v>
      </c>
      <c r="E2154" t="s">
        <v>12</v>
      </c>
      <c r="F2154" t="s">
        <v>24</v>
      </c>
      <c r="G2154" t="s">
        <v>5734</v>
      </c>
      <c r="H2154" t="s">
        <v>2152</v>
      </c>
      <c r="I2154" t="s">
        <v>5735</v>
      </c>
      <c r="J2154" t="s">
        <v>5736</v>
      </c>
      <c r="K2154" t="s">
        <v>5737</v>
      </c>
      <c r="L2154" s="12" t="s">
        <v>135</v>
      </c>
      <c r="M2154" s="12" t="s">
        <v>20</v>
      </c>
      <c r="N2154" s="12" t="s">
        <v>233</v>
      </c>
      <c r="O2154" s="12" t="s">
        <v>73</v>
      </c>
      <c r="P2154" s="12" t="s">
        <v>215</v>
      </c>
      <c r="Q2154" s="7" t="str">
        <f t="shared" si="100"/>
        <v>(1998,23,'1998.06.06',27,33,66,76,81,0),</v>
      </c>
      <c r="R2154" s="7" t="str">
        <f t="shared" si="102"/>
        <v>(1998,23,'1998.06.06',27,33,66,76,81),</v>
      </c>
    </row>
    <row r="2155" spans="1:18" x14ac:dyDescent="0.25">
      <c r="A2155" s="7" t="s">
        <v>642</v>
      </c>
      <c r="B2155" s="8" t="s">
        <v>33</v>
      </c>
      <c r="C2155" s="10">
        <f t="shared" si="101"/>
        <v>35959</v>
      </c>
      <c r="D2155" t="s">
        <v>11</v>
      </c>
      <c r="E2155" t="s">
        <v>12</v>
      </c>
      <c r="F2155" t="s">
        <v>5728</v>
      </c>
      <c r="G2155" t="s">
        <v>5729</v>
      </c>
      <c r="H2155" t="s">
        <v>5730</v>
      </c>
      <c r="I2155" t="s">
        <v>5731</v>
      </c>
      <c r="J2155" t="s">
        <v>5732</v>
      </c>
      <c r="K2155" t="s">
        <v>5733</v>
      </c>
      <c r="L2155" s="12" t="s">
        <v>207</v>
      </c>
      <c r="M2155" s="12" t="s">
        <v>270</v>
      </c>
      <c r="N2155" s="12" t="s">
        <v>55</v>
      </c>
      <c r="O2155" s="12" t="s">
        <v>142</v>
      </c>
      <c r="P2155" s="12" t="s">
        <v>99</v>
      </c>
      <c r="Q2155" s="7" t="str">
        <f t="shared" si="100"/>
        <v>(1998,24,'1998.06.13',2,6,19,44,52,0),</v>
      </c>
      <c r="R2155" s="7" t="str">
        <f t="shared" si="102"/>
        <v>(1998,24,'1998.06.13',2,6,19,44,52),</v>
      </c>
    </row>
    <row r="2156" spans="1:18" x14ac:dyDescent="0.25">
      <c r="A2156" s="7" t="s">
        <v>642</v>
      </c>
      <c r="B2156" s="8" t="s">
        <v>152</v>
      </c>
      <c r="C2156" s="10">
        <f t="shared" si="101"/>
        <v>35966</v>
      </c>
      <c r="D2156" t="s">
        <v>11</v>
      </c>
      <c r="E2156" t="s">
        <v>12</v>
      </c>
      <c r="F2156" t="s">
        <v>46</v>
      </c>
      <c r="G2156" t="s">
        <v>5724</v>
      </c>
      <c r="H2156" t="s">
        <v>4233</v>
      </c>
      <c r="I2156" t="s">
        <v>5725</v>
      </c>
      <c r="J2156" t="s">
        <v>5726</v>
      </c>
      <c r="K2156" t="s">
        <v>5727</v>
      </c>
      <c r="L2156" s="12" t="s">
        <v>74</v>
      </c>
      <c r="M2156" s="12" t="s">
        <v>64</v>
      </c>
      <c r="N2156" s="12" t="s">
        <v>82</v>
      </c>
      <c r="O2156" s="12" t="s">
        <v>143</v>
      </c>
      <c r="P2156" s="12" t="s">
        <v>125</v>
      </c>
      <c r="Q2156" s="7" t="str">
        <f t="shared" si="100"/>
        <v>(1998,25,'1998.06.20',26,35,59,77,83,0),</v>
      </c>
      <c r="R2156" s="7" t="str">
        <f t="shared" si="102"/>
        <v>(1998,25,'1998.06.20',26,35,59,77,83),</v>
      </c>
    </row>
    <row r="2157" spans="1:18" x14ac:dyDescent="0.25">
      <c r="A2157" s="7" t="s">
        <v>642</v>
      </c>
      <c r="B2157" s="8" t="s">
        <v>74</v>
      </c>
      <c r="C2157" s="10">
        <f t="shared" si="101"/>
        <v>35973</v>
      </c>
      <c r="D2157" t="s">
        <v>11</v>
      </c>
      <c r="E2157" t="s">
        <v>12</v>
      </c>
      <c r="F2157" t="s">
        <v>55</v>
      </c>
      <c r="G2157" t="s">
        <v>5720</v>
      </c>
      <c r="H2157" t="s">
        <v>5721</v>
      </c>
      <c r="I2157" t="s">
        <v>5722</v>
      </c>
      <c r="J2157" t="s">
        <v>5723</v>
      </c>
      <c r="K2157" t="s">
        <v>5305</v>
      </c>
      <c r="L2157" s="12" t="s">
        <v>270</v>
      </c>
      <c r="M2157" s="12" t="s">
        <v>150</v>
      </c>
      <c r="N2157" s="12" t="s">
        <v>23</v>
      </c>
      <c r="O2157" s="12" t="s">
        <v>72</v>
      </c>
      <c r="P2157" s="12" t="s">
        <v>151</v>
      </c>
      <c r="Q2157" s="7" t="str">
        <f t="shared" si="100"/>
        <v>(1998,26,'1998.06.27',6,57,60,67,79,0),</v>
      </c>
      <c r="R2157" s="7" t="str">
        <f t="shared" si="102"/>
        <v>(1998,26,'1998.06.27',6,57,60,67,79),</v>
      </c>
    </row>
    <row r="2158" spans="1:18" x14ac:dyDescent="0.25">
      <c r="A2158" s="7" t="s">
        <v>642</v>
      </c>
      <c r="B2158" s="8" t="s">
        <v>135</v>
      </c>
      <c r="C2158" s="10">
        <f t="shared" si="101"/>
        <v>35980</v>
      </c>
      <c r="D2158" t="s">
        <v>11</v>
      </c>
      <c r="E2158" t="s">
        <v>12</v>
      </c>
      <c r="F2158" t="s">
        <v>163</v>
      </c>
      <c r="G2158" t="s">
        <v>5715</v>
      </c>
      <c r="H2158" t="s">
        <v>5716</v>
      </c>
      <c r="I2158" t="s">
        <v>5717</v>
      </c>
      <c r="J2158" t="s">
        <v>5718</v>
      </c>
      <c r="K2158" t="s">
        <v>5719</v>
      </c>
      <c r="L2158" s="12" t="s">
        <v>64</v>
      </c>
      <c r="M2158" s="12" t="s">
        <v>192</v>
      </c>
      <c r="N2158" s="12" t="s">
        <v>122</v>
      </c>
      <c r="O2158" s="12" t="s">
        <v>134</v>
      </c>
      <c r="P2158" s="12" t="s">
        <v>47</v>
      </c>
      <c r="Q2158" s="7" t="str">
        <f t="shared" si="100"/>
        <v>(1998,27,'1998.07.04',35,46,51,56,69,0),</v>
      </c>
      <c r="R2158" s="7" t="str">
        <f t="shared" si="102"/>
        <v>(1998,27,'1998.07.04',35,46,51,56,69),</v>
      </c>
    </row>
    <row r="2159" spans="1:18" x14ac:dyDescent="0.25">
      <c r="A2159" s="7" t="s">
        <v>642</v>
      </c>
      <c r="B2159" s="8" t="s">
        <v>126</v>
      </c>
      <c r="C2159" s="10">
        <f t="shared" si="101"/>
        <v>35987</v>
      </c>
      <c r="D2159" t="s">
        <v>11</v>
      </c>
      <c r="E2159" t="s">
        <v>12</v>
      </c>
      <c r="F2159" t="s">
        <v>83</v>
      </c>
      <c r="G2159" t="s">
        <v>5711</v>
      </c>
      <c r="H2159" t="s">
        <v>5712</v>
      </c>
      <c r="I2159" t="s">
        <v>5713</v>
      </c>
      <c r="J2159" t="s">
        <v>5714</v>
      </c>
      <c r="K2159" t="s">
        <v>5330</v>
      </c>
      <c r="L2159" s="12" t="s">
        <v>83</v>
      </c>
      <c r="M2159" s="12" t="s">
        <v>214</v>
      </c>
      <c r="N2159" s="12" t="s">
        <v>56</v>
      </c>
      <c r="O2159" s="12" t="s">
        <v>201</v>
      </c>
      <c r="P2159" s="12" t="s">
        <v>301</v>
      </c>
      <c r="Q2159" s="7" t="str">
        <f t="shared" si="100"/>
        <v>(1998,28,'1998.07.11',11,64,71,72,80,0),</v>
      </c>
      <c r="R2159" s="7" t="str">
        <f t="shared" si="102"/>
        <v>(1998,28,'1998.07.11',11,64,71,72,80),</v>
      </c>
    </row>
    <row r="2160" spans="1:18" x14ac:dyDescent="0.25">
      <c r="A2160" s="7" t="s">
        <v>642</v>
      </c>
      <c r="B2160" s="8" t="s">
        <v>116</v>
      </c>
      <c r="C2160" s="10">
        <f t="shared" si="101"/>
        <v>35994</v>
      </c>
      <c r="D2160" t="s">
        <v>11</v>
      </c>
      <c r="E2160" t="s">
        <v>12</v>
      </c>
      <c r="F2160" t="s">
        <v>21</v>
      </c>
      <c r="G2160" t="s">
        <v>5706</v>
      </c>
      <c r="H2160" t="s">
        <v>5707</v>
      </c>
      <c r="I2160" t="s">
        <v>5708</v>
      </c>
      <c r="J2160" t="s">
        <v>5709</v>
      </c>
      <c r="K2160" t="s">
        <v>5710</v>
      </c>
      <c r="L2160" s="12" t="s">
        <v>44</v>
      </c>
      <c r="M2160" s="12" t="s">
        <v>152</v>
      </c>
      <c r="N2160" s="12" t="s">
        <v>64</v>
      </c>
      <c r="O2160" s="12" t="s">
        <v>13</v>
      </c>
      <c r="P2160" s="12" t="s">
        <v>124</v>
      </c>
      <c r="Q2160" s="7" t="str">
        <f t="shared" si="100"/>
        <v>(1998,29,'1998.07.18',21,25,35,41,62,0),</v>
      </c>
      <c r="R2160" s="7" t="str">
        <f t="shared" si="102"/>
        <v>(1998,29,'1998.07.18',21,25,35,41,62),</v>
      </c>
    </row>
    <row r="2161" spans="1:18" x14ac:dyDescent="0.25">
      <c r="A2161" s="7" t="s">
        <v>642</v>
      </c>
      <c r="B2161" s="8" t="s">
        <v>107</v>
      </c>
      <c r="C2161" s="10">
        <f t="shared" si="101"/>
        <v>36001</v>
      </c>
      <c r="D2161" t="s">
        <v>11</v>
      </c>
      <c r="E2161" t="s">
        <v>12</v>
      </c>
      <c r="F2161" t="s">
        <v>33</v>
      </c>
      <c r="G2161" t="s">
        <v>5701</v>
      </c>
      <c r="H2161" t="s">
        <v>5702</v>
      </c>
      <c r="I2161" t="s">
        <v>5703</v>
      </c>
      <c r="J2161" t="s">
        <v>5704</v>
      </c>
      <c r="K2161" t="s">
        <v>5705</v>
      </c>
      <c r="L2161" s="12" t="s">
        <v>270</v>
      </c>
      <c r="M2161" s="12" t="s">
        <v>198</v>
      </c>
      <c r="N2161" s="12" t="s">
        <v>74</v>
      </c>
      <c r="O2161" s="12" t="s">
        <v>246</v>
      </c>
      <c r="P2161" s="12" t="s">
        <v>208</v>
      </c>
      <c r="Q2161" s="7" t="str">
        <f t="shared" si="100"/>
        <v>(1998,30,'1998.07.25',6,9,26,84,88,0),</v>
      </c>
      <c r="R2161" s="7" t="str">
        <f t="shared" si="102"/>
        <v>(1998,30,'1998.07.25',6,9,26,84,88),</v>
      </c>
    </row>
    <row r="2162" spans="1:18" x14ac:dyDescent="0.25">
      <c r="A2162" s="7" t="s">
        <v>642</v>
      </c>
      <c r="B2162" s="8" t="s">
        <v>71</v>
      </c>
      <c r="C2162" s="10">
        <f t="shared" si="101"/>
        <v>36008</v>
      </c>
      <c r="D2162" t="s">
        <v>11</v>
      </c>
      <c r="E2162" t="s">
        <v>12</v>
      </c>
      <c r="F2162" t="s">
        <v>5695</v>
      </c>
      <c r="G2162" t="s">
        <v>5696</v>
      </c>
      <c r="H2162" t="s">
        <v>5697</v>
      </c>
      <c r="I2162" t="s">
        <v>5698</v>
      </c>
      <c r="J2162" t="s">
        <v>5699</v>
      </c>
      <c r="K2162" t="s">
        <v>5700</v>
      </c>
      <c r="L2162" s="12" t="s">
        <v>42</v>
      </c>
      <c r="M2162" s="12" t="s">
        <v>135</v>
      </c>
      <c r="N2162" s="12" t="s">
        <v>98</v>
      </c>
      <c r="O2162" s="12" t="s">
        <v>199</v>
      </c>
      <c r="P2162" s="12" t="s">
        <v>239</v>
      </c>
      <c r="Q2162" s="7" t="str">
        <f t="shared" si="100"/>
        <v>(1998,31,'1998.08.01',3,27,42,53,73,0),</v>
      </c>
      <c r="R2162" s="7" t="str">
        <f t="shared" si="102"/>
        <v>(1998,31,'1998.08.01',3,27,42,53,73),</v>
      </c>
    </row>
    <row r="2163" spans="1:18" x14ac:dyDescent="0.25">
      <c r="A2163" s="7" t="s">
        <v>642</v>
      </c>
      <c r="B2163" s="8" t="s">
        <v>80</v>
      </c>
      <c r="C2163" s="10">
        <f t="shared" si="101"/>
        <v>36015</v>
      </c>
      <c r="D2163" t="s">
        <v>207</v>
      </c>
      <c r="E2163" t="s">
        <v>5689</v>
      </c>
      <c r="F2163" t="s">
        <v>44</v>
      </c>
      <c r="G2163" t="s">
        <v>5690</v>
      </c>
      <c r="H2163" t="s">
        <v>5691</v>
      </c>
      <c r="I2163" t="s">
        <v>5692</v>
      </c>
      <c r="J2163" t="s">
        <v>5693</v>
      </c>
      <c r="K2163" t="s">
        <v>5694</v>
      </c>
      <c r="L2163" s="12" t="s">
        <v>90</v>
      </c>
      <c r="M2163" s="12" t="s">
        <v>115</v>
      </c>
      <c r="N2163" s="12" t="s">
        <v>152</v>
      </c>
      <c r="O2163" s="12" t="s">
        <v>124</v>
      </c>
      <c r="P2163" s="12" t="s">
        <v>151</v>
      </c>
      <c r="Q2163" s="7" t="str">
        <f t="shared" si="100"/>
        <v>(1998,32,'1998.08.08',17,20,25,62,79,0),</v>
      </c>
      <c r="R2163" s="7" t="str">
        <f t="shared" si="102"/>
        <v>(1998,32,'1998.08.08',17,20,25,62,79),</v>
      </c>
    </row>
    <row r="2164" spans="1:18" x14ac:dyDescent="0.25">
      <c r="A2164" s="7" t="s">
        <v>642</v>
      </c>
      <c r="B2164" s="8" t="s">
        <v>20</v>
      </c>
      <c r="C2164" s="10">
        <f t="shared" si="101"/>
        <v>36022</v>
      </c>
      <c r="D2164" t="s">
        <v>11</v>
      </c>
      <c r="E2164" t="s">
        <v>12</v>
      </c>
      <c r="F2164" t="s">
        <v>54</v>
      </c>
      <c r="G2164" t="s">
        <v>5685</v>
      </c>
      <c r="H2164" t="s">
        <v>5686</v>
      </c>
      <c r="I2164" t="s">
        <v>2879</v>
      </c>
      <c r="J2164" t="s">
        <v>5687</v>
      </c>
      <c r="K2164" t="s">
        <v>5688</v>
      </c>
      <c r="L2164" s="12" t="s">
        <v>127</v>
      </c>
      <c r="M2164" s="12" t="s">
        <v>35</v>
      </c>
      <c r="N2164" s="12" t="s">
        <v>72</v>
      </c>
      <c r="O2164" s="12" t="s">
        <v>200</v>
      </c>
      <c r="P2164" s="12" t="s">
        <v>143</v>
      </c>
      <c r="Q2164" s="7" t="str">
        <f t="shared" si="100"/>
        <v>(1998,33,'1998.08.15',14,65,67,70,77,0),</v>
      </c>
      <c r="R2164" s="7" t="str">
        <f t="shared" si="102"/>
        <v>(1998,33,'1998.08.15',14,65,67,70,77),</v>
      </c>
    </row>
    <row r="2165" spans="1:18" x14ac:dyDescent="0.25">
      <c r="A2165" s="7" t="s">
        <v>642</v>
      </c>
      <c r="B2165" s="8" t="s">
        <v>25</v>
      </c>
      <c r="C2165" s="10">
        <f t="shared" si="101"/>
        <v>36029</v>
      </c>
      <c r="D2165" t="s">
        <v>11</v>
      </c>
      <c r="E2165" t="s">
        <v>12</v>
      </c>
      <c r="F2165" t="s">
        <v>19</v>
      </c>
      <c r="G2165" t="s">
        <v>5680</v>
      </c>
      <c r="H2165" t="s">
        <v>5681</v>
      </c>
      <c r="I2165" t="s">
        <v>5682</v>
      </c>
      <c r="J2165" t="s">
        <v>5683</v>
      </c>
      <c r="K2165" t="s">
        <v>5684</v>
      </c>
      <c r="L2165" s="12" t="s">
        <v>89</v>
      </c>
      <c r="M2165" s="12" t="s">
        <v>33</v>
      </c>
      <c r="N2165" s="12" t="s">
        <v>143</v>
      </c>
      <c r="O2165" s="12" t="s">
        <v>246</v>
      </c>
      <c r="P2165" s="12" t="s">
        <v>208</v>
      </c>
      <c r="Q2165" s="7" t="str">
        <f t="shared" si="100"/>
        <v>(1998,34,'1998.08.22',5,24,77,84,88,0),</v>
      </c>
      <c r="R2165" s="7" t="str">
        <f t="shared" si="102"/>
        <v>(1998,34,'1998.08.22',5,24,77,84,88),</v>
      </c>
    </row>
    <row r="2166" spans="1:18" x14ac:dyDescent="0.25">
      <c r="A2166" s="7" t="s">
        <v>642</v>
      </c>
      <c r="B2166" s="8" t="s">
        <v>64</v>
      </c>
      <c r="C2166" s="10">
        <f t="shared" si="101"/>
        <v>36036</v>
      </c>
      <c r="D2166" t="s">
        <v>11</v>
      </c>
      <c r="E2166" t="s">
        <v>12</v>
      </c>
      <c r="F2166" t="s">
        <v>35</v>
      </c>
      <c r="G2166" t="s">
        <v>5675</v>
      </c>
      <c r="H2166" t="s">
        <v>5676</v>
      </c>
      <c r="I2166" t="s">
        <v>5677</v>
      </c>
      <c r="J2166" t="s">
        <v>5678</v>
      </c>
      <c r="K2166" t="s">
        <v>5679</v>
      </c>
      <c r="L2166" s="12" t="s">
        <v>198</v>
      </c>
      <c r="M2166" s="12" t="s">
        <v>31</v>
      </c>
      <c r="N2166" s="12" t="s">
        <v>142</v>
      </c>
      <c r="O2166" s="12" t="s">
        <v>134</v>
      </c>
      <c r="P2166" s="12" t="s">
        <v>622</v>
      </c>
      <c r="Q2166" s="7" t="str">
        <f t="shared" si="100"/>
        <v>(1998,35,'1998.08.29',9,12,44,56,82,0),</v>
      </c>
      <c r="R2166" s="7" t="str">
        <f t="shared" si="102"/>
        <v>(1998,35,'1998.08.29',9,12,44,56,82),</v>
      </c>
    </row>
    <row r="2167" spans="1:18" x14ac:dyDescent="0.25">
      <c r="A2167" s="7" t="s">
        <v>642</v>
      </c>
      <c r="B2167" s="8" t="s">
        <v>21</v>
      </c>
      <c r="C2167" s="10">
        <f t="shared" si="101"/>
        <v>36043</v>
      </c>
      <c r="D2167" t="s">
        <v>11</v>
      </c>
      <c r="E2167" t="s">
        <v>12</v>
      </c>
      <c r="F2167" t="s">
        <v>127</v>
      </c>
      <c r="G2167" t="s">
        <v>5671</v>
      </c>
      <c r="H2167" t="s">
        <v>5672</v>
      </c>
      <c r="I2167" t="s">
        <v>5673</v>
      </c>
      <c r="J2167" t="s">
        <v>5674</v>
      </c>
      <c r="K2167" t="s">
        <v>5031</v>
      </c>
      <c r="L2167" s="12" t="s">
        <v>168</v>
      </c>
      <c r="M2167" s="12" t="s">
        <v>10</v>
      </c>
      <c r="N2167" s="12" t="s">
        <v>151</v>
      </c>
      <c r="O2167" s="12" t="s">
        <v>468</v>
      </c>
      <c r="P2167" s="12" t="s">
        <v>308</v>
      </c>
      <c r="Q2167" s="7" t="str">
        <f t="shared" si="100"/>
        <v>(1998,36,'1998.09.05',4,40,79,85,86,0),</v>
      </c>
      <c r="R2167" s="7" t="str">
        <f t="shared" si="102"/>
        <v>(1998,36,'1998.09.05',4,40,79,85,86),</v>
      </c>
    </row>
    <row r="2168" spans="1:18" x14ac:dyDescent="0.25">
      <c r="A2168" s="7" t="s">
        <v>642</v>
      </c>
      <c r="B2168" s="8" t="s">
        <v>46</v>
      </c>
      <c r="C2168" s="10">
        <f t="shared" si="101"/>
        <v>36050</v>
      </c>
      <c r="D2168" t="s">
        <v>11</v>
      </c>
      <c r="E2168" t="s">
        <v>12</v>
      </c>
      <c r="F2168" t="s">
        <v>142</v>
      </c>
      <c r="G2168" t="s">
        <v>5666</v>
      </c>
      <c r="H2168" t="s">
        <v>5667</v>
      </c>
      <c r="I2168" t="s">
        <v>5668</v>
      </c>
      <c r="J2168" t="s">
        <v>5669</v>
      </c>
      <c r="K2168" t="s">
        <v>5670</v>
      </c>
      <c r="L2168" s="12" t="s">
        <v>54</v>
      </c>
      <c r="M2168" s="12" t="s">
        <v>74</v>
      </c>
      <c r="N2168" s="12" t="s">
        <v>98</v>
      </c>
      <c r="O2168" s="12" t="s">
        <v>233</v>
      </c>
      <c r="P2168" s="12" t="s">
        <v>246</v>
      </c>
      <c r="Q2168" s="7" t="str">
        <f t="shared" si="100"/>
        <v>(1998,37,'1998.09.12',15,26,42,66,84,0),</v>
      </c>
      <c r="R2168" s="7" t="str">
        <f t="shared" si="102"/>
        <v>(1998,37,'1998.09.12',15,26,42,66,84),</v>
      </c>
    </row>
    <row r="2169" spans="1:18" x14ac:dyDescent="0.25">
      <c r="A2169" s="7" t="s">
        <v>642</v>
      </c>
      <c r="B2169" s="8" t="s">
        <v>36</v>
      </c>
      <c r="C2169" s="10">
        <f t="shared" si="101"/>
        <v>36057</v>
      </c>
      <c r="D2169" t="s">
        <v>108</v>
      </c>
      <c r="E2169" t="s">
        <v>5661</v>
      </c>
      <c r="F2169" t="s">
        <v>34</v>
      </c>
      <c r="G2169" t="s">
        <v>5662</v>
      </c>
      <c r="H2169" t="s">
        <v>2144</v>
      </c>
      <c r="I2169" t="s">
        <v>5663</v>
      </c>
      <c r="J2169" t="s">
        <v>5664</v>
      </c>
      <c r="K2169" t="s">
        <v>5665</v>
      </c>
      <c r="L2169" s="12" t="s">
        <v>89</v>
      </c>
      <c r="M2169" s="12" t="s">
        <v>163</v>
      </c>
      <c r="N2169" s="12" t="s">
        <v>46</v>
      </c>
      <c r="O2169" s="12" t="s">
        <v>133</v>
      </c>
      <c r="P2169" s="12" t="s">
        <v>308</v>
      </c>
      <c r="Q2169" s="7" t="str">
        <f t="shared" si="100"/>
        <v>(1998,38,'1998.09.19',5,23,37,45,86,0),</v>
      </c>
      <c r="R2169" s="7" t="str">
        <f t="shared" si="102"/>
        <v>(1998,38,'1998.09.19',5,23,37,45,86),</v>
      </c>
    </row>
    <row r="2170" spans="1:18" x14ac:dyDescent="0.25">
      <c r="A2170" s="7" t="s">
        <v>642</v>
      </c>
      <c r="B2170" s="8" t="s">
        <v>24</v>
      </c>
      <c r="C2170" s="10">
        <f t="shared" si="101"/>
        <v>36064</v>
      </c>
      <c r="D2170" t="s">
        <v>11</v>
      </c>
      <c r="E2170" t="s">
        <v>12</v>
      </c>
      <c r="F2170" t="s">
        <v>21</v>
      </c>
      <c r="G2170" t="s">
        <v>5656</v>
      </c>
      <c r="H2170" t="s">
        <v>5657</v>
      </c>
      <c r="I2170" t="s">
        <v>5658</v>
      </c>
      <c r="J2170" t="s">
        <v>5659</v>
      </c>
      <c r="K2170" t="s">
        <v>5660</v>
      </c>
      <c r="L2170" s="12" t="s">
        <v>198</v>
      </c>
      <c r="M2170" s="12" t="s">
        <v>115</v>
      </c>
      <c r="N2170" s="12" t="s">
        <v>21</v>
      </c>
      <c r="O2170" s="12" t="s">
        <v>99</v>
      </c>
      <c r="P2170" s="12" t="s">
        <v>379</v>
      </c>
      <c r="Q2170" s="7" t="str">
        <f t="shared" si="100"/>
        <v>(1998,39,'1998.09.26',9,20,36,52,89,0),</v>
      </c>
      <c r="R2170" s="7" t="str">
        <f t="shared" si="102"/>
        <v>(1998,39,'1998.09.26',9,20,36,52,89),</v>
      </c>
    </row>
    <row r="2171" spans="1:18" x14ac:dyDescent="0.25">
      <c r="A2171" s="7" t="s">
        <v>642</v>
      </c>
      <c r="B2171" s="8" t="s">
        <v>10</v>
      </c>
      <c r="C2171" s="10">
        <f t="shared" si="101"/>
        <v>36071</v>
      </c>
      <c r="D2171" t="s">
        <v>11</v>
      </c>
      <c r="E2171" t="s">
        <v>12</v>
      </c>
      <c r="F2171" t="s">
        <v>150</v>
      </c>
      <c r="G2171" t="s">
        <v>5652</v>
      </c>
      <c r="H2171" t="s">
        <v>1838</v>
      </c>
      <c r="I2171" t="s">
        <v>5653</v>
      </c>
      <c r="J2171" t="s">
        <v>5654</v>
      </c>
      <c r="K2171" t="s">
        <v>5655</v>
      </c>
      <c r="L2171" s="12" t="s">
        <v>108</v>
      </c>
      <c r="M2171" s="12" t="s">
        <v>65</v>
      </c>
      <c r="N2171" s="12" t="s">
        <v>64</v>
      </c>
      <c r="O2171" s="12" t="s">
        <v>13</v>
      </c>
      <c r="P2171" s="12" t="s">
        <v>199</v>
      </c>
      <c r="Q2171" s="7" t="str">
        <f t="shared" si="100"/>
        <v>(1998,40,'1998.10.03',1,13,35,41,53,0),</v>
      </c>
      <c r="R2171" s="7" t="str">
        <f t="shared" si="102"/>
        <v>(1998,40,'1998.10.03',1,13,35,41,53),</v>
      </c>
    </row>
    <row r="2172" spans="1:18" x14ac:dyDescent="0.25">
      <c r="A2172" s="7" t="s">
        <v>642</v>
      </c>
      <c r="B2172" s="8" t="s">
        <v>13</v>
      </c>
      <c r="C2172" s="10">
        <f t="shared" si="101"/>
        <v>36078</v>
      </c>
      <c r="D2172" t="s">
        <v>11</v>
      </c>
      <c r="E2172" t="s">
        <v>12</v>
      </c>
      <c r="F2172" t="s">
        <v>65</v>
      </c>
      <c r="G2172" t="s">
        <v>5648</v>
      </c>
      <c r="H2172" t="s">
        <v>1230</v>
      </c>
      <c r="I2172" t="s">
        <v>5649</v>
      </c>
      <c r="J2172" t="s">
        <v>5650</v>
      </c>
      <c r="K2172" t="s">
        <v>5651</v>
      </c>
      <c r="L2172" s="12" t="s">
        <v>199</v>
      </c>
      <c r="M2172" s="12" t="s">
        <v>91</v>
      </c>
      <c r="N2172" s="12" t="s">
        <v>200</v>
      </c>
      <c r="O2172" s="12" t="s">
        <v>106</v>
      </c>
      <c r="P2172" s="12" t="s">
        <v>308</v>
      </c>
      <c r="Q2172" s="7" t="str">
        <f t="shared" si="100"/>
        <v>(1998,41,'1998.10.10',53,61,70,75,86,0),</v>
      </c>
      <c r="R2172" s="7" t="str">
        <f t="shared" si="102"/>
        <v>(1998,41,'1998.10.10',53,61,70,75,86),</v>
      </c>
    </row>
    <row r="2173" spans="1:18" x14ac:dyDescent="0.25">
      <c r="A2173" s="7" t="s">
        <v>642</v>
      </c>
      <c r="B2173" s="8" t="s">
        <v>98</v>
      </c>
      <c r="C2173" s="10">
        <f t="shared" si="101"/>
        <v>36085</v>
      </c>
      <c r="D2173" t="s">
        <v>11</v>
      </c>
      <c r="E2173" t="s">
        <v>12</v>
      </c>
      <c r="F2173" t="s">
        <v>64</v>
      </c>
      <c r="G2173" t="s">
        <v>5644</v>
      </c>
      <c r="H2173" t="s">
        <v>5645</v>
      </c>
      <c r="I2173" t="s">
        <v>5646</v>
      </c>
      <c r="J2173" t="s">
        <v>5647</v>
      </c>
      <c r="K2173" t="s">
        <v>3245</v>
      </c>
      <c r="L2173" s="12" t="s">
        <v>169</v>
      </c>
      <c r="M2173" s="12" t="s">
        <v>106</v>
      </c>
      <c r="N2173" s="12" t="s">
        <v>215</v>
      </c>
      <c r="O2173" s="12" t="s">
        <v>622</v>
      </c>
      <c r="P2173" s="12" t="s">
        <v>308</v>
      </c>
      <c r="Q2173" s="7" t="str">
        <f t="shared" si="100"/>
        <v>(1998,42,'1998.10.17',58,75,81,82,86,0),</v>
      </c>
      <c r="R2173" s="7" t="str">
        <f t="shared" si="102"/>
        <v>(1998,42,'1998.10.17',58,75,81,82,86),</v>
      </c>
    </row>
    <row r="2174" spans="1:18" x14ac:dyDescent="0.25">
      <c r="A2174" s="7" t="s">
        <v>642</v>
      </c>
      <c r="B2174" s="8" t="s">
        <v>45</v>
      </c>
      <c r="C2174" s="10">
        <f t="shared" si="101"/>
        <v>36092</v>
      </c>
      <c r="D2174" t="s">
        <v>11</v>
      </c>
      <c r="E2174" t="s">
        <v>12</v>
      </c>
      <c r="F2174" t="s">
        <v>98</v>
      </c>
      <c r="G2174" t="s">
        <v>5639</v>
      </c>
      <c r="H2174" t="s">
        <v>5640</v>
      </c>
      <c r="I2174" t="s">
        <v>5641</v>
      </c>
      <c r="J2174" t="s">
        <v>5642</v>
      </c>
      <c r="K2174" t="s">
        <v>5643</v>
      </c>
      <c r="L2174" s="12" t="s">
        <v>207</v>
      </c>
      <c r="M2174" s="12" t="s">
        <v>62</v>
      </c>
      <c r="N2174" s="12" t="s">
        <v>34</v>
      </c>
      <c r="O2174" s="12" t="s">
        <v>233</v>
      </c>
      <c r="P2174" s="12" t="s">
        <v>239</v>
      </c>
      <c r="Q2174" s="7" t="str">
        <f t="shared" si="100"/>
        <v>(1998,43,'1998.10.24',2,10,49,66,73,0),</v>
      </c>
      <c r="R2174" s="7" t="str">
        <f t="shared" si="102"/>
        <v>(1998,43,'1998.10.24',2,10,49,66,73),</v>
      </c>
    </row>
    <row r="2175" spans="1:18" x14ac:dyDescent="0.25">
      <c r="A2175" s="7" t="s">
        <v>642</v>
      </c>
      <c r="B2175" s="8" t="s">
        <v>142</v>
      </c>
      <c r="C2175" s="10">
        <f t="shared" si="101"/>
        <v>36099</v>
      </c>
      <c r="D2175" t="s">
        <v>11</v>
      </c>
      <c r="E2175" t="s">
        <v>12</v>
      </c>
      <c r="F2175" t="s">
        <v>32</v>
      </c>
      <c r="G2175" t="s">
        <v>5635</v>
      </c>
      <c r="H2175" t="s">
        <v>5636</v>
      </c>
      <c r="I2175" t="s">
        <v>5637</v>
      </c>
      <c r="J2175" t="s">
        <v>5638</v>
      </c>
      <c r="K2175" t="s">
        <v>5348</v>
      </c>
      <c r="L2175" s="12" t="s">
        <v>207</v>
      </c>
      <c r="M2175" s="12" t="s">
        <v>31</v>
      </c>
      <c r="N2175" s="12" t="s">
        <v>71</v>
      </c>
      <c r="O2175" s="12" t="s">
        <v>192</v>
      </c>
      <c r="P2175" s="12" t="s">
        <v>269</v>
      </c>
      <c r="Q2175" s="7" t="str">
        <f t="shared" si="100"/>
        <v>(1998,44,'1998.10.31',2,12,31,46,87,0),</v>
      </c>
      <c r="R2175" s="7" t="str">
        <f t="shared" si="102"/>
        <v>(1998,44,'1998.10.31',2,12,31,46,87),</v>
      </c>
    </row>
    <row r="2176" spans="1:18" x14ac:dyDescent="0.25">
      <c r="A2176" s="7" t="s">
        <v>642</v>
      </c>
      <c r="B2176" s="8" t="s">
        <v>133</v>
      </c>
      <c r="C2176" s="10">
        <f t="shared" si="101"/>
        <v>36106</v>
      </c>
      <c r="D2176" t="s">
        <v>11</v>
      </c>
      <c r="E2176" t="s">
        <v>12</v>
      </c>
      <c r="F2176" t="s">
        <v>34</v>
      </c>
      <c r="G2176" t="s">
        <v>5630</v>
      </c>
      <c r="H2176" t="s">
        <v>5631</v>
      </c>
      <c r="I2176" t="s">
        <v>5632</v>
      </c>
      <c r="J2176" t="s">
        <v>5633</v>
      </c>
      <c r="K2176" t="s">
        <v>5634</v>
      </c>
      <c r="L2176" s="12" t="s">
        <v>116</v>
      </c>
      <c r="M2176" s="12" t="s">
        <v>24</v>
      </c>
      <c r="N2176" s="12" t="s">
        <v>122</v>
      </c>
      <c r="O2176" s="12" t="s">
        <v>214</v>
      </c>
      <c r="P2176" s="12" t="s">
        <v>622</v>
      </c>
      <c r="Q2176" s="7" t="str">
        <f t="shared" si="100"/>
        <v>(1998,45,'1998.11.07',29,39,51,64,82,0),</v>
      </c>
      <c r="R2176" s="7" t="str">
        <f t="shared" si="102"/>
        <v>(1998,45,'1998.11.07',29,39,51,64,82),</v>
      </c>
    </row>
    <row r="2177" spans="1:18" x14ac:dyDescent="0.25">
      <c r="A2177" s="7" t="s">
        <v>642</v>
      </c>
      <c r="B2177" s="8" t="s">
        <v>192</v>
      </c>
      <c r="C2177" s="10">
        <f t="shared" si="101"/>
        <v>36113</v>
      </c>
      <c r="D2177" t="s">
        <v>11</v>
      </c>
      <c r="E2177" t="s">
        <v>12</v>
      </c>
      <c r="F2177" t="s">
        <v>126</v>
      </c>
      <c r="G2177" t="s">
        <v>5627</v>
      </c>
      <c r="H2177" t="s">
        <v>2281</v>
      </c>
      <c r="I2177" t="s">
        <v>5628</v>
      </c>
      <c r="J2177" t="s">
        <v>5629</v>
      </c>
      <c r="K2177" t="s">
        <v>5276</v>
      </c>
      <c r="L2177" s="12" t="s">
        <v>270</v>
      </c>
      <c r="M2177" s="12" t="s">
        <v>192</v>
      </c>
      <c r="N2177" s="12" t="s">
        <v>82</v>
      </c>
      <c r="O2177" s="12" t="s">
        <v>72</v>
      </c>
      <c r="P2177" s="12" t="s">
        <v>56</v>
      </c>
      <c r="Q2177" s="7" t="str">
        <f t="shared" si="100"/>
        <v>(1998,46,'1998.11.14',6,46,59,67,71,0),</v>
      </c>
      <c r="R2177" s="7" t="str">
        <f t="shared" si="102"/>
        <v>(1998,46,'1998.11.14',6,46,59,67,71),</v>
      </c>
    </row>
    <row r="2178" spans="1:18" x14ac:dyDescent="0.25">
      <c r="A2178" s="7" t="s">
        <v>642</v>
      </c>
      <c r="B2178" s="8" t="s">
        <v>81</v>
      </c>
      <c r="C2178" s="10">
        <f t="shared" si="101"/>
        <v>36120</v>
      </c>
      <c r="D2178" t="s">
        <v>11</v>
      </c>
      <c r="E2178" t="s">
        <v>12</v>
      </c>
      <c r="F2178" t="s">
        <v>163</v>
      </c>
      <c r="G2178" t="s">
        <v>5623</v>
      </c>
      <c r="H2178" t="s">
        <v>5624</v>
      </c>
      <c r="I2178" t="s">
        <v>5064</v>
      </c>
      <c r="J2178" t="s">
        <v>5625</v>
      </c>
      <c r="K2178" t="s">
        <v>5626</v>
      </c>
      <c r="L2178" s="12" t="s">
        <v>89</v>
      </c>
      <c r="M2178" s="12" t="s">
        <v>270</v>
      </c>
      <c r="N2178" s="12" t="s">
        <v>81</v>
      </c>
      <c r="O2178" s="12" t="s">
        <v>169</v>
      </c>
      <c r="P2178" s="12" t="s">
        <v>73</v>
      </c>
      <c r="Q2178" s="7" t="str">
        <f t="shared" ref="Q2178:Q2241" si="103">"("&amp;A2178&amp;","&amp;B2178&amp;",'"&amp;TEXT(C2178,"éééé.hh.nn")&amp;"',"&amp;L2178&amp;","&amp;M2178&amp;","&amp;N2178&amp;","&amp;O2178&amp;","&amp;P2178&amp;",0)"&amp;IF(P2179&lt;&gt;0,",","")</f>
        <v>(1998,47,'1998.11.21',5,6,47,58,76,0),</v>
      </c>
      <c r="R2178" s="7" t="str">
        <f t="shared" si="102"/>
        <v>(1998,47,'1998.11.21',5,6,47,58,76),</v>
      </c>
    </row>
    <row r="2179" spans="1:18" x14ac:dyDescent="0.25">
      <c r="A2179" s="7" t="s">
        <v>642</v>
      </c>
      <c r="B2179" s="8" t="s">
        <v>22</v>
      </c>
      <c r="C2179" s="10">
        <f t="shared" ref="C2179:C2242" si="104">+C2178+7</f>
        <v>36127</v>
      </c>
      <c r="D2179" t="s">
        <v>207</v>
      </c>
      <c r="E2179" t="s">
        <v>5617</v>
      </c>
      <c r="F2179" t="s">
        <v>169</v>
      </c>
      <c r="G2179" t="s">
        <v>5618</v>
      </c>
      <c r="H2179" t="s">
        <v>5619</v>
      </c>
      <c r="I2179" t="s">
        <v>5620</v>
      </c>
      <c r="J2179" t="s">
        <v>5621</v>
      </c>
      <c r="K2179" t="s">
        <v>5622</v>
      </c>
      <c r="L2179" s="12" t="s">
        <v>89</v>
      </c>
      <c r="M2179" s="12" t="s">
        <v>198</v>
      </c>
      <c r="N2179" s="12" t="s">
        <v>32</v>
      </c>
      <c r="O2179" s="12" t="s">
        <v>152</v>
      </c>
      <c r="P2179" s="12" t="s">
        <v>71</v>
      </c>
      <c r="Q2179" s="7" t="str">
        <f t="shared" si="103"/>
        <v>(1998,48,'1998.11.28',5,9,22,25,31,0),</v>
      </c>
      <c r="R2179" s="7" t="str">
        <f t="shared" ref="R2179:R2242" si="105">IF(TRIM(P2179)="","","("&amp;A2179&amp;","&amp;B2179&amp;",'"&amp;TEXT(C2179,"éééé.hh.nn")&amp;"',"&amp;L2179&amp;","&amp;M2179&amp;","&amp;N2179&amp;","&amp;O2179&amp;","&amp;P2179&amp;")"&amp;IF(P2180=0,";",","))</f>
        <v>(1998,48,'1998.11.28',5,9,22,25,31),</v>
      </c>
    </row>
    <row r="2180" spans="1:18" x14ac:dyDescent="0.25">
      <c r="A2180" s="7" t="s">
        <v>642</v>
      </c>
      <c r="B2180" s="8" t="s">
        <v>34</v>
      </c>
      <c r="C2180" s="10">
        <f t="shared" si="104"/>
        <v>36134</v>
      </c>
      <c r="D2180" t="s">
        <v>11</v>
      </c>
      <c r="E2180" t="s">
        <v>12</v>
      </c>
      <c r="F2180" t="s">
        <v>54</v>
      </c>
      <c r="G2180" t="s">
        <v>5613</v>
      </c>
      <c r="H2180" t="s">
        <v>5086</v>
      </c>
      <c r="I2180" t="s">
        <v>5614</v>
      </c>
      <c r="J2180" t="s">
        <v>5615</v>
      </c>
      <c r="K2180" t="s">
        <v>5616</v>
      </c>
      <c r="L2180" s="12" t="s">
        <v>31</v>
      </c>
      <c r="M2180" s="12" t="s">
        <v>43</v>
      </c>
      <c r="N2180" s="12" t="s">
        <v>25</v>
      </c>
      <c r="O2180" s="12" t="s">
        <v>10</v>
      </c>
      <c r="P2180" s="12" t="s">
        <v>186</v>
      </c>
      <c r="Q2180" s="7" t="str">
        <f t="shared" si="103"/>
        <v>(1998,49,'1998.12.05',12,16,34,40,90,0),</v>
      </c>
      <c r="R2180" s="7" t="str">
        <f t="shared" si="105"/>
        <v>(1998,49,'1998.12.05',12,16,34,40,90),</v>
      </c>
    </row>
    <row r="2181" spans="1:18" x14ac:dyDescent="0.25">
      <c r="A2181" s="7" t="s">
        <v>642</v>
      </c>
      <c r="B2181" s="8" t="s">
        <v>105</v>
      </c>
      <c r="C2181" s="10">
        <f t="shared" si="104"/>
        <v>36141</v>
      </c>
      <c r="D2181" t="s">
        <v>11</v>
      </c>
      <c r="E2181" t="s">
        <v>12</v>
      </c>
      <c r="F2181" t="s">
        <v>21</v>
      </c>
      <c r="G2181" t="s">
        <v>5609</v>
      </c>
      <c r="H2181" t="s">
        <v>5610</v>
      </c>
      <c r="I2181" t="s">
        <v>5611</v>
      </c>
      <c r="J2181" t="s">
        <v>5612</v>
      </c>
      <c r="K2181" t="s">
        <v>5330</v>
      </c>
      <c r="L2181" s="12" t="s">
        <v>270</v>
      </c>
      <c r="M2181" s="12" t="s">
        <v>90</v>
      </c>
      <c r="N2181" s="12" t="s">
        <v>105</v>
      </c>
      <c r="O2181" s="12" t="s">
        <v>175</v>
      </c>
      <c r="P2181" s="12" t="s">
        <v>468</v>
      </c>
      <c r="Q2181" s="7" t="str">
        <f t="shared" si="103"/>
        <v>(1998,50,'1998.12.12',6,17,50,55,85,0),</v>
      </c>
      <c r="R2181" s="7" t="str">
        <f t="shared" si="105"/>
        <v>(1998,50,'1998.12.12',6,17,50,55,85),</v>
      </c>
    </row>
    <row r="2182" spans="1:18" x14ac:dyDescent="0.25">
      <c r="A2182" s="7" t="s">
        <v>642</v>
      </c>
      <c r="B2182" s="8" t="s">
        <v>122</v>
      </c>
      <c r="C2182" s="10">
        <f t="shared" si="104"/>
        <v>36148</v>
      </c>
      <c r="D2182" t="s">
        <v>11</v>
      </c>
      <c r="E2182" t="s">
        <v>12</v>
      </c>
      <c r="F2182" t="s">
        <v>65</v>
      </c>
      <c r="G2182" t="s">
        <v>5604</v>
      </c>
      <c r="H2182" t="s">
        <v>5605</v>
      </c>
      <c r="I2182" t="s">
        <v>5606</v>
      </c>
      <c r="J2182" t="s">
        <v>5607</v>
      </c>
      <c r="K2182" t="s">
        <v>5608</v>
      </c>
      <c r="L2182" s="12" t="s">
        <v>108</v>
      </c>
      <c r="M2182" s="12" t="s">
        <v>64</v>
      </c>
      <c r="N2182" s="12" t="s">
        <v>91</v>
      </c>
      <c r="O2182" s="12" t="s">
        <v>143</v>
      </c>
      <c r="P2182" s="12" t="s">
        <v>125</v>
      </c>
      <c r="Q2182" s="7" t="str">
        <f t="shared" si="103"/>
        <v>(1998,51,'1998.12.19',1,35,61,77,83,0),</v>
      </c>
      <c r="R2182" s="7" t="str">
        <f t="shared" si="105"/>
        <v>(1998,51,'1998.12.19',1,35,61,77,83),</v>
      </c>
    </row>
    <row r="2183" spans="1:18" x14ac:dyDescent="0.25">
      <c r="A2183" s="7" t="s">
        <v>642</v>
      </c>
      <c r="B2183" s="8" t="s">
        <v>99</v>
      </c>
      <c r="C2183" s="10">
        <f t="shared" si="104"/>
        <v>36155</v>
      </c>
      <c r="D2183" t="s">
        <v>11</v>
      </c>
      <c r="E2183" t="s">
        <v>12</v>
      </c>
      <c r="F2183" t="s">
        <v>115</v>
      </c>
      <c r="G2183" t="s">
        <v>5600</v>
      </c>
      <c r="H2183" t="s">
        <v>3750</v>
      </c>
      <c r="I2183" t="s">
        <v>5601</v>
      </c>
      <c r="J2183" t="s">
        <v>5602</v>
      </c>
      <c r="K2183" t="s">
        <v>5603</v>
      </c>
      <c r="L2183" s="12" t="s">
        <v>53</v>
      </c>
      <c r="M2183" s="12" t="s">
        <v>32</v>
      </c>
      <c r="N2183" s="12" t="s">
        <v>33</v>
      </c>
      <c r="O2183" s="12" t="s">
        <v>45</v>
      </c>
      <c r="P2183" s="12" t="s">
        <v>301</v>
      </c>
      <c r="Q2183" s="7" t="str">
        <f t="shared" si="103"/>
        <v>(1998,52,'1998.12.26',7,22,24,43,80,0),</v>
      </c>
      <c r="R2183" s="7" t="str">
        <f t="shared" si="105"/>
        <v>(1998,52,'1998.12.26',7,22,24,43,80),</v>
      </c>
    </row>
    <row r="2184" spans="1:18" x14ac:dyDescent="0.25">
      <c r="A2184" s="7" t="s">
        <v>642</v>
      </c>
      <c r="B2184" s="8" t="s">
        <v>199</v>
      </c>
      <c r="C2184" s="10">
        <f t="shared" si="104"/>
        <v>36162</v>
      </c>
      <c r="D2184" t="s">
        <v>11</v>
      </c>
      <c r="E2184" t="s">
        <v>12</v>
      </c>
      <c r="F2184" t="s">
        <v>23</v>
      </c>
      <c r="G2184" t="s">
        <v>5595</v>
      </c>
      <c r="H2184" t="s">
        <v>5596</v>
      </c>
      <c r="I2184" t="s">
        <v>5597</v>
      </c>
      <c r="J2184" t="s">
        <v>5598</v>
      </c>
      <c r="K2184" t="s">
        <v>5599</v>
      </c>
      <c r="L2184" s="12" t="s">
        <v>62</v>
      </c>
      <c r="M2184" s="12" t="s">
        <v>25</v>
      </c>
      <c r="N2184" s="12" t="s">
        <v>123</v>
      </c>
      <c r="O2184" s="12" t="s">
        <v>106</v>
      </c>
      <c r="P2184" s="12" t="s">
        <v>63</v>
      </c>
      <c r="Q2184" s="7" t="str">
        <f t="shared" si="103"/>
        <v>(1998,53,'1999.01.02',10,34,54,75,78,0),</v>
      </c>
      <c r="R2184" s="7" t="str">
        <f t="shared" si="105"/>
        <v>(1998,53,'1999.01.02',10,34,54,75,78),</v>
      </c>
    </row>
    <row r="2185" spans="1:18" x14ac:dyDescent="0.25">
      <c r="A2185" s="7" t="s">
        <v>5366</v>
      </c>
      <c r="B2185" s="8" t="s">
        <v>108</v>
      </c>
      <c r="C2185" s="10">
        <f t="shared" si="104"/>
        <v>36169</v>
      </c>
      <c r="D2185" t="s">
        <v>11</v>
      </c>
      <c r="E2185" t="s">
        <v>12</v>
      </c>
      <c r="F2185" t="s">
        <v>163</v>
      </c>
      <c r="G2185" t="s">
        <v>5591</v>
      </c>
      <c r="H2185" t="s">
        <v>5592</v>
      </c>
      <c r="I2185" t="s">
        <v>5593</v>
      </c>
      <c r="J2185" t="s">
        <v>5594</v>
      </c>
      <c r="K2185" t="s">
        <v>5578</v>
      </c>
      <c r="L2185" s="12" t="s">
        <v>62</v>
      </c>
      <c r="M2185" s="12" t="s">
        <v>90</v>
      </c>
      <c r="N2185" s="12" t="s">
        <v>192</v>
      </c>
      <c r="O2185" s="12" t="s">
        <v>81</v>
      </c>
      <c r="P2185" s="12" t="s">
        <v>106</v>
      </c>
      <c r="Q2185" s="7" t="str">
        <f t="shared" si="103"/>
        <v>(1999,1,'1999.01.09',10,17,46,47,75,0),</v>
      </c>
      <c r="R2185" s="7" t="str">
        <f t="shared" si="105"/>
        <v>(1999,1,'1999.01.09',10,17,46,47,75),</v>
      </c>
    </row>
    <row r="2186" spans="1:18" x14ac:dyDescent="0.25">
      <c r="A2186" s="7" t="s">
        <v>5366</v>
      </c>
      <c r="B2186" s="8" t="s">
        <v>207</v>
      </c>
      <c r="C2186" s="10">
        <f t="shared" si="104"/>
        <v>36176</v>
      </c>
      <c r="D2186" t="s">
        <v>11</v>
      </c>
      <c r="E2186" t="s">
        <v>12</v>
      </c>
      <c r="F2186" t="s">
        <v>163</v>
      </c>
      <c r="G2186" t="s">
        <v>5586</v>
      </c>
      <c r="H2186" t="s">
        <v>5587</v>
      </c>
      <c r="I2186" t="s">
        <v>5588</v>
      </c>
      <c r="J2186" t="s">
        <v>5589</v>
      </c>
      <c r="K2186" t="s">
        <v>5590</v>
      </c>
      <c r="L2186" s="12" t="s">
        <v>207</v>
      </c>
      <c r="M2186" s="12" t="s">
        <v>20</v>
      </c>
      <c r="N2186" s="12" t="s">
        <v>36</v>
      </c>
      <c r="O2186" s="12" t="s">
        <v>24</v>
      </c>
      <c r="P2186" s="12" t="s">
        <v>82</v>
      </c>
      <c r="Q2186" s="7" t="str">
        <f t="shared" si="103"/>
        <v>(1999,2,'1999.01.16',2,33,38,39,59,0),</v>
      </c>
      <c r="R2186" s="7" t="str">
        <f t="shared" si="105"/>
        <v>(1999,2,'1999.01.16',2,33,38,39,59),</v>
      </c>
    </row>
    <row r="2187" spans="1:18" x14ac:dyDescent="0.25">
      <c r="A2187" s="7" t="s">
        <v>5366</v>
      </c>
      <c r="B2187" s="8" t="s">
        <v>42</v>
      </c>
      <c r="C2187" s="10">
        <f t="shared" si="104"/>
        <v>36183</v>
      </c>
      <c r="D2187" t="s">
        <v>11</v>
      </c>
      <c r="E2187" t="s">
        <v>12</v>
      </c>
      <c r="F2187" t="s">
        <v>21</v>
      </c>
      <c r="G2187" t="s">
        <v>5582</v>
      </c>
      <c r="H2187" t="s">
        <v>5583</v>
      </c>
      <c r="I2187" t="s">
        <v>3907</v>
      </c>
      <c r="J2187" t="s">
        <v>5584</v>
      </c>
      <c r="K2187" t="s">
        <v>5585</v>
      </c>
      <c r="L2187" s="12" t="s">
        <v>53</v>
      </c>
      <c r="M2187" s="12" t="s">
        <v>13</v>
      </c>
      <c r="N2187" s="12" t="s">
        <v>200</v>
      </c>
      <c r="O2187" s="12" t="s">
        <v>56</v>
      </c>
      <c r="P2187" s="12" t="s">
        <v>246</v>
      </c>
      <c r="Q2187" s="7" t="str">
        <f t="shared" si="103"/>
        <v>(1999,3,'1999.01.23',7,41,70,71,84,0),</v>
      </c>
      <c r="R2187" s="7" t="str">
        <f t="shared" si="105"/>
        <v>(1999,3,'1999.01.23',7,41,70,71,84),</v>
      </c>
    </row>
    <row r="2188" spans="1:18" x14ac:dyDescent="0.25">
      <c r="A2188" s="7" t="s">
        <v>5366</v>
      </c>
      <c r="B2188" s="8" t="s">
        <v>168</v>
      </c>
      <c r="C2188" s="10">
        <f t="shared" si="104"/>
        <v>36190</v>
      </c>
      <c r="D2188" t="s">
        <v>11</v>
      </c>
      <c r="E2188" t="s">
        <v>12</v>
      </c>
      <c r="F2188" t="s">
        <v>20</v>
      </c>
      <c r="G2188" t="s">
        <v>5579</v>
      </c>
      <c r="H2188" t="s">
        <v>5141</v>
      </c>
      <c r="I2188" t="s">
        <v>5580</v>
      </c>
      <c r="J2188" t="s">
        <v>5581</v>
      </c>
      <c r="K2188" t="s">
        <v>5316</v>
      </c>
      <c r="L2188" s="12" t="s">
        <v>31</v>
      </c>
      <c r="M2188" s="12" t="s">
        <v>13</v>
      </c>
      <c r="N2188" s="12" t="s">
        <v>45</v>
      </c>
      <c r="O2188" s="12" t="s">
        <v>150</v>
      </c>
      <c r="P2188" s="12" t="s">
        <v>91</v>
      </c>
      <c r="Q2188" s="7" t="str">
        <f t="shared" si="103"/>
        <v>(1999,4,'1999.01.30',12,41,43,57,61,0),</v>
      </c>
      <c r="R2188" s="7" t="str">
        <f t="shared" si="105"/>
        <v>(1999,4,'1999.01.30',12,41,43,57,61),</v>
      </c>
    </row>
    <row r="2189" spans="1:18" x14ac:dyDescent="0.25">
      <c r="A2189" s="7" t="s">
        <v>5366</v>
      </c>
      <c r="B2189" s="8" t="s">
        <v>89</v>
      </c>
      <c r="C2189" s="10">
        <f t="shared" si="104"/>
        <v>36197</v>
      </c>
      <c r="D2189" t="s">
        <v>11</v>
      </c>
      <c r="E2189" t="s">
        <v>12</v>
      </c>
      <c r="F2189" t="s">
        <v>163</v>
      </c>
      <c r="G2189" t="s">
        <v>5574</v>
      </c>
      <c r="H2189" t="s">
        <v>5575</v>
      </c>
      <c r="I2189" t="s">
        <v>5576</v>
      </c>
      <c r="J2189" t="s">
        <v>5577</v>
      </c>
      <c r="K2189" t="s">
        <v>5578</v>
      </c>
      <c r="L2189" s="12" t="s">
        <v>54</v>
      </c>
      <c r="M2189" s="12" t="s">
        <v>74</v>
      </c>
      <c r="N2189" s="12" t="s">
        <v>135</v>
      </c>
      <c r="O2189" s="12" t="s">
        <v>71</v>
      </c>
      <c r="P2189" s="12" t="s">
        <v>233</v>
      </c>
      <c r="Q2189" s="7" t="str">
        <f t="shared" si="103"/>
        <v>(1999,5,'1999.02.06',15,26,27,31,66,0),</v>
      </c>
      <c r="R2189" s="7" t="str">
        <f t="shared" si="105"/>
        <v>(1999,5,'1999.02.06',15,26,27,31,66),</v>
      </c>
    </row>
    <row r="2190" spans="1:18" x14ac:dyDescent="0.25">
      <c r="A2190" s="7" t="s">
        <v>5366</v>
      </c>
      <c r="B2190" s="8" t="s">
        <v>270</v>
      </c>
      <c r="C2190" s="10">
        <f t="shared" si="104"/>
        <v>36204</v>
      </c>
      <c r="D2190" t="s">
        <v>11</v>
      </c>
      <c r="E2190" t="s">
        <v>12</v>
      </c>
      <c r="F2190" t="s">
        <v>248</v>
      </c>
      <c r="G2190" t="s">
        <v>5569</v>
      </c>
      <c r="H2190" t="s">
        <v>5570</v>
      </c>
      <c r="I2190" t="s">
        <v>5571</v>
      </c>
      <c r="J2190" t="s">
        <v>5572</v>
      </c>
      <c r="K2190" t="s">
        <v>5573</v>
      </c>
      <c r="L2190" s="12" t="s">
        <v>108</v>
      </c>
      <c r="M2190" s="12" t="s">
        <v>62</v>
      </c>
      <c r="N2190" s="12" t="s">
        <v>126</v>
      </c>
      <c r="O2190" s="12" t="s">
        <v>71</v>
      </c>
      <c r="P2190" s="12" t="s">
        <v>105</v>
      </c>
      <c r="Q2190" s="7" t="str">
        <f t="shared" si="103"/>
        <v>(1999,6,'1999.02.13',1,10,28,31,50,0),</v>
      </c>
      <c r="R2190" s="7" t="str">
        <f t="shared" si="105"/>
        <v>(1999,6,'1999.02.13',1,10,28,31,50),</v>
      </c>
    </row>
    <row r="2191" spans="1:18" x14ac:dyDescent="0.25">
      <c r="A2191" s="7" t="s">
        <v>5366</v>
      </c>
      <c r="B2191" s="8" t="s">
        <v>53</v>
      </c>
      <c r="C2191" s="10">
        <f t="shared" si="104"/>
        <v>36211</v>
      </c>
      <c r="D2191" t="s">
        <v>11</v>
      </c>
      <c r="E2191" t="s">
        <v>12</v>
      </c>
      <c r="F2191" t="s">
        <v>135</v>
      </c>
      <c r="G2191" t="s">
        <v>5566</v>
      </c>
      <c r="H2191" t="s">
        <v>619</v>
      </c>
      <c r="I2191" t="s">
        <v>5567</v>
      </c>
      <c r="J2191" t="s">
        <v>5568</v>
      </c>
      <c r="K2191" t="s">
        <v>5135</v>
      </c>
      <c r="L2191" s="12" t="s">
        <v>54</v>
      </c>
      <c r="M2191" s="12" t="s">
        <v>116</v>
      </c>
      <c r="N2191" s="12" t="s">
        <v>133</v>
      </c>
      <c r="O2191" s="12" t="s">
        <v>143</v>
      </c>
      <c r="P2191" s="12" t="s">
        <v>125</v>
      </c>
      <c r="Q2191" s="7" t="str">
        <f t="shared" si="103"/>
        <v>(1999,7,'1999.02.20',15,29,45,77,83,0),</v>
      </c>
      <c r="R2191" s="7" t="str">
        <f t="shared" si="105"/>
        <v>(1999,7,'1999.02.20',15,29,45,77,83),</v>
      </c>
    </row>
    <row r="2192" spans="1:18" x14ac:dyDescent="0.25">
      <c r="A2192" s="7" t="s">
        <v>5366</v>
      </c>
      <c r="B2192" s="8" t="s">
        <v>232</v>
      </c>
      <c r="C2192" s="10">
        <f t="shared" si="104"/>
        <v>36218</v>
      </c>
      <c r="D2192" t="s">
        <v>11</v>
      </c>
      <c r="E2192" t="s">
        <v>12</v>
      </c>
      <c r="F2192" t="s">
        <v>36</v>
      </c>
      <c r="G2192" t="s">
        <v>5562</v>
      </c>
      <c r="H2192" t="s">
        <v>5563</v>
      </c>
      <c r="I2192" t="s">
        <v>5564</v>
      </c>
      <c r="J2192" t="s">
        <v>5565</v>
      </c>
      <c r="K2192" t="s">
        <v>5348</v>
      </c>
      <c r="L2192" s="12" t="s">
        <v>80</v>
      </c>
      <c r="M2192" s="12" t="s">
        <v>81</v>
      </c>
      <c r="N2192" s="12" t="s">
        <v>175</v>
      </c>
      <c r="O2192" s="12" t="s">
        <v>245</v>
      </c>
      <c r="P2192" s="12" t="s">
        <v>63</v>
      </c>
      <c r="Q2192" s="7" t="str">
        <f t="shared" si="103"/>
        <v>(1999,8,'1999.02.27',32,47,55,74,78,0),</v>
      </c>
      <c r="R2192" s="7" t="str">
        <f t="shared" si="105"/>
        <v>(1999,8,'1999.02.27',32,47,55,74,78),</v>
      </c>
    </row>
    <row r="2193" spans="1:18" x14ac:dyDescent="0.25">
      <c r="A2193" s="7" t="s">
        <v>5366</v>
      </c>
      <c r="B2193" s="8" t="s">
        <v>198</v>
      </c>
      <c r="C2193" s="10">
        <f t="shared" si="104"/>
        <v>36225</v>
      </c>
      <c r="D2193" t="s">
        <v>11</v>
      </c>
      <c r="E2193" t="s">
        <v>12</v>
      </c>
      <c r="F2193" t="s">
        <v>126</v>
      </c>
      <c r="G2193" t="s">
        <v>5559</v>
      </c>
      <c r="H2193" t="s">
        <v>4389</v>
      </c>
      <c r="I2193" t="s">
        <v>2002</v>
      </c>
      <c r="J2193" t="s">
        <v>5560</v>
      </c>
      <c r="K2193" t="s">
        <v>5561</v>
      </c>
      <c r="L2193" s="12" t="s">
        <v>74</v>
      </c>
      <c r="M2193" s="12" t="s">
        <v>135</v>
      </c>
      <c r="N2193" s="12" t="s">
        <v>98</v>
      </c>
      <c r="O2193" s="12" t="s">
        <v>175</v>
      </c>
      <c r="P2193" s="12" t="s">
        <v>308</v>
      </c>
      <c r="Q2193" s="7" t="str">
        <f t="shared" si="103"/>
        <v>(1999,9,'1999.03.06',26,27,42,55,86,0),</v>
      </c>
      <c r="R2193" s="7" t="str">
        <f t="shared" si="105"/>
        <v>(1999,9,'1999.03.06',26,27,42,55,86),</v>
      </c>
    </row>
    <row r="2194" spans="1:18" x14ac:dyDescent="0.25">
      <c r="A2194" s="7" t="s">
        <v>5366</v>
      </c>
      <c r="B2194" s="8" t="s">
        <v>62</v>
      </c>
      <c r="C2194" s="10">
        <f t="shared" si="104"/>
        <v>36232</v>
      </c>
      <c r="D2194" t="s">
        <v>11</v>
      </c>
      <c r="E2194" t="s">
        <v>12</v>
      </c>
      <c r="F2194" t="s">
        <v>134</v>
      </c>
      <c r="G2194" t="s">
        <v>5554</v>
      </c>
      <c r="H2194" t="s">
        <v>5555</v>
      </c>
      <c r="I2194" t="s">
        <v>5556</v>
      </c>
      <c r="J2194" t="s">
        <v>5557</v>
      </c>
      <c r="K2194" t="s">
        <v>5558</v>
      </c>
      <c r="L2194" s="12" t="s">
        <v>74</v>
      </c>
      <c r="M2194" s="12" t="s">
        <v>71</v>
      </c>
      <c r="N2194" s="12" t="s">
        <v>199</v>
      </c>
      <c r="O2194" s="12" t="s">
        <v>201</v>
      </c>
      <c r="P2194" s="12" t="s">
        <v>239</v>
      </c>
      <c r="Q2194" s="7" t="str">
        <f t="shared" si="103"/>
        <v>(1999,10,'1999.03.13',26,31,53,72,73,0),</v>
      </c>
      <c r="R2194" s="7" t="str">
        <f t="shared" si="105"/>
        <v>(1999,10,'1999.03.13',26,31,53,72,73),</v>
      </c>
    </row>
    <row r="2195" spans="1:18" x14ac:dyDescent="0.25">
      <c r="A2195" s="7" t="s">
        <v>5366</v>
      </c>
      <c r="B2195" s="8" t="s">
        <v>83</v>
      </c>
      <c r="C2195" s="10">
        <f t="shared" si="104"/>
        <v>36239</v>
      </c>
      <c r="D2195" t="s">
        <v>11</v>
      </c>
      <c r="E2195" t="s">
        <v>12</v>
      </c>
      <c r="F2195" t="s">
        <v>4453</v>
      </c>
      <c r="G2195" t="s">
        <v>5549</v>
      </c>
      <c r="H2195" t="s">
        <v>5550</v>
      </c>
      <c r="I2195" t="s">
        <v>5551</v>
      </c>
      <c r="J2195" t="s">
        <v>5552</v>
      </c>
      <c r="K2195" t="s">
        <v>5553</v>
      </c>
      <c r="L2195" s="12" t="s">
        <v>62</v>
      </c>
      <c r="M2195" s="12" t="s">
        <v>65</v>
      </c>
      <c r="N2195" s="12" t="s">
        <v>126</v>
      </c>
      <c r="O2195" s="12" t="s">
        <v>175</v>
      </c>
      <c r="P2195" s="12" t="s">
        <v>201</v>
      </c>
      <c r="Q2195" s="7" t="str">
        <f t="shared" si="103"/>
        <v>(1999,11,'1999.03.20',10,13,28,55,72,0),</v>
      </c>
      <c r="R2195" s="7" t="str">
        <f t="shared" si="105"/>
        <v>(1999,11,'1999.03.20',10,13,28,55,72),</v>
      </c>
    </row>
    <row r="2196" spans="1:18" x14ac:dyDescent="0.25">
      <c r="A2196" s="7" t="s">
        <v>5366</v>
      </c>
      <c r="B2196" s="8" t="s">
        <v>31</v>
      </c>
      <c r="C2196" s="10">
        <f t="shared" si="104"/>
        <v>36246</v>
      </c>
      <c r="D2196" t="s">
        <v>11</v>
      </c>
      <c r="E2196" t="s">
        <v>12</v>
      </c>
      <c r="F2196" t="s">
        <v>82</v>
      </c>
      <c r="G2196" t="s">
        <v>5545</v>
      </c>
      <c r="H2196" t="s">
        <v>5546</v>
      </c>
      <c r="I2196" t="s">
        <v>5547</v>
      </c>
      <c r="J2196" t="s">
        <v>5548</v>
      </c>
      <c r="K2196" t="s">
        <v>5161</v>
      </c>
      <c r="L2196" s="12" t="s">
        <v>207</v>
      </c>
      <c r="M2196" s="12" t="s">
        <v>168</v>
      </c>
      <c r="N2196" s="12" t="s">
        <v>90</v>
      </c>
      <c r="O2196" s="12" t="s">
        <v>152</v>
      </c>
      <c r="P2196" s="12" t="s">
        <v>91</v>
      </c>
      <c r="Q2196" s="7" t="str">
        <f t="shared" si="103"/>
        <v>(1999,12,'1999.03.27',2,4,17,25,61,0),</v>
      </c>
      <c r="R2196" s="7" t="str">
        <f t="shared" si="105"/>
        <v>(1999,12,'1999.03.27',2,4,17,25,61),</v>
      </c>
    </row>
    <row r="2197" spans="1:18" x14ac:dyDescent="0.25">
      <c r="A2197" s="7" t="s">
        <v>5366</v>
      </c>
      <c r="B2197" s="8" t="s">
        <v>65</v>
      </c>
      <c r="C2197" s="10">
        <f t="shared" si="104"/>
        <v>36253</v>
      </c>
      <c r="D2197" t="s">
        <v>11</v>
      </c>
      <c r="E2197" t="s">
        <v>12</v>
      </c>
      <c r="F2197" t="s">
        <v>5539</v>
      </c>
      <c r="G2197" t="s">
        <v>5540</v>
      </c>
      <c r="H2197" t="s">
        <v>5541</v>
      </c>
      <c r="I2197" t="s">
        <v>5542</v>
      </c>
      <c r="J2197" t="s">
        <v>5543</v>
      </c>
      <c r="K2197" t="s">
        <v>5544</v>
      </c>
      <c r="L2197" s="12" t="s">
        <v>31</v>
      </c>
      <c r="M2197" s="12" t="s">
        <v>55</v>
      </c>
      <c r="N2197" s="12" t="s">
        <v>135</v>
      </c>
      <c r="O2197" s="12" t="s">
        <v>71</v>
      </c>
      <c r="P2197" s="12" t="s">
        <v>64</v>
      </c>
      <c r="Q2197" s="7" t="str">
        <f t="shared" si="103"/>
        <v>(1999,13,'1999.04.03',12,19,27,31,35,0),</v>
      </c>
      <c r="R2197" s="7" t="str">
        <f t="shared" si="105"/>
        <v>(1999,13,'1999.04.03',12,19,27,31,35),</v>
      </c>
    </row>
    <row r="2198" spans="1:18" x14ac:dyDescent="0.25">
      <c r="A2198" s="7" t="s">
        <v>5366</v>
      </c>
      <c r="B2198" s="8" t="s">
        <v>127</v>
      </c>
      <c r="C2198" s="10">
        <f t="shared" si="104"/>
        <v>36260</v>
      </c>
      <c r="D2198" t="s">
        <v>108</v>
      </c>
      <c r="E2198" t="s">
        <v>5532</v>
      </c>
      <c r="F2198" t="s">
        <v>5533</v>
      </c>
      <c r="G2198" t="s">
        <v>5534</v>
      </c>
      <c r="H2198" t="s">
        <v>5535</v>
      </c>
      <c r="I2198" t="s">
        <v>5536</v>
      </c>
      <c r="J2198" t="s">
        <v>5537</v>
      </c>
      <c r="K2198" t="s">
        <v>5538</v>
      </c>
      <c r="L2198" s="12" t="s">
        <v>42</v>
      </c>
      <c r="M2198" s="12" t="s">
        <v>55</v>
      </c>
      <c r="N2198" s="12" t="s">
        <v>126</v>
      </c>
      <c r="O2198" s="12" t="s">
        <v>150</v>
      </c>
      <c r="P2198" s="12" t="s">
        <v>214</v>
      </c>
      <c r="Q2198" s="7" t="str">
        <f t="shared" si="103"/>
        <v>(1999,14,'1999.04.10',3,19,28,57,64,0),</v>
      </c>
      <c r="R2198" s="7" t="str">
        <f t="shared" si="105"/>
        <v>(1999,14,'1999.04.10',3,19,28,57,64),</v>
      </c>
    </row>
    <row r="2199" spans="1:18" x14ac:dyDescent="0.25">
      <c r="A2199" s="7" t="s">
        <v>5366</v>
      </c>
      <c r="B2199" s="8" t="s">
        <v>54</v>
      </c>
      <c r="C2199" s="10">
        <f t="shared" si="104"/>
        <v>36267</v>
      </c>
      <c r="D2199" t="s">
        <v>108</v>
      </c>
      <c r="E2199" t="s">
        <v>5526</v>
      </c>
      <c r="F2199" t="s">
        <v>82</v>
      </c>
      <c r="G2199" t="s">
        <v>5527</v>
      </c>
      <c r="H2199" t="s">
        <v>5528</v>
      </c>
      <c r="I2199" t="s">
        <v>5529</v>
      </c>
      <c r="J2199" t="s">
        <v>5530</v>
      </c>
      <c r="K2199" t="s">
        <v>5531</v>
      </c>
      <c r="L2199" s="12" t="s">
        <v>198</v>
      </c>
      <c r="M2199" s="12" t="s">
        <v>115</v>
      </c>
      <c r="N2199" s="12" t="s">
        <v>32</v>
      </c>
      <c r="O2199" s="12" t="s">
        <v>135</v>
      </c>
      <c r="P2199" s="12" t="s">
        <v>46</v>
      </c>
      <c r="Q2199" s="7" t="str">
        <f t="shared" si="103"/>
        <v>(1999,15,'1999.04.17',9,20,22,27,37,0),</v>
      </c>
      <c r="R2199" s="7" t="str">
        <f t="shared" si="105"/>
        <v>(1999,15,'1999.04.17',9,20,22,27,37),</v>
      </c>
    </row>
    <row r="2200" spans="1:18" x14ac:dyDescent="0.25">
      <c r="A2200" s="7" t="s">
        <v>5366</v>
      </c>
      <c r="B2200" s="8" t="s">
        <v>43</v>
      </c>
      <c r="C2200" s="10">
        <f t="shared" si="104"/>
        <v>36274</v>
      </c>
      <c r="D2200" t="s">
        <v>11</v>
      </c>
      <c r="E2200" t="s">
        <v>12</v>
      </c>
      <c r="F2200" t="s">
        <v>152</v>
      </c>
      <c r="G2200" t="s">
        <v>5521</v>
      </c>
      <c r="H2200" t="s">
        <v>5522</v>
      </c>
      <c r="I2200" t="s">
        <v>5523</v>
      </c>
      <c r="J2200" t="s">
        <v>5524</v>
      </c>
      <c r="K2200" t="s">
        <v>5525</v>
      </c>
      <c r="L2200" s="12" t="s">
        <v>22</v>
      </c>
      <c r="M2200" s="12" t="s">
        <v>134</v>
      </c>
      <c r="N2200" s="12" t="s">
        <v>73</v>
      </c>
      <c r="O2200" s="12" t="s">
        <v>151</v>
      </c>
      <c r="P2200" s="12" t="s">
        <v>269</v>
      </c>
      <c r="Q2200" s="7" t="str">
        <f t="shared" si="103"/>
        <v>(1999,16,'1999.04.24',48,56,76,79,87,0),</v>
      </c>
      <c r="R2200" s="7" t="str">
        <f t="shared" si="105"/>
        <v>(1999,16,'1999.04.24',48,56,76,79,87),</v>
      </c>
    </row>
    <row r="2201" spans="1:18" x14ac:dyDescent="0.25">
      <c r="A2201" s="7" t="s">
        <v>5366</v>
      </c>
      <c r="B2201" s="8" t="s">
        <v>90</v>
      </c>
      <c r="C2201" s="10">
        <f t="shared" si="104"/>
        <v>36281</v>
      </c>
      <c r="D2201" t="s">
        <v>11</v>
      </c>
      <c r="E2201" t="s">
        <v>12</v>
      </c>
      <c r="F2201" t="s">
        <v>33</v>
      </c>
      <c r="G2201" t="s">
        <v>5517</v>
      </c>
      <c r="H2201" t="s">
        <v>171</v>
      </c>
      <c r="I2201" t="s">
        <v>5518</v>
      </c>
      <c r="J2201" t="s">
        <v>5519</v>
      </c>
      <c r="K2201" t="s">
        <v>5520</v>
      </c>
      <c r="L2201" s="12" t="s">
        <v>127</v>
      </c>
      <c r="M2201" s="12" t="s">
        <v>115</v>
      </c>
      <c r="N2201" s="12" t="s">
        <v>133</v>
      </c>
      <c r="O2201" s="12" t="s">
        <v>150</v>
      </c>
      <c r="P2201" s="12" t="s">
        <v>201</v>
      </c>
      <c r="Q2201" s="7" t="str">
        <f t="shared" si="103"/>
        <v>(1999,17,'1999.05.01',14,20,45,57,72,0),</v>
      </c>
      <c r="R2201" s="7" t="str">
        <f t="shared" si="105"/>
        <v>(1999,17,'1999.05.01',14,20,45,57,72),</v>
      </c>
    </row>
    <row r="2202" spans="1:18" x14ac:dyDescent="0.25">
      <c r="A2202" s="7" t="s">
        <v>5366</v>
      </c>
      <c r="B2202" s="8" t="s">
        <v>19</v>
      </c>
      <c r="C2202" s="10">
        <f t="shared" si="104"/>
        <v>36288</v>
      </c>
      <c r="D2202" t="s">
        <v>11</v>
      </c>
      <c r="E2202" t="s">
        <v>12</v>
      </c>
      <c r="F2202" t="s">
        <v>20</v>
      </c>
      <c r="G2202" t="s">
        <v>5512</v>
      </c>
      <c r="H2202" t="s">
        <v>5513</v>
      </c>
      <c r="I2202" t="s">
        <v>5514</v>
      </c>
      <c r="J2202" t="s">
        <v>5515</v>
      </c>
      <c r="K2202" t="s">
        <v>5516</v>
      </c>
      <c r="L2202" s="12" t="s">
        <v>80</v>
      </c>
      <c r="M2202" s="12" t="s">
        <v>13</v>
      </c>
      <c r="N2202" s="12" t="s">
        <v>199</v>
      </c>
      <c r="O2202" s="12" t="s">
        <v>82</v>
      </c>
      <c r="P2202" s="12" t="s">
        <v>92</v>
      </c>
      <c r="Q2202" s="7" t="str">
        <f t="shared" si="103"/>
        <v>(1999,18,'1999.05.08',32,41,53,59,68,0),</v>
      </c>
      <c r="R2202" s="7" t="str">
        <f t="shared" si="105"/>
        <v>(1999,18,'1999.05.08',32,41,53,59,68),</v>
      </c>
    </row>
    <row r="2203" spans="1:18" x14ac:dyDescent="0.25">
      <c r="A2203" s="7" t="s">
        <v>5366</v>
      </c>
      <c r="B2203" s="8" t="s">
        <v>55</v>
      </c>
      <c r="C2203" s="10">
        <f t="shared" si="104"/>
        <v>36295</v>
      </c>
      <c r="D2203" t="s">
        <v>11</v>
      </c>
      <c r="E2203" t="s">
        <v>12</v>
      </c>
      <c r="F2203" t="s">
        <v>80</v>
      </c>
      <c r="G2203" t="s">
        <v>5508</v>
      </c>
      <c r="H2203" t="s">
        <v>5509</v>
      </c>
      <c r="I2203" t="s">
        <v>5510</v>
      </c>
      <c r="J2203" t="s">
        <v>5511</v>
      </c>
      <c r="K2203" t="s">
        <v>5124</v>
      </c>
      <c r="L2203" s="12" t="s">
        <v>62</v>
      </c>
      <c r="M2203" s="12" t="s">
        <v>46</v>
      </c>
      <c r="N2203" s="12" t="s">
        <v>22</v>
      </c>
      <c r="O2203" s="12" t="s">
        <v>35</v>
      </c>
      <c r="P2203" s="12" t="s">
        <v>379</v>
      </c>
      <c r="Q2203" s="7" t="str">
        <f t="shared" si="103"/>
        <v>(1999,19,'1999.05.15',10,37,48,65,89,0),</v>
      </c>
      <c r="R2203" s="7" t="str">
        <f t="shared" si="105"/>
        <v>(1999,19,'1999.05.15',10,37,48,65,89),</v>
      </c>
    </row>
    <row r="2204" spans="1:18" x14ac:dyDescent="0.25">
      <c r="A2204" s="7" t="s">
        <v>5366</v>
      </c>
      <c r="B2204" s="8" t="s">
        <v>115</v>
      </c>
      <c r="C2204" s="10">
        <f t="shared" si="104"/>
        <v>36302</v>
      </c>
      <c r="D2204" t="s">
        <v>11</v>
      </c>
      <c r="E2204" t="s">
        <v>12</v>
      </c>
      <c r="F2204" t="s">
        <v>13</v>
      </c>
      <c r="G2204" t="s">
        <v>5505</v>
      </c>
      <c r="H2204" t="s">
        <v>1384</v>
      </c>
      <c r="I2204" t="s">
        <v>5506</v>
      </c>
      <c r="J2204" t="s">
        <v>5507</v>
      </c>
      <c r="K2204" t="s">
        <v>4627</v>
      </c>
      <c r="L2204" s="12" t="s">
        <v>53</v>
      </c>
      <c r="M2204" s="12" t="s">
        <v>98</v>
      </c>
      <c r="N2204" s="12" t="s">
        <v>34</v>
      </c>
      <c r="O2204" s="12" t="s">
        <v>175</v>
      </c>
      <c r="P2204" s="12" t="s">
        <v>151</v>
      </c>
      <c r="Q2204" s="7" t="str">
        <f t="shared" si="103"/>
        <v>(1999,20,'1999.05.22',7,42,49,55,79,0),</v>
      </c>
      <c r="R2204" s="7" t="str">
        <f t="shared" si="105"/>
        <v>(1999,20,'1999.05.22',7,42,49,55,79),</v>
      </c>
    </row>
    <row r="2205" spans="1:18" x14ac:dyDescent="0.25">
      <c r="A2205" s="7" t="s">
        <v>5366</v>
      </c>
      <c r="B2205" s="8" t="s">
        <v>44</v>
      </c>
      <c r="C2205" s="10">
        <f t="shared" si="104"/>
        <v>36309</v>
      </c>
      <c r="D2205" t="s">
        <v>11</v>
      </c>
      <c r="E2205" t="s">
        <v>12</v>
      </c>
      <c r="F2205" t="s">
        <v>192</v>
      </c>
      <c r="G2205" t="s">
        <v>5501</v>
      </c>
      <c r="H2205" t="s">
        <v>3039</v>
      </c>
      <c r="I2205" t="s">
        <v>5502</v>
      </c>
      <c r="J2205" t="s">
        <v>5503</v>
      </c>
      <c r="K2205" t="s">
        <v>5504</v>
      </c>
      <c r="L2205" s="12" t="s">
        <v>65</v>
      </c>
      <c r="M2205" s="12" t="s">
        <v>54</v>
      </c>
      <c r="N2205" s="12" t="s">
        <v>13</v>
      </c>
      <c r="O2205" s="12" t="s">
        <v>91</v>
      </c>
      <c r="P2205" s="12" t="s">
        <v>56</v>
      </c>
      <c r="Q2205" s="7" t="str">
        <f t="shared" si="103"/>
        <v>(1999,21,'1999.05.29',13,15,41,61,71,0),</v>
      </c>
      <c r="R2205" s="7" t="str">
        <f t="shared" si="105"/>
        <v>(1999,21,'1999.05.29',13,15,41,61,71),</v>
      </c>
    </row>
    <row r="2206" spans="1:18" x14ac:dyDescent="0.25">
      <c r="A2206" s="7" t="s">
        <v>5366</v>
      </c>
      <c r="B2206" s="8" t="s">
        <v>32</v>
      </c>
      <c r="C2206" s="10">
        <f t="shared" si="104"/>
        <v>36316</v>
      </c>
      <c r="D2206" t="s">
        <v>11</v>
      </c>
      <c r="E2206" t="s">
        <v>12</v>
      </c>
      <c r="F2206" t="s">
        <v>21</v>
      </c>
      <c r="G2206" t="s">
        <v>5497</v>
      </c>
      <c r="H2206" t="s">
        <v>2659</v>
      </c>
      <c r="I2206" t="s">
        <v>5498</v>
      </c>
      <c r="J2206" t="s">
        <v>5499</v>
      </c>
      <c r="K2206" t="s">
        <v>5500</v>
      </c>
      <c r="L2206" s="12" t="s">
        <v>108</v>
      </c>
      <c r="M2206" s="12" t="s">
        <v>90</v>
      </c>
      <c r="N2206" s="12" t="s">
        <v>115</v>
      </c>
      <c r="O2206" s="12" t="s">
        <v>46</v>
      </c>
      <c r="P2206" s="12" t="s">
        <v>233</v>
      </c>
      <c r="Q2206" s="7" t="str">
        <f t="shared" si="103"/>
        <v>(1999,22,'1999.06.05',1,17,20,37,66,0),</v>
      </c>
      <c r="R2206" s="7" t="str">
        <f t="shared" si="105"/>
        <v>(1999,22,'1999.06.05',1,17,20,37,66),</v>
      </c>
    </row>
    <row r="2207" spans="1:18" x14ac:dyDescent="0.25">
      <c r="A2207" s="7" t="s">
        <v>5366</v>
      </c>
      <c r="B2207" s="8" t="s">
        <v>163</v>
      </c>
      <c r="C2207" s="10">
        <f t="shared" si="104"/>
        <v>36323</v>
      </c>
      <c r="D2207" t="s">
        <v>11</v>
      </c>
      <c r="E2207" t="s">
        <v>12</v>
      </c>
      <c r="F2207" t="s">
        <v>142</v>
      </c>
      <c r="G2207" t="s">
        <v>5493</v>
      </c>
      <c r="H2207" t="s">
        <v>5494</v>
      </c>
      <c r="I2207" t="s">
        <v>5495</v>
      </c>
      <c r="J2207" t="s">
        <v>5496</v>
      </c>
      <c r="K2207" t="s">
        <v>4863</v>
      </c>
      <c r="L2207" s="12" t="s">
        <v>232</v>
      </c>
      <c r="M2207" s="12" t="s">
        <v>115</v>
      </c>
      <c r="N2207" s="12" t="s">
        <v>36</v>
      </c>
      <c r="O2207" s="12" t="s">
        <v>82</v>
      </c>
      <c r="P2207" s="12" t="s">
        <v>47</v>
      </c>
      <c r="Q2207" s="7" t="str">
        <f t="shared" si="103"/>
        <v>(1999,23,'1999.06.12',8,20,38,59,69,0),</v>
      </c>
      <c r="R2207" s="7" t="str">
        <f t="shared" si="105"/>
        <v>(1999,23,'1999.06.12',8,20,38,59,69),</v>
      </c>
    </row>
    <row r="2208" spans="1:18" x14ac:dyDescent="0.25">
      <c r="A2208" s="7" t="s">
        <v>5366</v>
      </c>
      <c r="B2208" s="8" t="s">
        <v>33</v>
      </c>
      <c r="C2208" s="10">
        <f t="shared" si="104"/>
        <v>36330</v>
      </c>
      <c r="D2208" t="s">
        <v>11</v>
      </c>
      <c r="E2208" t="s">
        <v>12</v>
      </c>
      <c r="F2208" t="s">
        <v>116</v>
      </c>
      <c r="G2208" t="s">
        <v>5489</v>
      </c>
      <c r="H2208" t="s">
        <v>5490</v>
      </c>
      <c r="I2208" t="s">
        <v>5491</v>
      </c>
      <c r="J2208" t="s">
        <v>5492</v>
      </c>
      <c r="K2208" t="s">
        <v>5016</v>
      </c>
      <c r="L2208" s="12" t="s">
        <v>83</v>
      </c>
      <c r="M2208" s="12" t="s">
        <v>90</v>
      </c>
      <c r="N2208" s="12" t="s">
        <v>92</v>
      </c>
      <c r="O2208" s="12" t="s">
        <v>208</v>
      </c>
      <c r="P2208" s="12" t="s">
        <v>379</v>
      </c>
      <c r="Q2208" s="7" t="str">
        <f t="shared" si="103"/>
        <v>(1999,24,'1999.06.19',11,17,68,88,89,0),</v>
      </c>
      <c r="R2208" s="7" t="str">
        <f t="shared" si="105"/>
        <v>(1999,24,'1999.06.19',11,17,68,88,89),</v>
      </c>
    </row>
    <row r="2209" spans="1:18" x14ac:dyDescent="0.25">
      <c r="A2209" s="7" t="s">
        <v>5366</v>
      </c>
      <c r="B2209" s="8" t="s">
        <v>152</v>
      </c>
      <c r="C2209" s="10">
        <f t="shared" si="104"/>
        <v>36337</v>
      </c>
      <c r="D2209" t="s">
        <v>11</v>
      </c>
      <c r="E2209" t="s">
        <v>12</v>
      </c>
      <c r="F2209" t="s">
        <v>107</v>
      </c>
      <c r="G2209" t="s">
        <v>5485</v>
      </c>
      <c r="H2209" t="s">
        <v>891</v>
      </c>
      <c r="I2209" t="s">
        <v>5486</v>
      </c>
      <c r="J2209" t="s">
        <v>5487</v>
      </c>
      <c r="K2209" t="s">
        <v>5488</v>
      </c>
      <c r="L2209" s="12" t="s">
        <v>116</v>
      </c>
      <c r="M2209" s="12" t="s">
        <v>24</v>
      </c>
      <c r="N2209" s="12" t="s">
        <v>45</v>
      </c>
      <c r="O2209" s="12" t="s">
        <v>175</v>
      </c>
      <c r="P2209" s="12" t="s">
        <v>92</v>
      </c>
      <c r="Q2209" s="7" t="str">
        <f t="shared" si="103"/>
        <v>(1999,25,'1999.06.26',29,39,43,55,68,0),</v>
      </c>
      <c r="R2209" s="7" t="str">
        <f t="shared" si="105"/>
        <v>(1999,25,'1999.06.26',29,39,43,55,68),</v>
      </c>
    </row>
    <row r="2210" spans="1:18" x14ac:dyDescent="0.25">
      <c r="A2210" s="7" t="s">
        <v>5366</v>
      </c>
      <c r="B2210" s="8" t="s">
        <v>74</v>
      </c>
      <c r="C2210" s="10">
        <f t="shared" si="104"/>
        <v>36344</v>
      </c>
      <c r="D2210" t="s">
        <v>11</v>
      </c>
      <c r="E2210" t="s">
        <v>12</v>
      </c>
      <c r="F2210" t="s">
        <v>32</v>
      </c>
      <c r="G2210" t="s">
        <v>5481</v>
      </c>
      <c r="H2210" t="s">
        <v>2212</v>
      </c>
      <c r="I2210" t="s">
        <v>5482</v>
      </c>
      <c r="J2210" t="s">
        <v>5483</v>
      </c>
      <c r="K2210" t="s">
        <v>5484</v>
      </c>
      <c r="L2210" s="12" t="s">
        <v>53</v>
      </c>
      <c r="M2210" s="12" t="s">
        <v>105</v>
      </c>
      <c r="N2210" s="12" t="s">
        <v>169</v>
      </c>
      <c r="O2210" s="12" t="s">
        <v>23</v>
      </c>
      <c r="P2210" s="12" t="s">
        <v>468</v>
      </c>
      <c r="Q2210" s="7" t="str">
        <f t="shared" si="103"/>
        <v>(1999,26,'1999.07.03',7,50,58,60,85,0),</v>
      </c>
      <c r="R2210" s="7" t="str">
        <f t="shared" si="105"/>
        <v>(1999,26,'1999.07.03',7,50,58,60,85),</v>
      </c>
    </row>
    <row r="2211" spans="1:18" x14ac:dyDescent="0.25">
      <c r="A2211" s="7" t="s">
        <v>5366</v>
      </c>
      <c r="B2211" s="8" t="s">
        <v>135</v>
      </c>
      <c r="C2211" s="10">
        <f t="shared" si="104"/>
        <v>36351</v>
      </c>
      <c r="D2211" t="s">
        <v>11</v>
      </c>
      <c r="E2211" t="s">
        <v>12</v>
      </c>
      <c r="F2211" t="s">
        <v>53</v>
      </c>
      <c r="G2211" t="s">
        <v>5477</v>
      </c>
      <c r="H2211" t="s">
        <v>5478</v>
      </c>
      <c r="I2211" t="s">
        <v>5479</v>
      </c>
      <c r="J2211" t="s">
        <v>5480</v>
      </c>
      <c r="K2211" t="s">
        <v>2356</v>
      </c>
      <c r="L2211" s="12" t="s">
        <v>21</v>
      </c>
      <c r="M2211" s="12" t="s">
        <v>151</v>
      </c>
      <c r="N2211" s="12" t="s">
        <v>622</v>
      </c>
      <c r="O2211" s="12" t="s">
        <v>468</v>
      </c>
      <c r="P2211" s="12" t="s">
        <v>308</v>
      </c>
      <c r="Q2211" s="7" t="str">
        <f t="shared" si="103"/>
        <v>(1999,27,'1999.07.10',36,79,82,85,86,0),</v>
      </c>
      <c r="R2211" s="7" t="str">
        <f t="shared" si="105"/>
        <v>(1999,27,'1999.07.10',36,79,82,85,86),</v>
      </c>
    </row>
    <row r="2212" spans="1:18" x14ac:dyDescent="0.25">
      <c r="A2212" s="7" t="s">
        <v>5366</v>
      </c>
      <c r="B2212" s="8" t="s">
        <v>126</v>
      </c>
      <c r="C2212" s="10">
        <f t="shared" si="104"/>
        <v>36358</v>
      </c>
      <c r="D2212" t="s">
        <v>11</v>
      </c>
      <c r="E2212" t="s">
        <v>12</v>
      </c>
      <c r="F2212" t="s">
        <v>74</v>
      </c>
      <c r="G2212" t="s">
        <v>5474</v>
      </c>
      <c r="H2212" t="s">
        <v>3304</v>
      </c>
      <c r="I2212" t="s">
        <v>5475</v>
      </c>
      <c r="J2212" t="s">
        <v>5476</v>
      </c>
      <c r="K2212" t="s">
        <v>4889</v>
      </c>
      <c r="L2212" s="12" t="s">
        <v>207</v>
      </c>
      <c r="M2212" s="12" t="s">
        <v>133</v>
      </c>
      <c r="N2212" s="12" t="s">
        <v>124</v>
      </c>
      <c r="O2212" s="12" t="s">
        <v>233</v>
      </c>
      <c r="P2212" s="12" t="s">
        <v>186</v>
      </c>
      <c r="Q2212" s="7" t="str">
        <f t="shared" si="103"/>
        <v>(1999,28,'1999.07.17',2,45,62,66,90,0),</v>
      </c>
      <c r="R2212" s="7" t="str">
        <f t="shared" si="105"/>
        <v>(1999,28,'1999.07.17',2,45,62,66,90),</v>
      </c>
    </row>
    <row r="2213" spans="1:18" x14ac:dyDescent="0.25">
      <c r="A2213" s="7" t="s">
        <v>5366</v>
      </c>
      <c r="B2213" s="8" t="s">
        <v>116</v>
      </c>
      <c r="C2213" s="10">
        <f t="shared" si="104"/>
        <v>36365</v>
      </c>
      <c r="D2213" t="s">
        <v>11</v>
      </c>
      <c r="E2213" t="s">
        <v>12</v>
      </c>
      <c r="F2213" t="s">
        <v>19</v>
      </c>
      <c r="G2213" t="s">
        <v>5470</v>
      </c>
      <c r="H2213" t="s">
        <v>4967</v>
      </c>
      <c r="I2213" t="s">
        <v>5471</v>
      </c>
      <c r="J2213" t="s">
        <v>5472</v>
      </c>
      <c r="K2213" t="s">
        <v>5473</v>
      </c>
      <c r="L2213" s="12" t="s">
        <v>135</v>
      </c>
      <c r="M2213" s="12" t="s">
        <v>22</v>
      </c>
      <c r="N2213" s="12" t="s">
        <v>91</v>
      </c>
      <c r="O2213" s="12" t="s">
        <v>248</v>
      </c>
      <c r="P2213" s="12" t="s">
        <v>301</v>
      </c>
      <c r="Q2213" s="7" t="str">
        <f t="shared" si="103"/>
        <v>(1999,29,'1999.07.24',27,48,61,63,80,0),</v>
      </c>
      <c r="R2213" s="7" t="str">
        <f t="shared" si="105"/>
        <v>(1999,29,'1999.07.24',27,48,61,63,80),</v>
      </c>
    </row>
    <row r="2214" spans="1:18" x14ac:dyDescent="0.25">
      <c r="A2214" s="7" t="s">
        <v>5366</v>
      </c>
      <c r="B2214" s="8" t="s">
        <v>107</v>
      </c>
      <c r="C2214" s="10">
        <f t="shared" si="104"/>
        <v>36372</v>
      </c>
      <c r="D2214" t="s">
        <v>11</v>
      </c>
      <c r="E2214" t="s">
        <v>12</v>
      </c>
      <c r="F2214" t="s">
        <v>74</v>
      </c>
      <c r="G2214" t="s">
        <v>5466</v>
      </c>
      <c r="H2214" t="s">
        <v>3868</v>
      </c>
      <c r="I2214" t="s">
        <v>5467</v>
      </c>
      <c r="J2214" t="s">
        <v>5468</v>
      </c>
      <c r="K2214" t="s">
        <v>5469</v>
      </c>
      <c r="L2214" s="12" t="s">
        <v>90</v>
      </c>
      <c r="M2214" s="12" t="s">
        <v>107</v>
      </c>
      <c r="N2214" s="12" t="s">
        <v>123</v>
      </c>
      <c r="O2214" s="12" t="s">
        <v>92</v>
      </c>
      <c r="P2214" s="12" t="s">
        <v>622</v>
      </c>
      <c r="Q2214" s="7" t="str">
        <f t="shared" si="103"/>
        <v>(1999,30,'1999.07.31',17,30,54,68,82,0),</v>
      </c>
      <c r="R2214" s="7" t="str">
        <f t="shared" si="105"/>
        <v>(1999,30,'1999.07.31',17,30,54,68,82),</v>
      </c>
    </row>
    <row r="2215" spans="1:18" x14ac:dyDescent="0.25">
      <c r="A2215" s="7" t="s">
        <v>5366</v>
      </c>
      <c r="B2215" s="8" t="s">
        <v>71</v>
      </c>
      <c r="C2215" s="10">
        <f t="shared" si="104"/>
        <v>36379</v>
      </c>
      <c r="D2215" t="s">
        <v>11</v>
      </c>
      <c r="E2215" t="s">
        <v>12</v>
      </c>
      <c r="F2215" t="s">
        <v>163</v>
      </c>
      <c r="G2215" t="s">
        <v>5464</v>
      </c>
      <c r="H2215" t="s">
        <v>2170</v>
      </c>
      <c r="I2215" t="s">
        <v>3863</v>
      </c>
      <c r="J2215" t="s">
        <v>5465</v>
      </c>
      <c r="K2215" t="s">
        <v>4858</v>
      </c>
      <c r="L2215" s="12" t="s">
        <v>135</v>
      </c>
      <c r="M2215" s="12" t="s">
        <v>80</v>
      </c>
      <c r="N2215" s="12" t="s">
        <v>64</v>
      </c>
      <c r="O2215" s="12" t="s">
        <v>622</v>
      </c>
      <c r="P2215" s="12" t="s">
        <v>379</v>
      </c>
      <c r="Q2215" s="7" t="str">
        <f t="shared" si="103"/>
        <v>(1999,31,'1999.08.07',27,32,35,82,89,0),</v>
      </c>
      <c r="R2215" s="7" t="str">
        <f t="shared" si="105"/>
        <v>(1999,31,'1999.08.07',27,32,35,82,89),</v>
      </c>
    </row>
    <row r="2216" spans="1:18" x14ac:dyDescent="0.25">
      <c r="A2216" s="7" t="s">
        <v>5366</v>
      </c>
      <c r="B2216" s="8" t="s">
        <v>80</v>
      </c>
      <c r="C2216" s="10">
        <f t="shared" si="104"/>
        <v>36386</v>
      </c>
      <c r="D2216" t="s">
        <v>11</v>
      </c>
      <c r="E2216" t="s">
        <v>12</v>
      </c>
      <c r="F2216" t="s">
        <v>33</v>
      </c>
      <c r="G2216" t="s">
        <v>5459</v>
      </c>
      <c r="H2216" t="s">
        <v>5460</v>
      </c>
      <c r="I2216" t="s">
        <v>5461</v>
      </c>
      <c r="J2216" t="s">
        <v>5462</v>
      </c>
      <c r="K2216" t="s">
        <v>5463</v>
      </c>
      <c r="L2216" s="12" t="s">
        <v>83</v>
      </c>
      <c r="M2216" s="12" t="s">
        <v>135</v>
      </c>
      <c r="N2216" s="12" t="s">
        <v>246</v>
      </c>
      <c r="O2216" s="12" t="s">
        <v>468</v>
      </c>
      <c r="P2216" s="12" t="s">
        <v>269</v>
      </c>
      <c r="Q2216" s="7" t="str">
        <f t="shared" si="103"/>
        <v>(1999,32,'1999.08.14',11,27,84,85,87,0),</v>
      </c>
      <c r="R2216" s="7" t="str">
        <f t="shared" si="105"/>
        <v>(1999,32,'1999.08.14',11,27,84,85,87),</v>
      </c>
    </row>
    <row r="2217" spans="1:18" x14ac:dyDescent="0.25">
      <c r="A2217" s="7" t="s">
        <v>5366</v>
      </c>
      <c r="B2217" s="8" t="s">
        <v>20</v>
      </c>
      <c r="C2217" s="10">
        <f t="shared" si="104"/>
        <v>36393</v>
      </c>
      <c r="D2217" t="s">
        <v>11</v>
      </c>
      <c r="E2217" t="s">
        <v>12</v>
      </c>
      <c r="F2217" t="s">
        <v>45</v>
      </c>
      <c r="G2217" t="s">
        <v>5454</v>
      </c>
      <c r="H2217" t="s">
        <v>5455</v>
      </c>
      <c r="I2217" t="s">
        <v>5456</v>
      </c>
      <c r="J2217" t="s">
        <v>5457</v>
      </c>
      <c r="K2217" t="s">
        <v>5458</v>
      </c>
      <c r="L2217" s="12" t="s">
        <v>116</v>
      </c>
      <c r="M2217" s="12" t="s">
        <v>175</v>
      </c>
      <c r="N2217" s="12" t="s">
        <v>214</v>
      </c>
      <c r="O2217" s="12" t="s">
        <v>233</v>
      </c>
      <c r="P2217" s="12" t="s">
        <v>245</v>
      </c>
      <c r="Q2217" s="7" t="str">
        <f t="shared" si="103"/>
        <v>(1999,33,'1999.08.21',29,55,64,66,74,0),</v>
      </c>
      <c r="R2217" s="7" t="str">
        <f t="shared" si="105"/>
        <v>(1999,33,'1999.08.21',29,55,64,66,74),</v>
      </c>
    </row>
    <row r="2218" spans="1:18" x14ac:dyDescent="0.25">
      <c r="A2218" s="7" t="s">
        <v>5366</v>
      </c>
      <c r="B2218" s="8" t="s">
        <v>25</v>
      </c>
      <c r="C2218" s="10">
        <f t="shared" si="104"/>
        <v>36400</v>
      </c>
      <c r="D2218" t="s">
        <v>11</v>
      </c>
      <c r="E2218" t="s">
        <v>12</v>
      </c>
      <c r="F2218" t="s">
        <v>201</v>
      </c>
      <c r="G2218" t="s">
        <v>5449</v>
      </c>
      <c r="H2218" t="s">
        <v>5450</v>
      </c>
      <c r="I2218" t="s">
        <v>5451</v>
      </c>
      <c r="J2218" t="s">
        <v>5452</v>
      </c>
      <c r="K2218" t="s">
        <v>5453</v>
      </c>
      <c r="L2218" s="12" t="s">
        <v>65</v>
      </c>
      <c r="M2218" s="12" t="s">
        <v>55</v>
      </c>
      <c r="N2218" s="12" t="s">
        <v>233</v>
      </c>
      <c r="O2218" s="12" t="s">
        <v>143</v>
      </c>
      <c r="P2218" s="12" t="s">
        <v>63</v>
      </c>
      <c r="Q2218" s="7" t="str">
        <f t="shared" si="103"/>
        <v>(1999,34,'1999.08.28',13,19,66,77,78,0),</v>
      </c>
      <c r="R2218" s="7" t="str">
        <f t="shared" si="105"/>
        <v>(1999,34,'1999.08.28',13,19,66,77,78),</v>
      </c>
    </row>
    <row r="2219" spans="1:18" x14ac:dyDescent="0.25">
      <c r="A2219" s="7" t="s">
        <v>5366</v>
      </c>
      <c r="B2219" s="8" t="s">
        <v>64</v>
      </c>
      <c r="C2219" s="10">
        <f t="shared" si="104"/>
        <v>36407</v>
      </c>
      <c r="D2219" t="s">
        <v>11</v>
      </c>
      <c r="E2219" t="s">
        <v>12</v>
      </c>
      <c r="F2219" t="s">
        <v>239</v>
      </c>
      <c r="G2219" t="s">
        <v>5445</v>
      </c>
      <c r="H2219" t="s">
        <v>5446</v>
      </c>
      <c r="I2219" t="s">
        <v>5447</v>
      </c>
      <c r="J2219" t="s">
        <v>5448</v>
      </c>
      <c r="K2219" t="s">
        <v>4709</v>
      </c>
      <c r="L2219" s="12" t="s">
        <v>43</v>
      </c>
      <c r="M2219" s="12" t="s">
        <v>25</v>
      </c>
      <c r="N2219" s="12" t="s">
        <v>36</v>
      </c>
      <c r="O2219" s="12" t="s">
        <v>34</v>
      </c>
      <c r="P2219" s="12" t="s">
        <v>200</v>
      </c>
      <c r="Q2219" s="7" t="str">
        <f t="shared" si="103"/>
        <v>(1999,35,'1999.09.04',16,34,38,49,70,0),</v>
      </c>
      <c r="R2219" s="7" t="str">
        <f t="shared" si="105"/>
        <v>(1999,35,'1999.09.04',16,34,38,49,70),</v>
      </c>
    </row>
    <row r="2220" spans="1:18" x14ac:dyDescent="0.25">
      <c r="A2220" s="7" t="s">
        <v>5366</v>
      </c>
      <c r="B2220" s="8" t="s">
        <v>21</v>
      </c>
      <c r="C2220" s="10">
        <f t="shared" si="104"/>
        <v>36414</v>
      </c>
      <c r="D2220" t="s">
        <v>11</v>
      </c>
      <c r="E2220" t="s">
        <v>12</v>
      </c>
      <c r="F2220" t="s">
        <v>246</v>
      </c>
      <c r="G2220" t="s">
        <v>5441</v>
      </c>
      <c r="H2220" t="s">
        <v>5442</v>
      </c>
      <c r="I2220" t="s">
        <v>5443</v>
      </c>
      <c r="J2220" t="s">
        <v>5444</v>
      </c>
      <c r="K2220" t="s">
        <v>4304</v>
      </c>
      <c r="L2220" s="12" t="s">
        <v>152</v>
      </c>
      <c r="M2220" s="12" t="s">
        <v>98</v>
      </c>
      <c r="N2220" s="12" t="s">
        <v>22</v>
      </c>
      <c r="O2220" s="12" t="s">
        <v>123</v>
      </c>
      <c r="P2220" s="12" t="s">
        <v>269</v>
      </c>
      <c r="Q2220" s="7" t="str">
        <f t="shared" si="103"/>
        <v>(1999,36,'1999.09.11',25,42,48,54,87,0),</v>
      </c>
      <c r="R2220" s="7" t="str">
        <f t="shared" si="105"/>
        <v>(1999,36,'1999.09.11',25,42,48,54,87),</v>
      </c>
    </row>
    <row r="2221" spans="1:18" x14ac:dyDescent="0.25">
      <c r="A2221" s="7" t="s">
        <v>5366</v>
      </c>
      <c r="B2221" s="8" t="s">
        <v>46</v>
      </c>
      <c r="C2221" s="10">
        <f t="shared" si="104"/>
        <v>36421</v>
      </c>
      <c r="D2221" t="s">
        <v>108</v>
      </c>
      <c r="E2221" t="s">
        <v>5436</v>
      </c>
      <c r="F2221" t="s">
        <v>4679</v>
      </c>
      <c r="G2221" t="s">
        <v>5437</v>
      </c>
      <c r="H2221" t="s">
        <v>5438</v>
      </c>
      <c r="I2221" t="s">
        <v>5439</v>
      </c>
      <c r="J2221" t="s">
        <v>5440</v>
      </c>
      <c r="K2221" t="s">
        <v>3692</v>
      </c>
      <c r="L2221" s="12" t="s">
        <v>32</v>
      </c>
      <c r="M2221" s="12" t="s">
        <v>152</v>
      </c>
      <c r="N2221" s="12" t="s">
        <v>22</v>
      </c>
      <c r="O2221" s="12" t="s">
        <v>200</v>
      </c>
      <c r="P2221" s="12" t="s">
        <v>239</v>
      </c>
      <c r="Q2221" s="7" t="str">
        <f t="shared" si="103"/>
        <v>(1999,37,'1999.09.18',22,25,48,70,73,0),</v>
      </c>
      <c r="R2221" s="7" t="str">
        <f t="shared" si="105"/>
        <v>(1999,37,'1999.09.18',22,25,48,70,73),</v>
      </c>
    </row>
    <row r="2222" spans="1:18" x14ac:dyDescent="0.25">
      <c r="A2222" s="7" t="s">
        <v>5366</v>
      </c>
      <c r="B2222" s="8" t="s">
        <v>36</v>
      </c>
      <c r="C2222" s="10">
        <f t="shared" si="104"/>
        <v>36428</v>
      </c>
      <c r="D2222" t="s">
        <v>11</v>
      </c>
      <c r="E2222" t="s">
        <v>12</v>
      </c>
      <c r="F2222" t="s">
        <v>107</v>
      </c>
      <c r="G2222" t="s">
        <v>5432</v>
      </c>
      <c r="H2222" t="s">
        <v>5433</v>
      </c>
      <c r="I2222" t="s">
        <v>5434</v>
      </c>
      <c r="J2222" t="s">
        <v>5435</v>
      </c>
      <c r="K2222" t="s">
        <v>4610</v>
      </c>
      <c r="L2222" s="12" t="s">
        <v>168</v>
      </c>
      <c r="M2222" s="12" t="s">
        <v>13</v>
      </c>
      <c r="N2222" s="12" t="s">
        <v>175</v>
      </c>
      <c r="O2222" s="12" t="s">
        <v>169</v>
      </c>
      <c r="P2222" s="12" t="s">
        <v>208</v>
      </c>
      <c r="Q2222" s="7" t="str">
        <f t="shared" si="103"/>
        <v>(1999,38,'1999.09.25',4,41,55,58,88,0),</v>
      </c>
      <c r="R2222" s="7" t="str">
        <f t="shared" si="105"/>
        <v>(1999,38,'1999.09.25',4,41,55,58,88),</v>
      </c>
    </row>
    <row r="2223" spans="1:18" x14ac:dyDescent="0.25">
      <c r="A2223" s="7" t="s">
        <v>5366</v>
      </c>
      <c r="B2223" s="8" t="s">
        <v>24</v>
      </c>
      <c r="C2223" s="10">
        <f t="shared" si="104"/>
        <v>36435</v>
      </c>
      <c r="D2223" t="s">
        <v>11</v>
      </c>
      <c r="E2223" t="s">
        <v>12</v>
      </c>
      <c r="F2223" t="s">
        <v>64</v>
      </c>
      <c r="G2223" t="s">
        <v>5427</v>
      </c>
      <c r="H2223" t="s">
        <v>5428</v>
      </c>
      <c r="I2223" t="s">
        <v>5429</v>
      </c>
      <c r="J2223" t="s">
        <v>5430</v>
      </c>
      <c r="K2223" t="s">
        <v>5431</v>
      </c>
      <c r="L2223" s="12" t="s">
        <v>22</v>
      </c>
      <c r="M2223" s="12" t="s">
        <v>123</v>
      </c>
      <c r="N2223" s="12" t="s">
        <v>150</v>
      </c>
      <c r="O2223" s="12" t="s">
        <v>23</v>
      </c>
      <c r="P2223" s="12" t="s">
        <v>186</v>
      </c>
      <c r="Q2223" s="7" t="str">
        <f t="shared" si="103"/>
        <v>(1999,39,'1999.10.02',48,54,57,60,90,0),</v>
      </c>
      <c r="R2223" s="7" t="str">
        <f t="shared" si="105"/>
        <v>(1999,39,'1999.10.02',48,54,57,60,90),</v>
      </c>
    </row>
    <row r="2224" spans="1:18" x14ac:dyDescent="0.25">
      <c r="A2224" s="7" t="s">
        <v>5366</v>
      </c>
      <c r="B2224" s="8" t="s">
        <v>10</v>
      </c>
      <c r="C2224" s="10">
        <f t="shared" si="104"/>
        <v>36442</v>
      </c>
      <c r="D2224" t="s">
        <v>11</v>
      </c>
      <c r="E2224" t="s">
        <v>12</v>
      </c>
      <c r="F2224" t="s">
        <v>123</v>
      </c>
      <c r="G2224" t="s">
        <v>5422</v>
      </c>
      <c r="H2224" t="s">
        <v>5423</v>
      </c>
      <c r="I2224" t="s">
        <v>5424</v>
      </c>
      <c r="J2224" t="s">
        <v>5425</v>
      </c>
      <c r="K2224" t="s">
        <v>5426</v>
      </c>
      <c r="L2224" s="12" t="s">
        <v>126</v>
      </c>
      <c r="M2224" s="12" t="s">
        <v>10</v>
      </c>
      <c r="N2224" s="12" t="s">
        <v>169</v>
      </c>
      <c r="O2224" s="12" t="s">
        <v>214</v>
      </c>
      <c r="P2224" s="12" t="s">
        <v>47</v>
      </c>
      <c r="Q2224" s="7" t="str">
        <f t="shared" si="103"/>
        <v>(1999,40,'1999.10.09',28,40,58,64,69,0),</v>
      </c>
      <c r="R2224" s="7" t="str">
        <f t="shared" si="105"/>
        <v>(1999,40,'1999.10.09',28,40,58,64,69),</v>
      </c>
    </row>
    <row r="2225" spans="1:18" x14ac:dyDescent="0.25">
      <c r="A2225" s="7" t="s">
        <v>5366</v>
      </c>
      <c r="B2225" s="8" t="s">
        <v>13</v>
      </c>
      <c r="C2225" s="10">
        <f t="shared" si="104"/>
        <v>36449</v>
      </c>
      <c r="D2225" t="s">
        <v>11</v>
      </c>
      <c r="E2225" t="s">
        <v>12</v>
      </c>
      <c r="F2225" t="s">
        <v>24</v>
      </c>
      <c r="G2225" t="s">
        <v>5417</v>
      </c>
      <c r="H2225" t="s">
        <v>5418</v>
      </c>
      <c r="I2225" t="s">
        <v>5419</v>
      </c>
      <c r="J2225" t="s">
        <v>5420</v>
      </c>
      <c r="K2225" t="s">
        <v>5421</v>
      </c>
      <c r="L2225" s="12" t="s">
        <v>98</v>
      </c>
      <c r="M2225" s="12" t="s">
        <v>22</v>
      </c>
      <c r="N2225" s="12" t="s">
        <v>150</v>
      </c>
      <c r="O2225" s="12" t="s">
        <v>239</v>
      </c>
      <c r="P2225" s="12" t="s">
        <v>269</v>
      </c>
      <c r="Q2225" s="7" t="str">
        <f t="shared" si="103"/>
        <v>(1999,41,'1999.10.16',42,48,57,73,87,0),</v>
      </c>
      <c r="R2225" s="7" t="str">
        <f t="shared" si="105"/>
        <v>(1999,41,'1999.10.16',42,48,57,73,87),</v>
      </c>
    </row>
    <row r="2226" spans="1:18" x14ac:dyDescent="0.25">
      <c r="A2226" s="7" t="s">
        <v>5366</v>
      </c>
      <c r="B2226" s="8" t="s">
        <v>98</v>
      </c>
      <c r="C2226" s="10">
        <f t="shared" si="104"/>
        <v>36456</v>
      </c>
      <c r="D2226" t="s">
        <v>11</v>
      </c>
      <c r="E2226" t="s">
        <v>12</v>
      </c>
      <c r="F2226" t="s">
        <v>65</v>
      </c>
      <c r="G2226" t="s">
        <v>5412</v>
      </c>
      <c r="H2226" t="s">
        <v>5413</v>
      </c>
      <c r="I2226" t="s">
        <v>5414</v>
      </c>
      <c r="J2226" t="s">
        <v>5415</v>
      </c>
      <c r="K2226" t="s">
        <v>5416</v>
      </c>
      <c r="L2226" s="12" t="s">
        <v>31</v>
      </c>
      <c r="M2226" s="12" t="s">
        <v>65</v>
      </c>
      <c r="N2226" s="12" t="s">
        <v>199</v>
      </c>
      <c r="O2226" s="12" t="s">
        <v>124</v>
      </c>
      <c r="P2226" s="12" t="s">
        <v>47</v>
      </c>
      <c r="Q2226" s="7" t="str">
        <f t="shared" si="103"/>
        <v>(1999,42,'1999.10.23',12,13,53,62,69,0),</v>
      </c>
      <c r="R2226" s="7" t="str">
        <f t="shared" si="105"/>
        <v>(1999,42,'1999.10.23',12,13,53,62,69),</v>
      </c>
    </row>
    <row r="2227" spans="1:18" x14ac:dyDescent="0.25">
      <c r="A2227" s="7" t="s">
        <v>5366</v>
      </c>
      <c r="B2227" s="8" t="s">
        <v>45</v>
      </c>
      <c r="C2227" s="10">
        <f t="shared" si="104"/>
        <v>36463</v>
      </c>
      <c r="D2227" t="s">
        <v>11</v>
      </c>
      <c r="E2227" t="s">
        <v>12</v>
      </c>
      <c r="F2227" t="s">
        <v>127</v>
      </c>
      <c r="G2227" t="s">
        <v>5408</v>
      </c>
      <c r="H2227" t="s">
        <v>526</v>
      </c>
      <c r="I2227" t="s">
        <v>5409</v>
      </c>
      <c r="J2227" t="s">
        <v>5410</v>
      </c>
      <c r="K2227" t="s">
        <v>5411</v>
      </c>
      <c r="L2227" s="12" t="s">
        <v>90</v>
      </c>
      <c r="M2227" s="12" t="s">
        <v>10</v>
      </c>
      <c r="N2227" s="12" t="s">
        <v>133</v>
      </c>
      <c r="O2227" s="12" t="s">
        <v>105</v>
      </c>
      <c r="P2227" s="12" t="s">
        <v>169</v>
      </c>
      <c r="Q2227" s="7" t="str">
        <f t="shared" si="103"/>
        <v>(1999,43,'1999.10.30',17,40,45,50,58,0),</v>
      </c>
      <c r="R2227" s="7" t="str">
        <f t="shared" si="105"/>
        <v>(1999,43,'1999.10.30',17,40,45,50,58),</v>
      </c>
    </row>
    <row r="2228" spans="1:18" x14ac:dyDescent="0.25">
      <c r="A2228" s="7" t="s">
        <v>5366</v>
      </c>
      <c r="B2228" s="8" t="s">
        <v>142</v>
      </c>
      <c r="C2228" s="10">
        <f t="shared" si="104"/>
        <v>36470</v>
      </c>
      <c r="D2228" t="s">
        <v>11</v>
      </c>
      <c r="E2228" t="s">
        <v>12</v>
      </c>
      <c r="F2228" t="s">
        <v>135</v>
      </c>
      <c r="G2228" t="s">
        <v>5403</v>
      </c>
      <c r="H2228" t="s">
        <v>5404</v>
      </c>
      <c r="I2228" t="s">
        <v>5405</v>
      </c>
      <c r="J2228" t="s">
        <v>5406</v>
      </c>
      <c r="K2228" t="s">
        <v>5407</v>
      </c>
      <c r="L2228" s="12" t="s">
        <v>207</v>
      </c>
      <c r="M2228" s="12" t="s">
        <v>80</v>
      </c>
      <c r="N2228" s="12" t="s">
        <v>21</v>
      </c>
      <c r="O2228" s="12" t="s">
        <v>24</v>
      </c>
      <c r="P2228" s="12" t="s">
        <v>169</v>
      </c>
      <c r="Q2228" s="7" t="str">
        <f t="shared" si="103"/>
        <v>(1999,44,'1999.11.06',2,32,36,39,58,0),</v>
      </c>
      <c r="R2228" s="7" t="str">
        <f t="shared" si="105"/>
        <v>(1999,44,'1999.11.06',2,32,36,39,58),</v>
      </c>
    </row>
    <row r="2229" spans="1:18" x14ac:dyDescent="0.25">
      <c r="A2229" s="7" t="s">
        <v>5366</v>
      </c>
      <c r="B2229" s="8" t="s">
        <v>133</v>
      </c>
      <c r="C2229" s="10">
        <f t="shared" si="104"/>
        <v>36477</v>
      </c>
      <c r="D2229" t="s">
        <v>11</v>
      </c>
      <c r="E2229" t="s">
        <v>12</v>
      </c>
      <c r="F2229" t="s">
        <v>152</v>
      </c>
      <c r="G2229" t="s">
        <v>5399</v>
      </c>
      <c r="H2229" t="s">
        <v>2573</v>
      </c>
      <c r="I2229" t="s">
        <v>5400</v>
      </c>
      <c r="J2229" t="s">
        <v>5401</v>
      </c>
      <c r="K2229" t="s">
        <v>5402</v>
      </c>
      <c r="L2229" s="12" t="s">
        <v>270</v>
      </c>
      <c r="M2229" s="12" t="s">
        <v>107</v>
      </c>
      <c r="N2229" s="12" t="s">
        <v>92</v>
      </c>
      <c r="O2229" s="12" t="s">
        <v>245</v>
      </c>
      <c r="P2229" s="12" t="s">
        <v>215</v>
      </c>
      <c r="Q2229" s="7" t="str">
        <f t="shared" si="103"/>
        <v>(1999,45,'1999.11.13',6,30,68,74,81,0),</v>
      </c>
      <c r="R2229" s="7" t="str">
        <f t="shared" si="105"/>
        <v>(1999,45,'1999.11.13',6,30,68,74,81),</v>
      </c>
    </row>
    <row r="2230" spans="1:18" x14ac:dyDescent="0.25">
      <c r="A2230" s="7" t="s">
        <v>5366</v>
      </c>
      <c r="B2230" s="8" t="s">
        <v>192</v>
      </c>
      <c r="C2230" s="10">
        <f t="shared" si="104"/>
        <v>36484</v>
      </c>
      <c r="D2230" t="s">
        <v>11</v>
      </c>
      <c r="E2230" t="s">
        <v>12</v>
      </c>
      <c r="F2230" t="s">
        <v>98</v>
      </c>
      <c r="G2230" t="s">
        <v>5394</v>
      </c>
      <c r="H2230" t="s">
        <v>5395</v>
      </c>
      <c r="I2230" t="s">
        <v>5396</v>
      </c>
      <c r="J2230" t="s">
        <v>5397</v>
      </c>
      <c r="K2230" t="s">
        <v>5398</v>
      </c>
      <c r="L2230" s="12" t="s">
        <v>207</v>
      </c>
      <c r="M2230" s="12" t="s">
        <v>65</v>
      </c>
      <c r="N2230" s="12" t="s">
        <v>25</v>
      </c>
      <c r="O2230" s="12" t="s">
        <v>150</v>
      </c>
      <c r="P2230" s="12" t="s">
        <v>106</v>
      </c>
      <c r="Q2230" s="7" t="str">
        <f t="shared" si="103"/>
        <v>(1999,46,'1999.11.20',2,13,34,57,75,0),</v>
      </c>
      <c r="R2230" s="7" t="str">
        <f t="shared" si="105"/>
        <v>(1999,46,'1999.11.20',2,13,34,57,75),</v>
      </c>
    </row>
    <row r="2231" spans="1:18" x14ac:dyDescent="0.25">
      <c r="A2231" s="7" t="s">
        <v>5366</v>
      </c>
      <c r="B2231" s="8" t="s">
        <v>81</v>
      </c>
      <c r="C2231" s="10">
        <f t="shared" si="104"/>
        <v>36491</v>
      </c>
      <c r="D2231" t="s">
        <v>11</v>
      </c>
      <c r="E2231" t="s">
        <v>12</v>
      </c>
      <c r="F2231" t="s">
        <v>10</v>
      </c>
      <c r="G2231" t="s">
        <v>5390</v>
      </c>
      <c r="H2231" t="s">
        <v>3455</v>
      </c>
      <c r="I2231" t="s">
        <v>5391</v>
      </c>
      <c r="J2231" t="s">
        <v>5392</v>
      </c>
      <c r="K2231" t="s">
        <v>5393</v>
      </c>
      <c r="L2231" s="12" t="s">
        <v>270</v>
      </c>
      <c r="M2231" s="12" t="s">
        <v>115</v>
      </c>
      <c r="N2231" s="12" t="s">
        <v>21</v>
      </c>
      <c r="O2231" s="12" t="s">
        <v>47</v>
      </c>
      <c r="P2231" s="12" t="s">
        <v>246</v>
      </c>
      <c r="Q2231" s="7" t="str">
        <f t="shared" si="103"/>
        <v>(1999,47,'1999.11.27',6,20,36,69,84,0),</v>
      </c>
      <c r="R2231" s="7" t="str">
        <f t="shared" si="105"/>
        <v>(1999,47,'1999.11.27',6,20,36,69,84),</v>
      </c>
    </row>
    <row r="2232" spans="1:18" x14ac:dyDescent="0.25">
      <c r="A2232" s="7" t="s">
        <v>5366</v>
      </c>
      <c r="B2232" s="8" t="s">
        <v>22</v>
      </c>
      <c r="C2232" s="10">
        <f t="shared" si="104"/>
        <v>36498</v>
      </c>
      <c r="D2232" t="s">
        <v>11</v>
      </c>
      <c r="E2232" t="s">
        <v>12</v>
      </c>
      <c r="F2232" t="s">
        <v>72</v>
      </c>
      <c r="G2232" t="s">
        <v>5385</v>
      </c>
      <c r="H2232" t="s">
        <v>5386</v>
      </c>
      <c r="I2232" t="s">
        <v>5387</v>
      </c>
      <c r="J2232" t="s">
        <v>5388</v>
      </c>
      <c r="K2232" t="s">
        <v>5389</v>
      </c>
      <c r="L2232" s="12" t="s">
        <v>168</v>
      </c>
      <c r="M2232" s="12" t="s">
        <v>135</v>
      </c>
      <c r="N2232" s="12" t="s">
        <v>21</v>
      </c>
      <c r="O2232" s="12" t="s">
        <v>248</v>
      </c>
      <c r="P2232" s="12" t="s">
        <v>63</v>
      </c>
      <c r="Q2232" s="7" t="str">
        <f t="shared" si="103"/>
        <v>(1999,48,'1999.12.04',4,27,36,63,78,0),</v>
      </c>
      <c r="R2232" s="7" t="str">
        <f t="shared" si="105"/>
        <v>(1999,48,'1999.12.04',4,27,36,63,78),</v>
      </c>
    </row>
    <row r="2233" spans="1:18" x14ac:dyDescent="0.25">
      <c r="A2233" s="7" t="s">
        <v>5366</v>
      </c>
      <c r="B2233" s="8" t="s">
        <v>34</v>
      </c>
      <c r="C2233" s="10">
        <f t="shared" si="104"/>
        <v>36505</v>
      </c>
      <c r="D2233" t="s">
        <v>11</v>
      </c>
      <c r="E2233" t="s">
        <v>12</v>
      </c>
      <c r="F2233" t="s">
        <v>127</v>
      </c>
      <c r="G2233" t="s">
        <v>5380</v>
      </c>
      <c r="H2233" t="s">
        <v>5381</v>
      </c>
      <c r="I2233" t="s">
        <v>5382</v>
      </c>
      <c r="J2233" t="s">
        <v>5383</v>
      </c>
      <c r="K2233" t="s">
        <v>5384</v>
      </c>
      <c r="L2233" s="12" t="s">
        <v>32</v>
      </c>
      <c r="M2233" s="12" t="s">
        <v>163</v>
      </c>
      <c r="N2233" s="12" t="s">
        <v>105</v>
      </c>
      <c r="O2233" s="12" t="s">
        <v>622</v>
      </c>
      <c r="P2233" s="12" t="s">
        <v>186</v>
      </c>
      <c r="Q2233" s="7" t="str">
        <f t="shared" si="103"/>
        <v>(1999,49,'1999.12.11',22,23,50,82,90,0),</v>
      </c>
      <c r="R2233" s="7" t="str">
        <f t="shared" si="105"/>
        <v>(1999,49,'1999.12.11',22,23,50,82,90),</v>
      </c>
    </row>
    <row r="2234" spans="1:18" x14ac:dyDescent="0.25">
      <c r="A2234" s="7" t="s">
        <v>5366</v>
      </c>
      <c r="B2234" s="8" t="s">
        <v>105</v>
      </c>
      <c r="C2234" s="10">
        <f t="shared" si="104"/>
        <v>36512</v>
      </c>
      <c r="D2234" t="s">
        <v>11</v>
      </c>
      <c r="E2234" t="s">
        <v>12</v>
      </c>
      <c r="F2234" t="s">
        <v>55</v>
      </c>
      <c r="G2234" t="s">
        <v>5376</v>
      </c>
      <c r="H2234" t="s">
        <v>5377</v>
      </c>
      <c r="I2234" t="s">
        <v>5378</v>
      </c>
      <c r="J2234" t="s">
        <v>5379</v>
      </c>
      <c r="K2234" t="s">
        <v>4804</v>
      </c>
      <c r="L2234" s="12" t="s">
        <v>13</v>
      </c>
      <c r="M2234" s="12" t="s">
        <v>35</v>
      </c>
      <c r="N2234" s="12" t="s">
        <v>233</v>
      </c>
      <c r="O2234" s="12" t="s">
        <v>106</v>
      </c>
      <c r="P2234" s="12" t="s">
        <v>215</v>
      </c>
      <c r="Q2234" s="7" t="str">
        <f t="shared" si="103"/>
        <v>(1999,50,'1999.12.18',41,65,66,75,81,0),</v>
      </c>
      <c r="R2234" s="7" t="str">
        <f t="shared" si="105"/>
        <v>(1999,50,'1999.12.18',41,65,66,75,81),</v>
      </c>
    </row>
    <row r="2235" spans="1:18" x14ac:dyDescent="0.25">
      <c r="A2235" s="7" t="s">
        <v>5366</v>
      </c>
      <c r="B2235" s="8" t="s">
        <v>122</v>
      </c>
      <c r="C2235" s="10">
        <f t="shared" si="104"/>
        <v>36519</v>
      </c>
      <c r="D2235" t="s">
        <v>11</v>
      </c>
      <c r="E2235" t="s">
        <v>12</v>
      </c>
      <c r="F2235" t="s">
        <v>169</v>
      </c>
      <c r="G2235" t="s">
        <v>5371</v>
      </c>
      <c r="H2235" t="s">
        <v>5372</v>
      </c>
      <c r="I2235" t="s">
        <v>5373</v>
      </c>
      <c r="J2235" t="s">
        <v>5374</v>
      </c>
      <c r="K2235" t="s">
        <v>5375</v>
      </c>
      <c r="L2235" s="12" t="s">
        <v>89</v>
      </c>
      <c r="M2235" s="12" t="s">
        <v>83</v>
      </c>
      <c r="N2235" s="12" t="s">
        <v>150</v>
      </c>
      <c r="O2235" s="12" t="s">
        <v>72</v>
      </c>
      <c r="P2235" s="12" t="s">
        <v>239</v>
      </c>
      <c r="Q2235" s="7" t="str">
        <f t="shared" si="103"/>
        <v>(1999,51,'1999.12.25',5,11,57,67,73,0),</v>
      </c>
      <c r="R2235" s="7" t="str">
        <f t="shared" si="105"/>
        <v>(1999,51,'1999.12.25',5,11,57,67,73),</v>
      </c>
    </row>
    <row r="2236" spans="1:18" x14ac:dyDescent="0.25">
      <c r="A2236" s="7" t="s">
        <v>5366</v>
      </c>
      <c r="B2236" s="8" t="s">
        <v>99</v>
      </c>
      <c r="C2236" s="10">
        <f t="shared" si="104"/>
        <v>36526</v>
      </c>
      <c r="D2236" t="s">
        <v>11</v>
      </c>
      <c r="E2236" t="s">
        <v>12</v>
      </c>
      <c r="F2236" t="s">
        <v>23</v>
      </c>
      <c r="G2236" t="s">
        <v>5367</v>
      </c>
      <c r="H2236" t="s">
        <v>5368</v>
      </c>
      <c r="I2236" t="s">
        <v>5369</v>
      </c>
      <c r="J2236" t="s">
        <v>5370</v>
      </c>
      <c r="K2236" t="s">
        <v>3692</v>
      </c>
      <c r="L2236" s="12" t="s">
        <v>127</v>
      </c>
      <c r="M2236" s="12" t="s">
        <v>152</v>
      </c>
      <c r="N2236" s="12" t="s">
        <v>98</v>
      </c>
      <c r="O2236" s="12" t="s">
        <v>99</v>
      </c>
      <c r="P2236" s="12" t="s">
        <v>214</v>
      </c>
      <c r="Q2236" s="7" t="str">
        <f t="shared" si="103"/>
        <v>(1999,52,'2000.01.01',14,25,42,52,64,0),</v>
      </c>
      <c r="R2236" s="7" t="str">
        <f t="shared" si="105"/>
        <v>(1999,52,'2000.01.01',14,25,42,52,64),</v>
      </c>
    </row>
    <row r="2237" spans="1:18" x14ac:dyDescent="0.25">
      <c r="A2237" s="7" t="s">
        <v>1430</v>
      </c>
      <c r="B2237" s="8" t="s">
        <v>108</v>
      </c>
      <c r="C2237" s="10">
        <f t="shared" si="104"/>
        <v>36533</v>
      </c>
      <c r="D2237" t="s">
        <v>11</v>
      </c>
      <c r="E2237" t="s">
        <v>12</v>
      </c>
      <c r="F2237" t="s">
        <v>36</v>
      </c>
      <c r="G2237" t="s">
        <v>5362</v>
      </c>
      <c r="H2237" t="s">
        <v>5363</v>
      </c>
      <c r="I2237" t="s">
        <v>5364</v>
      </c>
      <c r="J2237" t="s">
        <v>5365</v>
      </c>
      <c r="K2237" t="s">
        <v>5300</v>
      </c>
      <c r="L2237" s="12" t="s">
        <v>33</v>
      </c>
      <c r="M2237" s="12" t="s">
        <v>107</v>
      </c>
      <c r="N2237" s="12" t="s">
        <v>46</v>
      </c>
      <c r="O2237" s="12" t="s">
        <v>123</v>
      </c>
      <c r="P2237" s="12" t="s">
        <v>125</v>
      </c>
      <c r="Q2237" s="7" t="str">
        <f t="shared" si="103"/>
        <v>(2000,1,'2000.01.08',24,30,37,54,83,0),</v>
      </c>
      <c r="R2237" s="7" t="str">
        <f t="shared" si="105"/>
        <v>(2000,1,'2000.01.08',24,30,37,54,83),</v>
      </c>
    </row>
    <row r="2238" spans="1:18" x14ac:dyDescent="0.25">
      <c r="A2238" s="7" t="s">
        <v>1430</v>
      </c>
      <c r="B2238" s="8" t="s">
        <v>207</v>
      </c>
      <c r="C2238" s="10">
        <f t="shared" si="104"/>
        <v>36540</v>
      </c>
      <c r="D2238" t="s">
        <v>108</v>
      </c>
      <c r="E2238" t="s">
        <v>5357</v>
      </c>
      <c r="F2238" t="s">
        <v>245</v>
      </c>
      <c r="G2238" t="s">
        <v>5358</v>
      </c>
      <c r="H2238" t="s">
        <v>5359</v>
      </c>
      <c r="I2238" t="s">
        <v>5360</v>
      </c>
      <c r="J2238" t="s">
        <v>2260</v>
      </c>
      <c r="K2238" t="s">
        <v>5361</v>
      </c>
      <c r="L2238" s="12" t="s">
        <v>90</v>
      </c>
      <c r="M2238" s="12" t="s">
        <v>44</v>
      </c>
      <c r="N2238" s="12" t="s">
        <v>80</v>
      </c>
      <c r="O2238" s="12" t="s">
        <v>248</v>
      </c>
      <c r="P2238" s="12" t="s">
        <v>239</v>
      </c>
      <c r="Q2238" s="7" t="str">
        <f t="shared" si="103"/>
        <v>(2000,2,'2000.01.15',17,21,32,63,73,0),</v>
      </c>
      <c r="R2238" s="7" t="str">
        <f t="shared" si="105"/>
        <v>(2000,2,'2000.01.15',17,21,32,63,73),</v>
      </c>
    </row>
    <row r="2239" spans="1:18" x14ac:dyDescent="0.25">
      <c r="A2239" s="7" t="s">
        <v>1430</v>
      </c>
      <c r="B2239" s="8" t="s">
        <v>42</v>
      </c>
      <c r="C2239" s="10">
        <f t="shared" si="104"/>
        <v>36547</v>
      </c>
      <c r="D2239" t="s">
        <v>11</v>
      </c>
      <c r="E2239" t="s">
        <v>12</v>
      </c>
      <c r="F2239" t="s">
        <v>36</v>
      </c>
      <c r="G2239" t="s">
        <v>5352</v>
      </c>
      <c r="H2239" t="s">
        <v>5353</v>
      </c>
      <c r="I2239" t="s">
        <v>5354</v>
      </c>
      <c r="J2239" t="s">
        <v>5355</v>
      </c>
      <c r="K2239" t="s">
        <v>5356</v>
      </c>
      <c r="L2239" s="12" t="s">
        <v>53</v>
      </c>
      <c r="M2239" s="12" t="s">
        <v>135</v>
      </c>
      <c r="N2239" s="12" t="s">
        <v>10</v>
      </c>
      <c r="O2239" s="12" t="s">
        <v>34</v>
      </c>
      <c r="P2239" s="12" t="s">
        <v>63</v>
      </c>
      <c r="Q2239" s="7" t="str">
        <f t="shared" si="103"/>
        <v>(2000,3,'2000.01.22',7,27,40,49,78,0),</v>
      </c>
      <c r="R2239" s="7" t="str">
        <f t="shared" si="105"/>
        <v>(2000,3,'2000.01.22',7,27,40,49,78),</v>
      </c>
    </row>
    <row r="2240" spans="1:18" x14ac:dyDescent="0.25">
      <c r="A2240" s="7" t="s">
        <v>1430</v>
      </c>
      <c r="B2240" s="8" t="s">
        <v>168</v>
      </c>
      <c r="C2240" s="10">
        <f t="shared" si="104"/>
        <v>36554</v>
      </c>
      <c r="D2240" t="s">
        <v>11</v>
      </c>
      <c r="E2240" t="s">
        <v>12</v>
      </c>
      <c r="F2240" t="s">
        <v>80</v>
      </c>
      <c r="G2240" t="s">
        <v>5349</v>
      </c>
      <c r="H2240" t="s">
        <v>352</v>
      </c>
      <c r="I2240" t="s">
        <v>547</v>
      </c>
      <c r="J2240" t="s">
        <v>5350</v>
      </c>
      <c r="K2240" t="s">
        <v>5351</v>
      </c>
      <c r="L2240" s="12" t="s">
        <v>43</v>
      </c>
      <c r="M2240" s="12" t="s">
        <v>116</v>
      </c>
      <c r="N2240" s="12" t="s">
        <v>199</v>
      </c>
      <c r="O2240" s="12" t="s">
        <v>150</v>
      </c>
      <c r="P2240" s="12" t="s">
        <v>301</v>
      </c>
      <c r="Q2240" s="7" t="str">
        <f t="shared" si="103"/>
        <v>(2000,4,'2000.01.29',16,29,53,57,80,0),</v>
      </c>
      <c r="R2240" s="7" t="str">
        <f t="shared" si="105"/>
        <v>(2000,4,'2000.01.29',16,29,53,57,80),</v>
      </c>
    </row>
    <row r="2241" spans="1:18" x14ac:dyDescent="0.25">
      <c r="A2241" s="7" t="s">
        <v>1430</v>
      </c>
      <c r="B2241" s="8" t="s">
        <v>89</v>
      </c>
      <c r="C2241" s="10">
        <f t="shared" si="104"/>
        <v>36561</v>
      </c>
      <c r="D2241" t="s">
        <v>11</v>
      </c>
      <c r="E2241" t="s">
        <v>12</v>
      </c>
      <c r="F2241" t="s">
        <v>10</v>
      </c>
      <c r="G2241" t="s">
        <v>5345</v>
      </c>
      <c r="H2241" t="s">
        <v>1640</v>
      </c>
      <c r="I2241" t="s">
        <v>5346</v>
      </c>
      <c r="J2241" t="s">
        <v>5347</v>
      </c>
      <c r="K2241" t="s">
        <v>5348</v>
      </c>
      <c r="L2241" s="12" t="s">
        <v>168</v>
      </c>
      <c r="M2241" s="12" t="s">
        <v>32</v>
      </c>
      <c r="N2241" s="12" t="s">
        <v>107</v>
      </c>
      <c r="O2241" s="12" t="s">
        <v>72</v>
      </c>
      <c r="P2241" s="12" t="s">
        <v>208</v>
      </c>
      <c r="Q2241" s="7" t="str">
        <f t="shared" si="103"/>
        <v>(2000,5,'2000.02.05',4,22,30,67,88,0),</v>
      </c>
      <c r="R2241" s="7" t="str">
        <f t="shared" si="105"/>
        <v>(2000,5,'2000.02.05',4,22,30,67,88),</v>
      </c>
    </row>
    <row r="2242" spans="1:18" x14ac:dyDescent="0.25">
      <c r="A2242" s="7" t="s">
        <v>1430</v>
      </c>
      <c r="B2242" s="8" t="s">
        <v>270</v>
      </c>
      <c r="C2242" s="10">
        <f t="shared" si="104"/>
        <v>36568</v>
      </c>
      <c r="D2242" t="s">
        <v>11</v>
      </c>
      <c r="E2242" t="s">
        <v>12</v>
      </c>
      <c r="F2242" t="s">
        <v>19</v>
      </c>
      <c r="G2242" t="s">
        <v>5341</v>
      </c>
      <c r="H2242" t="s">
        <v>5342</v>
      </c>
      <c r="I2242" t="s">
        <v>5343</v>
      </c>
      <c r="J2242" t="s">
        <v>5344</v>
      </c>
      <c r="K2242" t="s">
        <v>4591</v>
      </c>
      <c r="L2242" s="12" t="s">
        <v>232</v>
      </c>
      <c r="M2242" s="12" t="s">
        <v>62</v>
      </c>
      <c r="N2242" s="12" t="s">
        <v>200</v>
      </c>
      <c r="O2242" s="12" t="s">
        <v>73</v>
      </c>
      <c r="P2242" s="12" t="s">
        <v>468</v>
      </c>
      <c r="Q2242" s="7" t="str">
        <f t="shared" ref="Q2242:Q2305" si="106">"("&amp;A2242&amp;","&amp;B2242&amp;",'"&amp;TEXT(C2242,"éééé.hh.nn")&amp;"',"&amp;L2242&amp;","&amp;M2242&amp;","&amp;N2242&amp;","&amp;O2242&amp;","&amp;P2242&amp;",0)"&amp;IF(P2243&lt;&gt;0,",","")</f>
        <v>(2000,6,'2000.02.12',8,10,70,76,85,0),</v>
      </c>
      <c r="R2242" s="7" t="str">
        <f t="shared" si="105"/>
        <v>(2000,6,'2000.02.12',8,10,70,76,85),</v>
      </c>
    </row>
    <row r="2243" spans="1:18" x14ac:dyDescent="0.25">
      <c r="A2243" s="7" t="s">
        <v>1430</v>
      </c>
      <c r="B2243" s="8" t="s">
        <v>53</v>
      </c>
      <c r="C2243" s="10">
        <f t="shared" ref="C2243:C2306" si="107">+C2242+7</f>
        <v>36575</v>
      </c>
      <c r="D2243" t="s">
        <v>11</v>
      </c>
      <c r="E2243" t="s">
        <v>12</v>
      </c>
      <c r="F2243" t="s">
        <v>123</v>
      </c>
      <c r="G2243" t="s">
        <v>5336</v>
      </c>
      <c r="H2243" t="s">
        <v>5337</v>
      </c>
      <c r="I2243" t="s">
        <v>5338</v>
      </c>
      <c r="J2243" t="s">
        <v>5339</v>
      </c>
      <c r="K2243" t="s">
        <v>5340</v>
      </c>
      <c r="L2243" s="12" t="s">
        <v>108</v>
      </c>
      <c r="M2243" s="12" t="s">
        <v>89</v>
      </c>
      <c r="N2243" s="12" t="s">
        <v>25</v>
      </c>
      <c r="O2243" s="12" t="s">
        <v>233</v>
      </c>
      <c r="P2243" s="12" t="s">
        <v>201</v>
      </c>
      <c r="Q2243" s="7" t="str">
        <f t="shared" si="106"/>
        <v>(2000,7,'2000.02.19',1,5,34,66,72,0),</v>
      </c>
      <c r="R2243" s="7" t="str">
        <f t="shared" ref="R2243:R2306" si="108">IF(TRIM(P2243)="","","("&amp;A2243&amp;","&amp;B2243&amp;",'"&amp;TEXT(C2243,"éééé.hh.nn")&amp;"',"&amp;L2243&amp;","&amp;M2243&amp;","&amp;N2243&amp;","&amp;O2243&amp;","&amp;P2243&amp;")"&amp;IF(P2244=0,";",","))</f>
        <v>(2000,7,'2000.02.19',1,5,34,66,72),</v>
      </c>
    </row>
    <row r="2244" spans="1:18" x14ac:dyDescent="0.25">
      <c r="A2244" s="7" t="s">
        <v>1430</v>
      </c>
      <c r="B2244" s="8" t="s">
        <v>232</v>
      </c>
      <c r="C2244" s="10">
        <f t="shared" si="107"/>
        <v>36582</v>
      </c>
      <c r="D2244" t="s">
        <v>108</v>
      </c>
      <c r="E2244" t="s">
        <v>5331</v>
      </c>
      <c r="F2244" t="s">
        <v>152</v>
      </c>
      <c r="G2244" t="s">
        <v>5332</v>
      </c>
      <c r="H2244" t="s">
        <v>5333</v>
      </c>
      <c r="I2244" t="s">
        <v>5334</v>
      </c>
      <c r="J2244" t="s">
        <v>5335</v>
      </c>
      <c r="K2244" t="s">
        <v>5256</v>
      </c>
      <c r="L2244" s="12" t="s">
        <v>83</v>
      </c>
      <c r="M2244" s="12" t="s">
        <v>43</v>
      </c>
      <c r="N2244" s="12" t="s">
        <v>25</v>
      </c>
      <c r="O2244" s="12" t="s">
        <v>98</v>
      </c>
      <c r="P2244" s="12" t="s">
        <v>82</v>
      </c>
      <c r="Q2244" s="7" t="str">
        <f t="shared" si="106"/>
        <v>(2000,8,'2000.02.26',11,16,34,42,59,0),</v>
      </c>
      <c r="R2244" s="7" t="str">
        <f t="shared" si="108"/>
        <v>(2000,8,'2000.02.26',11,16,34,42,59),</v>
      </c>
    </row>
    <row r="2245" spans="1:18" x14ac:dyDescent="0.25">
      <c r="A2245" s="7" t="s">
        <v>1430</v>
      </c>
      <c r="B2245" s="8" t="s">
        <v>198</v>
      </c>
      <c r="C2245" s="10">
        <f t="shared" si="107"/>
        <v>36589</v>
      </c>
      <c r="D2245" t="s">
        <v>11</v>
      </c>
      <c r="E2245" t="s">
        <v>12</v>
      </c>
      <c r="F2245" t="s">
        <v>1961</v>
      </c>
      <c r="G2245" t="s">
        <v>5326</v>
      </c>
      <c r="H2245" t="s">
        <v>5327</v>
      </c>
      <c r="I2245" t="s">
        <v>5328</v>
      </c>
      <c r="J2245" t="s">
        <v>5329</v>
      </c>
      <c r="K2245" t="s">
        <v>5330</v>
      </c>
      <c r="L2245" s="12" t="s">
        <v>168</v>
      </c>
      <c r="M2245" s="12" t="s">
        <v>83</v>
      </c>
      <c r="N2245" s="12" t="s">
        <v>71</v>
      </c>
      <c r="O2245" s="12" t="s">
        <v>46</v>
      </c>
      <c r="P2245" s="12" t="s">
        <v>214</v>
      </c>
      <c r="Q2245" s="7" t="str">
        <f t="shared" si="106"/>
        <v>(2000,9,'2000.03.04',4,11,31,37,64,0),</v>
      </c>
      <c r="R2245" s="7" t="str">
        <f t="shared" si="108"/>
        <v>(2000,9,'2000.03.04',4,11,31,37,64),</v>
      </c>
    </row>
    <row r="2246" spans="1:18" x14ac:dyDescent="0.25">
      <c r="A2246" s="7" t="s">
        <v>1430</v>
      </c>
      <c r="B2246" s="8" t="s">
        <v>62</v>
      </c>
      <c r="C2246" s="10">
        <f t="shared" si="107"/>
        <v>36596</v>
      </c>
      <c r="D2246" t="s">
        <v>11</v>
      </c>
      <c r="E2246" t="s">
        <v>12</v>
      </c>
      <c r="F2246" t="s">
        <v>135</v>
      </c>
      <c r="G2246" t="s">
        <v>5322</v>
      </c>
      <c r="H2246" t="s">
        <v>5323</v>
      </c>
      <c r="I2246" t="s">
        <v>5324</v>
      </c>
      <c r="J2246" t="s">
        <v>5325</v>
      </c>
      <c r="K2246" t="s">
        <v>4102</v>
      </c>
      <c r="L2246" s="12" t="s">
        <v>127</v>
      </c>
      <c r="M2246" s="12" t="s">
        <v>43</v>
      </c>
      <c r="N2246" s="12" t="s">
        <v>20</v>
      </c>
      <c r="O2246" s="12" t="s">
        <v>63</v>
      </c>
      <c r="P2246" s="12" t="s">
        <v>125</v>
      </c>
      <c r="Q2246" s="7" t="str">
        <f t="shared" si="106"/>
        <v>(2000,10,'2000.03.11',14,16,33,78,83,0),</v>
      </c>
      <c r="R2246" s="7" t="str">
        <f t="shared" si="108"/>
        <v>(2000,10,'2000.03.11',14,16,33,78,83),</v>
      </c>
    </row>
    <row r="2247" spans="1:18" x14ac:dyDescent="0.25">
      <c r="A2247" s="7" t="s">
        <v>1430</v>
      </c>
      <c r="B2247" s="8" t="s">
        <v>83</v>
      </c>
      <c r="C2247" s="10">
        <f t="shared" si="107"/>
        <v>36603</v>
      </c>
      <c r="D2247" t="s">
        <v>11</v>
      </c>
      <c r="E2247" t="s">
        <v>12</v>
      </c>
      <c r="F2247" t="s">
        <v>200</v>
      </c>
      <c r="G2247" t="s">
        <v>5317</v>
      </c>
      <c r="H2247" t="s">
        <v>5318</v>
      </c>
      <c r="I2247" t="s">
        <v>5319</v>
      </c>
      <c r="J2247" t="s">
        <v>5320</v>
      </c>
      <c r="K2247" t="s">
        <v>5321</v>
      </c>
      <c r="L2247" s="12" t="s">
        <v>62</v>
      </c>
      <c r="M2247" s="12" t="s">
        <v>55</v>
      </c>
      <c r="N2247" s="12" t="s">
        <v>150</v>
      </c>
      <c r="O2247" s="12" t="s">
        <v>214</v>
      </c>
      <c r="P2247" s="12" t="s">
        <v>215</v>
      </c>
      <c r="Q2247" s="7" t="str">
        <f t="shared" si="106"/>
        <v>(2000,11,'2000.03.18',10,19,57,64,81,0),</v>
      </c>
      <c r="R2247" s="7" t="str">
        <f t="shared" si="108"/>
        <v>(2000,11,'2000.03.18',10,19,57,64,81),</v>
      </c>
    </row>
    <row r="2248" spans="1:18" x14ac:dyDescent="0.25">
      <c r="A2248" s="7" t="s">
        <v>1430</v>
      </c>
      <c r="B2248" s="8" t="s">
        <v>31</v>
      </c>
      <c r="C2248" s="10">
        <f t="shared" si="107"/>
        <v>36610</v>
      </c>
      <c r="D2248" t="s">
        <v>11</v>
      </c>
      <c r="E2248" t="s">
        <v>12</v>
      </c>
      <c r="F2248" t="s">
        <v>19</v>
      </c>
      <c r="G2248" t="s">
        <v>5312</v>
      </c>
      <c r="H2248" t="s">
        <v>5313</v>
      </c>
      <c r="I2248" t="s">
        <v>5314</v>
      </c>
      <c r="J2248" t="s">
        <v>5315</v>
      </c>
      <c r="K2248" t="s">
        <v>5316</v>
      </c>
      <c r="L2248" s="12" t="s">
        <v>55</v>
      </c>
      <c r="M2248" s="12" t="s">
        <v>150</v>
      </c>
      <c r="N2248" s="12" t="s">
        <v>82</v>
      </c>
      <c r="O2248" s="12" t="s">
        <v>239</v>
      </c>
      <c r="P2248" s="12" t="s">
        <v>245</v>
      </c>
      <c r="Q2248" s="7" t="str">
        <f t="shared" si="106"/>
        <v>(2000,12,'2000.03.25',19,57,59,73,74,0),</v>
      </c>
      <c r="R2248" s="7" t="str">
        <f t="shared" si="108"/>
        <v>(2000,12,'2000.03.25',19,57,59,73,74),</v>
      </c>
    </row>
    <row r="2249" spans="1:18" x14ac:dyDescent="0.25">
      <c r="A2249" s="7" t="s">
        <v>1430</v>
      </c>
      <c r="B2249" s="8" t="s">
        <v>65</v>
      </c>
      <c r="C2249" s="10">
        <f t="shared" si="107"/>
        <v>36617</v>
      </c>
      <c r="D2249" t="s">
        <v>11</v>
      </c>
      <c r="E2249" t="s">
        <v>12</v>
      </c>
      <c r="F2249" t="s">
        <v>32</v>
      </c>
      <c r="G2249" t="s">
        <v>5309</v>
      </c>
      <c r="H2249" t="s">
        <v>15</v>
      </c>
      <c r="I2249" t="s">
        <v>5310</v>
      </c>
      <c r="J2249" t="s">
        <v>5311</v>
      </c>
      <c r="K2249" t="s">
        <v>4719</v>
      </c>
      <c r="L2249" s="12" t="s">
        <v>168</v>
      </c>
      <c r="M2249" s="12" t="s">
        <v>107</v>
      </c>
      <c r="N2249" s="12" t="s">
        <v>81</v>
      </c>
      <c r="O2249" s="12" t="s">
        <v>72</v>
      </c>
      <c r="P2249" s="12" t="s">
        <v>215</v>
      </c>
      <c r="Q2249" s="7" t="str">
        <f t="shared" si="106"/>
        <v>(2000,13,'2000.04.01',4,30,47,67,81,0),</v>
      </c>
      <c r="R2249" s="7" t="str">
        <f t="shared" si="108"/>
        <v>(2000,13,'2000.04.01',4,30,47,67,81),</v>
      </c>
    </row>
    <row r="2250" spans="1:18" x14ac:dyDescent="0.25">
      <c r="A2250" s="7" t="s">
        <v>1430</v>
      </c>
      <c r="B2250" s="8" t="s">
        <v>127</v>
      </c>
      <c r="C2250" s="10">
        <f t="shared" si="107"/>
        <v>36624</v>
      </c>
      <c r="D2250" t="s">
        <v>11</v>
      </c>
      <c r="E2250" t="s">
        <v>12</v>
      </c>
      <c r="F2250" t="s">
        <v>71</v>
      </c>
      <c r="G2250" t="s">
        <v>5306</v>
      </c>
      <c r="H2250" t="s">
        <v>3268</v>
      </c>
      <c r="I2250" t="s">
        <v>5307</v>
      </c>
      <c r="J2250" t="s">
        <v>5308</v>
      </c>
      <c r="K2250" t="s">
        <v>5287</v>
      </c>
      <c r="L2250" s="12" t="s">
        <v>54</v>
      </c>
      <c r="M2250" s="12" t="s">
        <v>116</v>
      </c>
      <c r="N2250" s="12" t="s">
        <v>46</v>
      </c>
      <c r="O2250" s="12" t="s">
        <v>24</v>
      </c>
      <c r="P2250" s="12" t="s">
        <v>175</v>
      </c>
      <c r="Q2250" s="7" t="str">
        <f t="shared" si="106"/>
        <v>(2000,14,'2000.04.08',15,29,37,39,55,0),</v>
      </c>
      <c r="R2250" s="7" t="str">
        <f t="shared" si="108"/>
        <v>(2000,14,'2000.04.08',15,29,37,39,55),</v>
      </c>
    </row>
    <row r="2251" spans="1:18" x14ac:dyDescent="0.25">
      <c r="A2251" s="7" t="s">
        <v>1430</v>
      </c>
      <c r="B2251" s="8" t="s">
        <v>54</v>
      </c>
      <c r="C2251" s="10">
        <f t="shared" si="107"/>
        <v>36631</v>
      </c>
      <c r="D2251" t="s">
        <v>11</v>
      </c>
      <c r="E2251" t="s">
        <v>12</v>
      </c>
      <c r="F2251" t="s">
        <v>10</v>
      </c>
      <c r="G2251" t="s">
        <v>5301</v>
      </c>
      <c r="H2251" t="s">
        <v>5302</v>
      </c>
      <c r="I2251" t="s">
        <v>5303</v>
      </c>
      <c r="J2251" t="s">
        <v>5304</v>
      </c>
      <c r="K2251" t="s">
        <v>5305</v>
      </c>
      <c r="L2251" s="12" t="s">
        <v>89</v>
      </c>
      <c r="M2251" s="12" t="s">
        <v>83</v>
      </c>
      <c r="N2251" s="12" t="s">
        <v>81</v>
      </c>
      <c r="O2251" s="12" t="s">
        <v>22</v>
      </c>
      <c r="P2251" s="12" t="s">
        <v>143</v>
      </c>
      <c r="Q2251" s="7" t="str">
        <f t="shared" si="106"/>
        <v>(2000,15,'2000.04.15',5,11,47,48,77,0),</v>
      </c>
      <c r="R2251" s="7" t="str">
        <f t="shared" si="108"/>
        <v>(2000,15,'2000.04.15',5,11,47,48,77),</v>
      </c>
    </row>
    <row r="2252" spans="1:18" x14ac:dyDescent="0.25">
      <c r="A2252" s="7" t="s">
        <v>1430</v>
      </c>
      <c r="B2252" s="8" t="s">
        <v>43</v>
      </c>
      <c r="C2252" s="10">
        <f t="shared" si="107"/>
        <v>36638</v>
      </c>
      <c r="D2252" t="s">
        <v>11</v>
      </c>
      <c r="E2252" t="s">
        <v>12</v>
      </c>
      <c r="F2252" t="s">
        <v>10</v>
      </c>
      <c r="G2252" t="s">
        <v>5297</v>
      </c>
      <c r="H2252" t="s">
        <v>260</v>
      </c>
      <c r="I2252" t="s">
        <v>5298</v>
      </c>
      <c r="J2252" t="s">
        <v>5299</v>
      </c>
      <c r="K2252" t="s">
        <v>5300</v>
      </c>
      <c r="L2252" s="12" t="s">
        <v>152</v>
      </c>
      <c r="M2252" s="12" t="s">
        <v>98</v>
      </c>
      <c r="N2252" s="12" t="s">
        <v>22</v>
      </c>
      <c r="O2252" s="12" t="s">
        <v>99</v>
      </c>
      <c r="P2252" s="12" t="s">
        <v>186</v>
      </c>
      <c r="Q2252" s="7" t="str">
        <f t="shared" si="106"/>
        <v>(2000,16,'2000.04.22',25,42,48,52,90,0),</v>
      </c>
      <c r="R2252" s="7" t="str">
        <f t="shared" si="108"/>
        <v>(2000,16,'2000.04.22',25,42,48,52,90),</v>
      </c>
    </row>
    <row r="2253" spans="1:18" x14ac:dyDescent="0.25">
      <c r="A2253" s="7" t="s">
        <v>1430</v>
      </c>
      <c r="B2253" s="8" t="s">
        <v>90</v>
      </c>
      <c r="C2253" s="10">
        <f t="shared" si="107"/>
        <v>36645</v>
      </c>
      <c r="D2253" t="s">
        <v>11</v>
      </c>
      <c r="E2253" t="s">
        <v>12</v>
      </c>
      <c r="F2253" t="s">
        <v>64</v>
      </c>
      <c r="G2253" t="s">
        <v>5292</v>
      </c>
      <c r="H2253" t="s">
        <v>5293</v>
      </c>
      <c r="I2253" t="s">
        <v>5294</v>
      </c>
      <c r="J2253" t="s">
        <v>5295</v>
      </c>
      <c r="K2253" t="s">
        <v>5296</v>
      </c>
      <c r="L2253" s="12" t="s">
        <v>115</v>
      </c>
      <c r="M2253" s="12" t="s">
        <v>163</v>
      </c>
      <c r="N2253" s="12" t="s">
        <v>122</v>
      </c>
      <c r="O2253" s="12" t="s">
        <v>82</v>
      </c>
      <c r="P2253" s="12" t="s">
        <v>214</v>
      </c>
      <c r="Q2253" s="7" t="str">
        <f t="shared" si="106"/>
        <v>(2000,17,'2000.04.29',20,23,51,59,64,0),</v>
      </c>
      <c r="R2253" s="7" t="str">
        <f t="shared" si="108"/>
        <v>(2000,17,'2000.04.29',20,23,51,59,64),</v>
      </c>
    </row>
    <row r="2254" spans="1:18" x14ac:dyDescent="0.25">
      <c r="A2254" s="7" t="s">
        <v>1430</v>
      </c>
      <c r="B2254" s="8" t="s">
        <v>19</v>
      </c>
      <c r="C2254" s="10">
        <f t="shared" si="107"/>
        <v>36652</v>
      </c>
      <c r="D2254" t="s">
        <v>11</v>
      </c>
      <c r="E2254" t="s">
        <v>12</v>
      </c>
      <c r="F2254" t="s">
        <v>65</v>
      </c>
      <c r="G2254" t="s">
        <v>5288</v>
      </c>
      <c r="H2254" t="s">
        <v>5289</v>
      </c>
      <c r="I2254" t="s">
        <v>5290</v>
      </c>
      <c r="J2254" t="s">
        <v>5291</v>
      </c>
      <c r="K2254" t="s">
        <v>5210</v>
      </c>
      <c r="L2254" s="12" t="s">
        <v>108</v>
      </c>
      <c r="M2254" s="12" t="s">
        <v>81</v>
      </c>
      <c r="N2254" s="12" t="s">
        <v>169</v>
      </c>
      <c r="O2254" s="12" t="s">
        <v>308</v>
      </c>
      <c r="P2254" s="12" t="s">
        <v>186</v>
      </c>
      <c r="Q2254" s="7" t="str">
        <f t="shared" si="106"/>
        <v>(2000,18,'2000.05.06',1,47,58,86,90,0),</v>
      </c>
      <c r="R2254" s="7" t="str">
        <f t="shared" si="108"/>
        <v>(2000,18,'2000.05.06',1,47,58,86,90),</v>
      </c>
    </row>
    <row r="2255" spans="1:18" x14ac:dyDescent="0.25">
      <c r="A2255" s="7" t="s">
        <v>1430</v>
      </c>
      <c r="B2255" s="8" t="s">
        <v>55</v>
      </c>
      <c r="C2255" s="10">
        <f t="shared" si="107"/>
        <v>36659</v>
      </c>
      <c r="D2255" t="s">
        <v>108</v>
      </c>
      <c r="E2255" t="s">
        <v>5282</v>
      </c>
      <c r="F2255" t="s">
        <v>64</v>
      </c>
      <c r="G2255" t="s">
        <v>5283</v>
      </c>
      <c r="H2255" t="s">
        <v>5284</v>
      </c>
      <c r="I2255" t="s">
        <v>5285</v>
      </c>
      <c r="J2255" t="s">
        <v>5286</v>
      </c>
      <c r="K2255" t="s">
        <v>5287</v>
      </c>
      <c r="L2255" s="12" t="s">
        <v>65</v>
      </c>
      <c r="M2255" s="12" t="s">
        <v>71</v>
      </c>
      <c r="N2255" s="12" t="s">
        <v>45</v>
      </c>
      <c r="O2255" s="12" t="s">
        <v>199</v>
      </c>
      <c r="P2255" s="12" t="s">
        <v>23</v>
      </c>
      <c r="Q2255" s="7" t="str">
        <f t="shared" si="106"/>
        <v>(2000,19,'2000.05.13',13,31,43,53,60,0),</v>
      </c>
      <c r="R2255" s="7" t="str">
        <f t="shared" si="108"/>
        <v>(2000,19,'2000.05.13',13,31,43,53,60),</v>
      </c>
    </row>
    <row r="2256" spans="1:18" x14ac:dyDescent="0.25">
      <c r="A2256" s="7" t="s">
        <v>1430</v>
      </c>
      <c r="B2256" s="8" t="s">
        <v>115</v>
      </c>
      <c r="C2256" s="10">
        <f t="shared" si="107"/>
        <v>36666</v>
      </c>
      <c r="D2256" t="s">
        <v>108</v>
      </c>
      <c r="E2256" t="s">
        <v>5277</v>
      </c>
      <c r="F2256" t="s">
        <v>43</v>
      </c>
      <c r="G2256" t="s">
        <v>5278</v>
      </c>
      <c r="H2256" t="s">
        <v>3138</v>
      </c>
      <c r="I2256" t="s">
        <v>5279</v>
      </c>
      <c r="J2256" t="s">
        <v>5280</v>
      </c>
      <c r="K2256" t="s">
        <v>5281</v>
      </c>
      <c r="L2256" s="12" t="s">
        <v>54</v>
      </c>
      <c r="M2256" s="12" t="s">
        <v>22</v>
      </c>
      <c r="N2256" s="12" t="s">
        <v>35</v>
      </c>
      <c r="O2256" s="12" t="s">
        <v>72</v>
      </c>
      <c r="P2256" s="12" t="s">
        <v>215</v>
      </c>
      <c r="Q2256" s="7" t="str">
        <f t="shared" si="106"/>
        <v>(2000,20,'2000.05.20',15,48,65,67,81,0),</v>
      </c>
      <c r="R2256" s="7" t="str">
        <f t="shared" si="108"/>
        <v>(2000,20,'2000.05.20',15,48,65,67,81),</v>
      </c>
    </row>
    <row r="2257" spans="1:18" x14ac:dyDescent="0.25">
      <c r="A2257" s="7" t="s">
        <v>1430</v>
      </c>
      <c r="B2257" s="8" t="s">
        <v>44</v>
      </c>
      <c r="C2257" s="10">
        <f t="shared" si="107"/>
        <v>36673</v>
      </c>
      <c r="D2257" t="s">
        <v>108</v>
      </c>
      <c r="E2257" t="s">
        <v>5273</v>
      </c>
      <c r="F2257" t="s">
        <v>34</v>
      </c>
      <c r="G2257" t="s">
        <v>5274</v>
      </c>
      <c r="H2257" t="s">
        <v>2785</v>
      </c>
      <c r="I2257" t="s">
        <v>5164</v>
      </c>
      <c r="J2257" t="s">
        <v>5275</v>
      </c>
      <c r="K2257" t="s">
        <v>5276</v>
      </c>
      <c r="L2257" s="12" t="s">
        <v>89</v>
      </c>
      <c r="M2257" s="12" t="s">
        <v>43</v>
      </c>
      <c r="N2257" s="12" t="s">
        <v>74</v>
      </c>
      <c r="O2257" s="12" t="s">
        <v>105</v>
      </c>
      <c r="P2257" s="12" t="s">
        <v>239</v>
      </c>
      <c r="Q2257" s="7" t="str">
        <f t="shared" si="106"/>
        <v>(2000,21,'2000.05.27',5,16,26,50,73,0),</v>
      </c>
      <c r="R2257" s="7" t="str">
        <f t="shared" si="108"/>
        <v>(2000,21,'2000.05.27',5,16,26,50,73),</v>
      </c>
    </row>
    <row r="2258" spans="1:18" x14ac:dyDescent="0.25">
      <c r="A2258" s="7" t="s">
        <v>1430</v>
      </c>
      <c r="B2258" s="8" t="s">
        <v>32</v>
      </c>
      <c r="C2258" s="10">
        <f t="shared" si="107"/>
        <v>36680</v>
      </c>
      <c r="D2258" t="s">
        <v>11</v>
      </c>
      <c r="E2258" t="s">
        <v>12</v>
      </c>
      <c r="F2258" t="s">
        <v>64</v>
      </c>
      <c r="G2258" t="s">
        <v>5269</v>
      </c>
      <c r="H2258" t="s">
        <v>5270</v>
      </c>
      <c r="I2258" t="s">
        <v>5271</v>
      </c>
      <c r="J2258" t="s">
        <v>5272</v>
      </c>
      <c r="K2258" t="s">
        <v>5251</v>
      </c>
      <c r="L2258" s="12" t="s">
        <v>43</v>
      </c>
      <c r="M2258" s="12" t="s">
        <v>19</v>
      </c>
      <c r="N2258" s="12" t="s">
        <v>105</v>
      </c>
      <c r="O2258" s="12" t="s">
        <v>47</v>
      </c>
      <c r="P2258" s="12" t="s">
        <v>208</v>
      </c>
      <c r="Q2258" s="7" t="str">
        <f t="shared" si="106"/>
        <v>(2000,22,'2000.06.03',16,18,50,69,88,0),</v>
      </c>
      <c r="R2258" s="7" t="str">
        <f t="shared" si="108"/>
        <v>(2000,22,'2000.06.03',16,18,50,69,88),</v>
      </c>
    </row>
    <row r="2259" spans="1:18" x14ac:dyDescent="0.25">
      <c r="A2259" s="7" t="s">
        <v>1430</v>
      </c>
      <c r="B2259" s="8" t="s">
        <v>163</v>
      </c>
      <c r="C2259" s="10">
        <f t="shared" si="107"/>
        <v>36687</v>
      </c>
      <c r="D2259" t="s">
        <v>11</v>
      </c>
      <c r="E2259" t="s">
        <v>12</v>
      </c>
      <c r="F2259" t="s">
        <v>115</v>
      </c>
      <c r="G2259" t="s">
        <v>5266</v>
      </c>
      <c r="H2259" t="s">
        <v>4171</v>
      </c>
      <c r="I2259" t="s">
        <v>5267</v>
      </c>
      <c r="J2259" t="s">
        <v>5268</v>
      </c>
      <c r="K2259" t="s">
        <v>4756</v>
      </c>
      <c r="L2259" s="12" t="s">
        <v>19</v>
      </c>
      <c r="M2259" s="12" t="s">
        <v>36</v>
      </c>
      <c r="N2259" s="12" t="s">
        <v>133</v>
      </c>
      <c r="O2259" s="12" t="s">
        <v>169</v>
      </c>
      <c r="P2259" s="12" t="s">
        <v>301</v>
      </c>
      <c r="Q2259" s="7" t="str">
        <f t="shared" si="106"/>
        <v>(2000,23,'2000.06.10',18,38,45,58,80,0),</v>
      </c>
      <c r="R2259" s="7" t="str">
        <f t="shared" si="108"/>
        <v>(2000,23,'2000.06.10',18,38,45,58,80),</v>
      </c>
    </row>
    <row r="2260" spans="1:18" x14ac:dyDescent="0.25">
      <c r="A2260" s="7" t="s">
        <v>1430</v>
      </c>
      <c r="B2260" s="8" t="s">
        <v>33</v>
      </c>
      <c r="C2260" s="10">
        <f t="shared" si="107"/>
        <v>36694</v>
      </c>
      <c r="D2260" t="s">
        <v>11</v>
      </c>
      <c r="E2260" t="s">
        <v>12</v>
      </c>
      <c r="F2260" t="s">
        <v>152</v>
      </c>
      <c r="G2260" t="s">
        <v>5262</v>
      </c>
      <c r="H2260" t="s">
        <v>4286</v>
      </c>
      <c r="I2260" t="s">
        <v>5263</v>
      </c>
      <c r="J2260" t="s">
        <v>5264</v>
      </c>
      <c r="K2260" t="s">
        <v>5265</v>
      </c>
      <c r="L2260" s="12" t="s">
        <v>53</v>
      </c>
      <c r="M2260" s="12" t="s">
        <v>163</v>
      </c>
      <c r="N2260" s="12" t="s">
        <v>135</v>
      </c>
      <c r="O2260" s="12" t="s">
        <v>64</v>
      </c>
      <c r="P2260" s="12" t="s">
        <v>91</v>
      </c>
      <c r="Q2260" s="7" t="str">
        <f t="shared" si="106"/>
        <v>(2000,24,'2000.06.17',7,23,27,35,61,0),</v>
      </c>
      <c r="R2260" s="7" t="str">
        <f t="shared" si="108"/>
        <v>(2000,24,'2000.06.17',7,23,27,35,61),</v>
      </c>
    </row>
    <row r="2261" spans="1:18" x14ac:dyDescent="0.25">
      <c r="A2261" s="7" t="s">
        <v>1430</v>
      </c>
      <c r="B2261" s="8" t="s">
        <v>152</v>
      </c>
      <c r="C2261" s="10">
        <f t="shared" si="107"/>
        <v>36701</v>
      </c>
      <c r="D2261" t="s">
        <v>11</v>
      </c>
      <c r="E2261" t="s">
        <v>12</v>
      </c>
      <c r="F2261" t="s">
        <v>115</v>
      </c>
      <c r="G2261" t="s">
        <v>5257</v>
      </c>
      <c r="H2261" t="s">
        <v>5258</v>
      </c>
      <c r="I2261" t="s">
        <v>5259</v>
      </c>
      <c r="J2261" t="s">
        <v>5260</v>
      </c>
      <c r="K2261" t="s">
        <v>5261</v>
      </c>
      <c r="L2261" s="12" t="s">
        <v>65</v>
      </c>
      <c r="M2261" s="12" t="s">
        <v>90</v>
      </c>
      <c r="N2261" s="12" t="s">
        <v>115</v>
      </c>
      <c r="O2261" s="12" t="s">
        <v>622</v>
      </c>
      <c r="P2261" s="12" t="s">
        <v>308</v>
      </c>
      <c r="Q2261" s="7" t="str">
        <f t="shared" si="106"/>
        <v>(2000,25,'2000.06.24',13,17,20,82,86,0),</v>
      </c>
      <c r="R2261" s="7" t="str">
        <f t="shared" si="108"/>
        <v>(2000,25,'2000.06.24',13,17,20,82,86),</v>
      </c>
    </row>
    <row r="2262" spans="1:18" x14ac:dyDescent="0.25">
      <c r="A2262" s="7" t="s">
        <v>1430</v>
      </c>
      <c r="B2262" s="8" t="s">
        <v>74</v>
      </c>
      <c r="C2262" s="10">
        <f t="shared" si="107"/>
        <v>36708</v>
      </c>
      <c r="D2262" t="s">
        <v>11</v>
      </c>
      <c r="E2262" t="s">
        <v>12</v>
      </c>
      <c r="F2262" t="s">
        <v>163</v>
      </c>
      <c r="G2262" t="s">
        <v>5252</v>
      </c>
      <c r="H2262" t="s">
        <v>5253</v>
      </c>
      <c r="I2262" t="s">
        <v>5254</v>
      </c>
      <c r="J2262" t="s">
        <v>5255</v>
      </c>
      <c r="K2262" t="s">
        <v>5256</v>
      </c>
      <c r="L2262" s="12" t="s">
        <v>19</v>
      </c>
      <c r="M2262" s="12" t="s">
        <v>81</v>
      </c>
      <c r="N2262" s="12" t="s">
        <v>34</v>
      </c>
      <c r="O2262" s="12" t="s">
        <v>175</v>
      </c>
      <c r="P2262" s="12" t="s">
        <v>23</v>
      </c>
      <c r="Q2262" s="7" t="str">
        <f t="shared" si="106"/>
        <v>(2000,26,'2000.07.01',18,47,49,55,60,0),</v>
      </c>
      <c r="R2262" s="7" t="str">
        <f t="shared" si="108"/>
        <v>(2000,26,'2000.07.01',18,47,49,55,60),</v>
      </c>
    </row>
    <row r="2263" spans="1:18" x14ac:dyDescent="0.25">
      <c r="A2263" s="7" t="s">
        <v>1430</v>
      </c>
      <c r="B2263" s="8" t="s">
        <v>135</v>
      </c>
      <c r="C2263" s="10">
        <f t="shared" si="107"/>
        <v>36715</v>
      </c>
      <c r="D2263" t="s">
        <v>11</v>
      </c>
      <c r="E2263" t="s">
        <v>12</v>
      </c>
      <c r="F2263" t="s">
        <v>44</v>
      </c>
      <c r="G2263" t="s">
        <v>5247</v>
      </c>
      <c r="H2263" t="s">
        <v>5248</v>
      </c>
      <c r="I2263" t="s">
        <v>5249</v>
      </c>
      <c r="J2263" t="s">
        <v>5250</v>
      </c>
      <c r="K2263" t="s">
        <v>5251</v>
      </c>
      <c r="L2263" s="12" t="s">
        <v>126</v>
      </c>
      <c r="M2263" s="12" t="s">
        <v>25</v>
      </c>
      <c r="N2263" s="12" t="s">
        <v>24</v>
      </c>
      <c r="O2263" s="12" t="s">
        <v>10</v>
      </c>
      <c r="P2263" s="12" t="s">
        <v>215</v>
      </c>
      <c r="Q2263" s="7" t="str">
        <f t="shared" si="106"/>
        <v>(2000,27,'2000.07.08',28,34,39,40,81,0),</v>
      </c>
      <c r="R2263" s="7" t="str">
        <f t="shared" si="108"/>
        <v>(2000,27,'2000.07.08',28,34,39,40,81),</v>
      </c>
    </row>
    <row r="2264" spans="1:18" x14ac:dyDescent="0.25">
      <c r="A2264" s="7" t="s">
        <v>1430</v>
      </c>
      <c r="B2264" s="8" t="s">
        <v>126</v>
      </c>
      <c r="C2264" s="10">
        <f t="shared" si="107"/>
        <v>36722</v>
      </c>
      <c r="D2264" t="s">
        <v>11</v>
      </c>
      <c r="E2264" t="s">
        <v>12</v>
      </c>
      <c r="F2264" t="s">
        <v>115</v>
      </c>
      <c r="G2264" t="s">
        <v>5243</v>
      </c>
      <c r="H2264" t="s">
        <v>3595</v>
      </c>
      <c r="I2264" t="s">
        <v>5244</v>
      </c>
      <c r="J2264" t="s">
        <v>5245</v>
      </c>
      <c r="K2264" t="s">
        <v>5246</v>
      </c>
      <c r="L2264" s="12" t="s">
        <v>90</v>
      </c>
      <c r="M2264" s="12" t="s">
        <v>116</v>
      </c>
      <c r="N2264" s="12" t="s">
        <v>214</v>
      </c>
      <c r="O2264" s="12" t="s">
        <v>200</v>
      </c>
      <c r="P2264" s="12" t="s">
        <v>622</v>
      </c>
      <c r="Q2264" s="7" t="str">
        <f t="shared" si="106"/>
        <v>(2000,28,'2000.07.15',17,29,64,70,82,0),</v>
      </c>
      <c r="R2264" s="7" t="str">
        <f t="shared" si="108"/>
        <v>(2000,28,'2000.07.15',17,29,64,70,82),</v>
      </c>
    </row>
    <row r="2265" spans="1:18" x14ac:dyDescent="0.25">
      <c r="A2265" s="7" t="s">
        <v>1430</v>
      </c>
      <c r="B2265" s="8" t="s">
        <v>116</v>
      </c>
      <c r="C2265" s="10">
        <f t="shared" si="107"/>
        <v>36729</v>
      </c>
      <c r="D2265" t="s">
        <v>11</v>
      </c>
      <c r="E2265" t="s">
        <v>12</v>
      </c>
      <c r="F2265" t="s">
        <v>115</v>
      </c>
      <c r="G2265" t="s">
        <v>5239</v>
      </c>
      <c r="H2265" t="s">
        <v>15</v>
      </c>
      <c r="I2265" t="s">
        <v>5240</v>
      </c>
      <c r="J2265" t="s">
        <v>5241</v>
      </c>
      <c r="K2265" t="s">
        <v>5242</v>
      </c>
      <c r="L2265" s="12" t="s">
        <v>42</v>
      </c>
      <c r="M2265" s="12" t="s">
        <v>34</v>
      </c>
      <c r="N2265" s="12" t="s">
        <v>214</v>
      </c>
      <c r="O2265" s="12" t="s">
        <v>73</v>
      </c>
      <c r="P2265" s="12" t="s">
        <v>186</v>
      </c>
      <c r="Q2265" s="7" t="str">
        <f t="shared" si="106"/>
        <v>(2000,29,'2000.07.22',3,49,64,76,90,0),</v>
      </c>
      <c r="R2265" s="7" t="str">
        <f t="shared" si="108"/>
        <v>(2000,29,'2000.07.22',3,49,64,76,90),</v>
      </c>
    </row>
    <row r="2266" spans="1:18" x14ac:dyDescent="0.25">
      <c r="A2266" s="7" t="s">
        <v>1430</v>
      </c>
      <c r="B2266" s="8" t="s">
        <v>107</v>
      </c>
      <c r="C2266" s="10">
        <f t="shared" si="107"/>
        <v>36736</v>
      </c>
      <c r="D2266" t="s">
        <v>11</v>
      </c>
      <c r="E2266" t="s">
        <v>12</v>
      </c>
      <c r="F2266" t="s">
        <v>186</v>
      </c>
      <c r="G2266" t="s">
        <v>5234</v>
      </c>
      <c r="H2266" t="s">
        <v>5235</v>
      </c>
      <c r="I2266" t="s">
        <v>5236</v>
      </c>
      <c r="J2266" t="s">
        <v>5237</v>
      </c>
      <c r="K2266" t="s">
        <v>5238</v>
      </c>
      <c r="L2266" s="12" t="s">
        <v>44</v>
      </c>
      <c r="M2266" s="12" t="s">
        <v>142</v>
      </c>
      <c r="N2266" s="12" t="s">
        <v>199</v>
      </c>
      <c r="O2266" s="12" t="s">
        <v>134</v>
      </c>
      <c r="P2266" s="12" t="s">
        <v>143</v>
      </c>
      <c r="Q2266" s="7" t="str">
        <f t="shared" si="106"/>
        <v>(2000,30,'2000.07.29',21,44,53,56,77,0),</v>
      </c>
      <c r="R2266" s="7" t="str">
        <f t="shared" si="108"/>
        <v>(2000,30,'2000.07.29',21,44,53,56,77),</v>
      </c>
    </row>
    <row r="2267" spans="1:18" x14ac:dyDescent="0.25">
      <c r="A2267" s="7" t="s">
        <v>1430</v>
      </c>
      <c r="B2267" s="8" t="s">
        <v>71</v>
      </c>
      <c r="C2267" s="10">
        <f t="shared" si="107"/>
        <v>36743</v>
      </c>
      <c r="D2267" t="s">
        <v>108</v>
      </c>
      <c r="E2267" t="s">
        <v>5229</v>
      </c>
      <c r="F2267" t="s">
        <v>135</v>
      </c>
      <c r="G2267" t="s">
        <v>5230</v>
      </c>
      <c r="H2267" t="s">
        <v>2662</v>
      </c>
      <c r="I2267" t="s">
        <v>5231</v>
      </c>
      <c r="J2267" t="s">
        <v>5232</v>
      </c>
      <c r="K2267" t="s">
        <v>5233</v>
      </c>
      <c r="L2267" s="12" t="s">
        <v>192</v>
      </c>
      <c r="M2267" s="12" t="s">
        <v>81</v>
      </c>
      <c r="N2267" s="12" t="s">
        <v>200</v>
      </c>
      <c r="O2267" s="12" t="s">
        <v>143</v>
      </c>
      <c r="P2267" s="12" t="s">
        <v>151</v>
      </c>
      <c r="Q2267" s="7" t="str">
        <f t="shared" si="106"/>
        <v>(2000,31,'2000.08.05',46,47,70,77,79,0),</v>
      </c>
      <c r="R2267" s="7" t="str">
        <f t="shared" si="108"/>
        <v>(2000,31,'2000.08.05',46,47,70,77,79),</v>
      </c>
    </row>
    <row r="2268" spans="1:18" x14ac:dyDescent="0.25">
      <c r="A2268" s="7" t="s">
        <v>1430</v>
      </c>
      <c r="B2268" s="8" t="s">
        <v>80</v>
      </c>
      <c r="C2268" s="10">
        <f t="shared" si="107"/>
        <v>36750</v>
      </c>
      <c r="D2268" t="s">
        <v>11</v>
      </c>
      <c r="E2268" t="s">
        <v>12</v>
      </c>
      <c r="F2268" t="s">
        <v>98</v>
      </c>
      <c r="G2268" t="s">
        <v>5224</v>
      </c>
      <c r="H2268" t="s">
        <v>5225</v>
      </c>
      <c r="I2268" t="s">
        <v>5226</v>
      </c>
      <c r="J2268" t="s">
        <v>5227</v>
      </c>
      <c r="K2268" t="s">
        <v>5228</v>
      </c>
      <c r="L2268" s="12" t="s">
        <v>42</v>
      </c>
      <c r="M2268" s="12" t="s">
        <v>44</v>
      </c>
      <c r="N2268" s="12" t="s">
        <v>64</v>
      </c>
      <c r="O2268" s="12" t="s">
        <v>10</v>
      </c>
      <c r="P2268" s="12" t="s">
        <v>133</v>
      </c>
      <c r="Q2268" s="7" t="str">
        <f t="shared" si="106"/>
        <v>(2000,32,'2000.08.12',3,21,35,40,45,0),</v>
      </c>
      <c r="R2268" s="7" t="str">
        <f t="shared" si="108"/>
        <v>(2000,32,'2000.08.12',3,21,35,40,45),</v>
      </c>
    </row>
    <row r="2269" spans="1:18" x14ac:dyDescent="0.25">
      <c r="A2269" s="7" t="s">
        <v>1430</v>
      </c>
      <c r="B2269" s="8" t="s">
        <v>20</v>
      </c>
      <c r="C2269" s="10">
        <f t="shared" si="107"/>
        <v>36757</v>
      </c>
      <c r="D2269" t="s">
        <v>11</v>
      </c>
      <c r="E2269" t="s">
        <v>12</v>
      </c>
      <c r="F2269" t="s">
        <v>125</v>
      </c>
      <c r="G2269" t="s">
        <v>5219</v>
      </c>
      <c r="H2269" t="s">
        <v>5220</v>
      </c>
      <c r="I2269" t="s">
        <v>5221</v>
      </c>
      <c r="J2269" t="s">
        <v>5222</v>
      </c>
      <c r="K2269" t="s">
        <v>5223</v>
      </c>
      <c r="L2269" s="12" t="s">
        <v>168</v>
      </c>
      <c r="M2269" s="12" t="s">
        <v>198</v>
      </c>
      <c r="N2269" s="12" t="s">
        <v>19</v>
      </c>
      <c r="O2269" s="12" t="s">
        <v>152</v>
      </c>
      <c r="P2269" s="12" t="s">
        <v>248</v>
      </c>
      <c r="Q2269" s="7" t="str">
        <f t="shared" si="106"/>
        <v>(2000,33,'2000.08.19',4,9,18,25,63,0),</v>
      </c>
      <c r="R2269" s="7" t="str">
        <f t="shared" si="108"/>
        <v>(2000,33,'2000.08.19',4,9,18,25,63),</v>
      </c>
    </row>
    <row r="2270" spans="1:18" x14ac:dyDescent="0.25">
      <c r="A2270" s="7" t="s">
        <v>1430</v>
      </c>
      <c r="B2270" s="8" t="s">
        <v>25</v>
      </c>
      <c r="C2270" s="10">
        <f t="shared" si="107"/>
        <v>36764</v>
      </c>
      <c r="D2270" t="s">
        <v>11</v>
      </c>
      <c r="E2270" t="s">
        <v>12</v>
      </c>
      <c r="F2270" t="s">
        <v>20</v>
      </c>
      <c r="G2270" t="s">
        <v>5215</v>
      </c>
      <c r="H2270" t="s">
        <v>5216</v>
      </c>
      <c r="I2270" t="s">
        <v>5217</v>
      </c>
      <c r="J2270" t="s">
        <v>5218</v>
      </c>
      <c r="K2270" t="s">
        <v>5016</v>
      </c>
      <c r="L2270" s="12" t="s">
        <v>90</v>
      </c>
      <c r="M2270" s="12" t="s">
        <v>64</v>
      </c>
      <c r="N2270" s="12" t="s">
        <v>169</v>
      </c>
      <c r="O2270" s="12" t="s">
        <v>82</v>
      </c>
      <c r="P2270" s="12" t="s">
        <v>248</v>
      </c>
      <c r="Q2270" s="7" t="str">
        <f t="shared" si="106"/>
        <v>(2000,34,'2000.08.26',17,35,58,59,63,0),</v>
      </c>
      <c r="R2270" s="7" t="str">
        <f t="shared" si="108"/>
        <v>(2000,34,'2000.08.26',17,35,58,59,63),</v>
      </c>
    </row>
    <row r="2271" spans="1:18" x14ac:dyDescent="0.25">
      <c r="A2271" s="7" t="s">
        <v>1430</v>
      </c>
      <c r="B2271" s="8" t="s">
        <v>64</v>
      </c>
      <c r="C2271" s="10">
        <f t="shared" si="107"/>
        <v>36771</v>
      </c>
      <c r="D2271" t="s">
        <v>11</v>
      </c>
      <c r="E2271" t="s">
        <v>12</v>
      </c>
      <c r="F2271" t="s">
        <v>33</v>
      </c>
      <c r="G2271" t="s">
        <v>5211</v>
      </c>
      <c r="H2271" t="s">
        <v>5212</v>
      </c>
      <c r="I2271" t="s">
        <v>5213</v>
      </c>
      <c r="J2271" t="s">
        <v>5214</v>
      </c>
      <c r="K2271" t="s">
        <v>3583</v>
      </c>
      <c r="L2271" s="12" t="s">
        <v>163</v>
      </c>
      <c r="M2271" s="12" t="s">
        <v>105</v>
      </c>
      <c r="N2271" s="12" t="s">
        <v>73</v>
      </c>
      <c r="O2271" s="12" t="s">
        <v>151</v>
      </c>
      <c r="P2271" s="12" t="s">
        <v>379</v>
      </c>
      <c r="Q2271" s="7" t="str">
        <f t="shared" si="106"/>
        <v>(2000,35,'2000.09.02',23,50,76,79,89,0),</v>
      </c>
      <c r="R2271" s="7" t="str">
        <f t="shared" si="108"/>
        <v>(2000,35,'2000.09.02',23,50,76,79,89),</v>
      </c>
    </row>
    <row r="2272" spans="1:18" x14ac:dyDescent="0.25">
      <c r="A2272" s="7" t="s">
        <v>1430</v>
      </c>
      <c r="B2272" s="8" t="s">
        <v>21</v>
      </c>
      <c r="C2272" s="10">
        <f t="shared" si="107"/>
        <v>36778</v>
      </c>
      <c r="D2272" t="s">
        <v>11</v>
      </c>
      <c r="E2272" t="s">
        <v>12</v>
      </c>
      <c r="F2272" t="s">
        <v>83</v>
      </c>
      <c r="G2272" t="s">
        <v>5206</v>
      </c>
      <c r="H2272" t="s">
        <v>5207</v>
      </c>
      <c r="I2272" t="s">
        <v>5208</v>
      </c>
      <c r="J2272" t="s">
        <v>5209</v>
      </c>
      <c r="K2272" t="s">
        <v>5210</v>
      </c>
      <c r="L2272" s="12" t="s">
        <v>21</v>
      </c>
      <c r="M2272" s="12" t="s">
        <v>105</v>
      </c>
      <c r="N2272" s="12" t="s">
        <v>122</v>
      </c>
      <c r="O2272" s="12" t="s">
        <v>301</v>
      </c>
      <c r="P2272" s="12" t="s">
        <v>622</v>
      </c>
      <c r="Q2272" s="7" t="str">
        <f t="shared" si="106"/>
        <v>(2000,36,'2000.09.09',36,50,51,80,82,0),</v>
      </c>
      <c r="R2272" s="7" t="str">
        <f t="shared" si="108"/>
        <v>(2000,36,'2000.09.09',36,50,51,80,82),</v>
      </c>
    </row>
    <row r="2273" spans="1:18" x14ac:dyDescent="0.25">
      <c r="A2273" s="7" t="s">
        <v>1430</v>
      </c>
      <c r="B2273" s="8" t="s">
        <v>46</v>
      </c>
      <c r="C2273" s="10">
        <f t="shared" si="107"/>
        <v>36785</v>
      </c>
      <c r="D2273" t="s">
        <v>11</v>
      </c>
      <c r="E2273" t="s">
        <v>12</v>
      </c>
      <c r="F2273" t="s">
        <v>152</v>
      </c>
      <c r="G2273" t="s">
        <v>5202</v>
      </c>
      <c r="H2273" t="s">
        <v>5203</v>
      </c>
      <c r="I2273" t="s">
        <v>5204</v>
      </c>
      <c r="J2273" t="s">
        <v>5205</v>
      </c>
      <c r="K2273" t="s">
        <v>5016</v>
      </c>
      <c r="L2273" s="12" t="s">
        <v>32</v>
      </c>
      <c r="M2273" s="12" t="s">
        <v>80</v>
      </c>
      <c r="N2273" s="12" t="s">
        <v>134</v>
      </c>
      <c r="O2273" s="12" t="s">
        <v>91</v>
      </c>
      <c r="P2273" s="12" t="s">
        <v>239</v>
      </c>
      <c r="Q2273" s="7" t="str">
        <f t="shared" si="106"/>
        <v>(2000,37,'2000.09.16',22,32,56,61,73,0),</v>
      </c>
      <c r="R2273" s="7" t="str">
        <f t="shared" si="108"/>
        <v>(2000,37,'2000.09.16',22,32,56,61,73),</v>
      </c>
    </row>
    <row r="2274" spans="1:18" x14ac:dyDescent="0.25">
      <c r="A2274" s="7" t="s">
        <v>1430</v>
      </c>
      <c r="B2274" s="8" t="s">
        <v>36</v>
      </c>
      <c r="C2274" s="10">
        <f t="shared" si="107"/>
        <v>36792</v>
      </c>
      <c r="D2274" t="s">
        <v>11</v>
      </c>
      <c r="E2274" t="s">
        <v>12</v>
      </c>
      <c r="F2274" t="s">
        <v>45</v>
      </c>
      <c r="G2274" t="s">
        <v>5199</v>
      </c>
      <c r="H2274" t="s">
        <v>4347</v>
      </c>
      <c r="I2274" t="s">
        <v>5200</v>
      </c>
      <c r="J2274" t="s">
        <v>5201</v>
      </c>
      <c r="K2274" t="s">
        <v>4863</v>
      </c>
      <c r="L2274" s="12" t="s">
        <v>198</v>
      </c>
      <c r="M2274" s="12" t="s">
        <v>32</v>
      </c>
      <c r="N2274" s="12" t="s">
        <v>169</v>
      </c>
      <c r="O2274" s="12" t="s">
        <v>47</v>
      </c>
      <c r="P2274" s="12" t="s">
        <v>151</v>
      </c>
      <c r="Q2274" s="7" t="str">
        <f t="shared" si="106"/>
        <v>(2000,38,'2000.09.23',9,22,58,69,79,0),</v>
      </c>
      <c r="R2274" s="7" t="str">
        <f t="shared" si="108"/>
        <v>(2000,38,'2000.09.23',9,22,58,69,79),</v>
      </c>
    </row>
    <row r="2275" spans="1:18" x14ac:dyDescent="0.25">
      <c r="A2275" s="7" t="s">
        <v>1430</v>
      </c>
      <c r="B2275" s="8" t="s">
        <v>24</v>
      </c>
      <c r="C2275" s="10">
        <f t="shared" si="107"/>
        <v>36799</v>
      </c>
      <c r="D2275" t="s">
        <v>11</v>
      </c>
      <c r="E2275" t="s">
        <v>12</v>
      </c>
      <c r="F2275" t="s">
        <v>115</v>
      </c>
      <c r="G2275" t="s">
        <v>5194</v>
      </c>
      <c r="H2275" t="s">
        <v>5195</v>
      </c>
      <c r="I2275" t="s">
        <v>5196</v>
      </c>
      <c r="J2275" t="s">
        <v>5197</v>
      </c>
      <c r="K2275" t="s">
        <v>5198</v>
      </c>
      <c r="L2275" s="12" t="s">
        <v>270</v>
      </c>
      <c r="M2275" s="12" t="s">
        <v>198</v>
      </c>
      <c r="N2275" s="12" t="s">
        <v>214</v>
      </c>
      <c r="O2275" s="12" t="s">
        <v>72</v>
      </c>
      <c r="P2275" s="12" t="s">
        <v>151</v>
      </c>
      <c r="Q2275" s="7" t="str">
        <f t="shared" si="106"/>
        <v>(2000,39,'2000.09.30',6,9,64,67,79,0),</v>
      </c>
      <c r="R2275" s="7" t="str">
        <f t="shared" si="108"/>
        <v>(2000,39,'2000.09.30',6,9,64,67,79),</v>
      </c>
    </row>
    <row r="2276" spans="1:18" x14ac:dyDescent="0.25">
      <c r="A2276" s="7" t="s">
        <v>1430</v>
      </c>
      <c r="B2276" s="8" t="s">
        <v>10</v>
      </c>
      <c r="C2276" s="10">
        <f t="shared" si="107"/>
        <v>36806</v>
      </c>
      <c r="D2276" t="s">
        <v>11</v>
      </c>
      <c r="E2276" t="s">
        <v>12</v>
      </c>
      <c r="F2276" t="s">
        <v>198</v>
      </c>
      <c r="G2276" t="s">
        <v>5189</v>
      </c>
      <c r="H2276" t="s">
        <v>5190</v>
      </c>
      <c r="I2276" t="s">
        <v>5191</v>
      </c>
      <c r="J2276" t="s">
        <v>5192</v>
      </c>
      <c r="K2276" t="s">
        <v>5193</v>
      </c>
      <c r="L2276" s="12" t="s">
        <v>107</v>
      </c>
      <c r="M2276" s="12" t="s">
        <v>24</v>
      </c>
      <c r="N2276" s="12" t="s">
        <v>175</v>
      </c>
      <c r="O2276" s="12" t="s">
        <v>150</v>
      </c>
      <c r="P2276" s="12" t="s">
        <v>468</v>
      </c>
      <c r="Q2276" s="7" t="str">
        <f t="shared" si="106"/>
        <v>(2000,40,'2000.10.07',30,39,55,57,85,0),</v>
      </c>
      <c r="R2276" s="7" t="str">
        <f t="shared" si="108"/>
        <v>(2000,40,'2000.10.07',30,39,55,57,85),</v>
      </c>
    </row>
    <row r="2277" spans="1:18" x14ac:dyDescent="0.25">
      <c r="A2277" s="7" t="s">
        <v>1430</v>
      </c>
      <c r="B2277" s="8" t="s">
        <v>13</v>
      </c>
      <c r="C2277" s="10">
        <f t="shared" si="107"/>
        <v>36813</v>
      </c>
      <c r="D2277" t="s">
        <v>11</v>
      </c>
      <c r="E2277" t="s">
        <v>12</v>
      </c>
      <c r="F2277" t="s">
        <v>43</v>
      </c>
      <c r="G2277" t="s">
        <v>5184</v>
      </c>
      <c r="H2277" t="s">
        <v>5185</v>
      </c>
      <c r="I2277" t="s">
        <v>5186</v>
      </c>
      <c r="J2277" t="s">
        <v>5187</v>
      </c>
      <c r="K2277" t="s">
        <v>5188</v>
      </c>
      <c r="L2277" s="12" t="s">
        <v>127</v>
      </c>
      <c r="M2277" s="12" t="s">
        <v>126</v>
      </c>
      <c r="N2277" s="12" t="s">
        <v>71</v>
      </c>
      <c r="O2277" s="12" t="s">
        <v>63</v>
      </c>
      <c r="P2277" s="12" t="s">
        <v>208</v>
      </c>
      <c r="Q2277" s="7" t="str">
        <f t="shared" si="106"/>
        <v>(2000,41,'2000.10.14',14,28,31,78,88,0),</v>
      </c>
      <c r="R2277" s="7" t="str">
        <f t="shared" si="108"/>
        <v>(2000,41,'2000.10.14',14,28,31,78,88),</v>
      </c>
    </row>
    <row r="2278" spans="1:18" x14ac:dyDescent="0.25">
      <c r="A2278" s="7" t="s">
        <v>1430</v>
      </c>
      <c r="B2278" s="8" t="s">
        <v>98</v>
      </c>
      <c r="C2278" s="10">
        <f t="shared" si="107"/>
        <v>36820</v>
      </c>
      <c r="D2278" t="s">
        <v>11</v>
      </c>
      <c r="E2278" t="s">
        <v>12</v>
      </c>
      <c r="F2278" t="s">
        <v>42</v>
      </c>
      <c r="G2278" t="s">
        <v>5180</v>
      </c>
      <c r="H2278" t="s">
        <v>5181</v>
      </c>
      <c r="I2278" t="s">
        <v>5182</v>
      </c>
      <c r="J2278" t="s">
        <v>5183</v>
      </c>
      <c r="K2278" t="s">
        <v>3706</v>
      </c>
      <c r="L2278" s="12" t="s">
        <v>142</v>
      </c>
      <c r="M2278" s="12" t="s">
        <v>105</v>
      </c>
      <c r="N2278" s="12" t="s">
        <v>622</v>
      </c>
      <c r="O2278" s="12" t="s">
        <v>468</v>
      </c>
      <c r="P2278" s="12" t="s">
        <v>208</v>
      </c>
      <c r="Q2278" s="7" t="str">
        <f t="shared" si="106"/>
        <v>(2000,42,'2000.10.21',44,50,82,85,88,0),</v>
      </c>
      <c r="R2278" s="7" t="str">
        <f t="shared" si="108"/>
        <v>(2000,42,'2000.10.21',44,50,82,85,88),</v>
      </c>
    </row>
    <row r="2279" spans="1:18" x14ac:dyDescent="0.25">
      <c r="A2279" s="7" t="s">
        <v>1430</v>
      </c>
      <c r="B2279" s="8" t="s">
        <v>45</v>
      </c>
      <c r="C2279" s="10">
        <f t="shared" si="107"/>
        <v>36827</v>
      </c>
      <c r="D2279" t="s">
        <v>11</v>
      </c>
      <c r="E2279" t="s">
        <v>12</v>
      </c>
      <c r="F2279" t="s">
        <v>36</v>
      </c>
      <c r="G2279" t="s">
        <v>5176</v>
      </c>
      <c r="H2279" t="s">
        <v>5177</v>
      </c>
      <c r="I2279" t="s">
        <v>5178</v>
      </c>
      <c r="J2279" t="s">
        <v>5179</v>
      </c>
      <c r="K2279" t="s">
        <v>5056</v>
      </c>
      <c r="L2279" s="12" t="s">
        <v>168</v>
      </c>
      <c r="M2279" s="12" t="s">
        <v>62</v>
      </c>
      <c r="N2279" s="12" t="s">
        <v>115</v>
      </c>
      <c r="O2279" s="12" t="s">
        <v>82</v>
      </c>
      <c r="P2279" s="12" t="s">
        <v>151</v>
      </c>
      <c r="Q2279" s="7" t="str">
        <f t="shared" si="106"/>
        <v>(2000,43,'2000.10.28',4,10,20,59,79,0),</v>
      </c>
      <c r="R2279" s="7" t="str">
        <f t="shared" si="108"/>
        <v>(2000,43,'2000.10.28',4,10,20,59,79),</v>
      </c>
    </row>
    <row r="2280" spans="1:18" x14ac:dyDescent="0.25">
      <c r="A2280" s="7" t="s">
        <v>1430</v>
      </c>
      <c r="B2280" s="8" t="s">
        <v>142</v>
      </c>
      <c r="C2280" s="10">
        <f t="shared" si="107"/>
        <v>36834</v>
      </c>
      <c r="D2280" t="s">
        <v>11</v>
      </c>
      <c r="E2280" t="s">
        <v>12</v>
      </c>
      <c r="F2280" t="s">
        <v>80</v>
      </c>
      <c r="G2280" t="s">
        <v>5171</v>
      </c>
      <c r="H2280" t="s">
        <v>5172</v>
      </c>
      <c r="I2280" t="s">
        <v>5173</v>
      </c>
      <c r="J2280" t="s">
        <v>5174</v>
      </c>
      <c r="K2280" t="s">
        <v>5175</v>
      </c>
      <c r="L2280" s="12" t="s">
        <v>80</v>
      </c>
      <c r="M2280" s="12" t="s">
        <v>64</v>
      </c>
      <c r="N2280" s="12" t="s">
        <v>123</v>
      </c>
      <c r="O2280" s="12" t="s">
        <v>92</v>
      </c>
      <c r="P2280" s="12" t="s">
        <v>143</v>
      </c>
      <c r="Q2280" s="7" t="str">
        <f t="shared" si="106"/>
        <v>(2000,44,'2000.11.04',32,35,54,68,77,0),</v>
      </c>
      <c r="R2280" s="7" t="str">
        <f t="shared" si="108"/>
        <v>(2000,44,'2000.11.04',32,35,54,68,77),</v>
      </c>
    </row>
    <row r="2281" spans="1:18" x14ac:dyDescent="0.25">
      <c r="A2281" s="7" t="s">
        <v>1430</v>
      </c>
      <c r="B2281" s="8" t="s">
        <v>133</v>
      </c>
      <c r="C2281" s="10">
        <f t="shared" si="107"/>
        <v>36841</v>
      </c>
      <c r="D2281" t="s">
        <v>11</v>
      </c>
      <c r="E2281" t="s">
        <v>12</v>
      </c>
      <c r="F2281" t="s">
        <v>126</v>
      </c>
      <c r="G2281" t="s">
        <v>5167</v>
      </c>
      <c r="H2281" t="s">
        <v>3181</v>
      </c>
      <c r="I2281" t="s">
        <v>5168</v>
      </c>
      <c r="J2281" t="s">
        <v>5169</v>
      </c>
      <c r="K2281" t="s">
        <v>5170</v>
      </c>
      <c r="L2281" s="12" t="s">
        <v>98</v>
      </c>
      <c r="M2281" s="12" t="s">
        <v>123</v>
      </c>
      <c r="N2281" s="12" t="s">
        <v>124</v>
      </c>
      <c r="O2281" s="12" t="s">
        <v>92</v>
      </c>
      <c r="P2281" s="12" t="s">
        <v>106</v>
      </c>
      <c r="Q2281" s="7" t="str">
        <f t="shared" si="106"/>
        <v>(2000,45,'2000.11.11',42,54,62,68,75,0),</v>
      </c>
      <c r="R2281" s="7" t="str">
        <f t="shared" si="108"/>
        <v>(2000,45,'2000.11.11',42,54,62,68,75),</v>
      </c>
    </row>
    <row r="2282" spans="1:18" x14ac:dyDescent="0.25">
      <c r="A2282" s="7" t="s">
        <v>1430</v>
      </c>
      <c r="B2282" s="8" t="s">
        <v>192</v>
      </c>
      <c r="C2282" s="10">
        <f t="shared" si="107"/>
        <v>36848</v>
      </c>
      <c r="D2282" t="s">
        <v>11</v>
      </c>
      <c r="E2282" t="s">
        <v>12</v>
      </c>
      <c r="F2282" t="s">
        <v>200</v>
      </c>
      <c r="G2282" t="s">
        <v>5162</v>
      </c>
      <c r="H2282" t="s">
        <v>5163</v>
      </c>
      <c r="I2282" t="s">
        <v>5164</v>
      </c>
      <c r="J2282" t="s">
        <v>5165</v>
      </c>
      <c r="K2282" t="s">
        <v>5166</v>
      </c>
      <c r="L2282" s="12" t="s">
        <v>89</v>
      </c>
      <c r="M2282" s="12" t="s">
        <v>90</v>
      </c>
      <c r="N2282" s="12" t="s">
        <v>80</v>
      </c>
      <c r="O2282" s="12" t="s">
        <v>64</v>
      </c>
      <c r="P2282" s="12" t="s">
        <v>215</v>
      </c>
      <c r="Q2282" s="7" t="str">
        <f t="shared" si="106"/>
        <v>(2000,46,'2000.11.18',5,17,32,35,81,0),</v>
      </c>
      <c r="R2282" s="7" t="str">
        <f t="shared" si="108"/>
        <v>(2000,46,'2000.11.18',5,17,32,35,81),</v>
      </c>
    </row>
    <row r="2283" spans="1:18" x14ac:dyDescent="0.25">
      <c r="A2283" s="7" t="s">
        <v>1430</v>
      </c>
      <c r="B2283" s="8" t="s">
        <v>81</v>
      </c>
      <c r="C2283" s="10">
        <f t="shared" si="107"/>
        <v>36855</v>
      </c>
      <c r="D2283" t="s">
        <v>11</v>
      </c>
      <c r="E2283" t="s">
        <v>12</v>
      </c>
      <c r="F2283" t="s">
        <v>214</v>
      </c>
      <c r="G2283" t="s">
        <v>5157</v>
      </c>
      <c r="H2283" t="s">
        <v>5158</v>
      </c>
      <c r="I2283" t="s">
        <v>5159</v>
      </c>
      <c r="J2283" t="s">
        <v>5160</v>
      </c>
      <c r="K2283" t="s">
        <v>5161</v>
      </c>
      <c r="L2283" s="12" t="s">
        <v>53</v>
      </c>
      <c r="M2283" s="12" t="s">
        <v>232</v>
      </c>
      <c r="N2283" s="12" t="s">
        <v>83</v>
      </c>
      <c r="O2283" s="12" t="s">
        <v>116</v>
      </c>
      <c r="P2283" s="12" t="s">
        <v>186</v>
      </c>
      <c r="Q2283" s="7" t="str">
        <f t="shared" si="106"/>
        <v>(2000,47,'2000.11.25',7,8,11,29,90,0),</v>
      </c>
      <c r="R2283" s="7" t="str">
        <f t="shared" si="108"/>
        <v>(2000,47,'2000.11.25',7,8,11,29,90),</v>
      </c>
    </row>
    <row r="2284" spans="1:18" x14ac:dyDescent="0.25">
      <c r="A2284" s="7" t="s">
        <v>1430</v>
      </c>
      <c r="B2284" s="8" t="s">
        <v>22</v>
      </c>
      <c r="C2284" s="10">
        <f t="shared" si="107"/>
        <v>36862</v>
      </c>
      <c r="D2284" t="s">
        <v>11</v>
      </c>
      <c r="E2284" t="s">
        <v>12</v>
      </c>
      <c r="F2284" t="s">
        <v>54</v>
      </c>
      <c r="G2284" t="s">
        <v>5153</v>
      </c>
      <c r="H2284" t="s">
        <v>5154</v>
      </c>
      <c r="I2284" t="s">
        <v>5155</v>
      </c>
      <c r="J2284" t="s">
        <v>5156</v>
      </c>
      <c r="K2284" t="s">
        <v>4102</v>
      </c>
      <c r="L2284" s="12" t="s">
        <v>54</v>
      </c>
      <c r="M2284" s="12" t="s">
        <v>19</v>
      </c>
      <c r="N2284" s="12" t="s">
        <v>23</v>
      </c>
      <c r="O2284" s="12" t="s">
        <v>245</v>
      </c>
      <c r="P2284" s="12" t="s">
        <v>63</v>
      </c>
      <c r="Q2284" s="7" t="str">
        <f t="shared" si="106"/>
        <v>(2000,48,'2000.12.02',15,18,60,74,78,0),</v>
      </c>
      <c r="R2284" s="7" t="str">
        <f t="shared" si="108"/>
        <v>(2000,48,'2000.12.02',15,18,60,74,78),</v>
      </c>
    </row>
    <row r="2285" spans="1:18" x14ac:dyDescent="0.25">
      <c r="A2285" s="7" t="s">
        <v>1430</v>
      </c>
      <c r="B2285" s="8" t="s">
        <v>34</v>
      </c>
      <c r="C2285" s="10">
        <f t="shared" si="107"/>
        <v>36869</v>
      </c>
      <c r="D2285" t="s">
        <v>11</v>
      </c>
      <c r="E2285" t="s">
        <v>12</v>
      </c>
      <c r="F2285" t="s">
        <v>92</v>
      </c>
      <c r="G2285" t="s">
        <v>5148</v>
      </c>
      <c r="H2285" t="s">
        <v>5149</v>
      </c>
      <c r="I2285" t="s">
        <v>5150</v>
      </c>
      <c r="J2285" t="s">
        <v>5151</v>
      </c>
      <c r="K2285" t="s">
        <v>5152</v>
      </c>
      <c r="L2285" s="12" t="s">
        <v>31</v>
      </c>
      <c r="M2285" s="12" t="s">
        <v>21</v>
      </c>
      <c r="N2285" s="12" t="s">
        <v>91</v>
      </c>
      <c r="O2285" s="12" t="s">
        <v>47</v>
      </c>
      <c r="P2285" s="12" t="s">
        <v>208</v>
      </c>
      <c r="Q2285" s="7" t="str">
        <f t="shared" si="106"/>
        <v>(2000,49,'2000.12.09',12,36,61,69,88,0),</v>
      </c>
      <c r="R2285" s="7" t="str">
        <f t="shared" si="108"/>
        <v>(2000,49,'2000.12.09',12,36,61,69,88),</v>
      </c>
    </row>
    <row r="2286" spans="1:18" x14ac:dyDescent="0.25">
      <c r="A2286" s="7" t="s">
        <v>1430</v>
      </c>
      <c r="B2286" s="8" t="s">
        <v>105</v>
      </c>
      <c r="C2286" s="10">
        <f t="shared" si="107"/>
        <v>36876</v>
      </c>
      <c r="D2286" t="s">
        <v>11</v>
      </c>
      <c r="E2286" t="s">
        <v>12</v>
      </c>
      <c r="F2286" t="s">
        <v>46</v>
      </c>
      <c r="G2286" t="s">
        <v>5144</v>
      </c>
      <c r="H2286" t="s">
        <v>3803</v>
      </c>
      <c r="I2286" t="s">
        <v>5145</v>
      </c>
      <c r="J2286" t="s">
        <v>5146</v>
      </c>
      <c r="K2286" t="s">
        <v>5147</v>
      </c>
      <c r="L2286" s="12" t="s">
        <v>90</v>
      </c>
      <c r="M2286" s="12" t="s">
        <v>199</v>
      </c>
      <c r="N2286" s="12" t="s">
        <v>23</v>
      </c>
      <c r="O2286" s="12" t="s">
        <v>151</v>
      </c>
      <c r="P2286" s="12" t="s">
        <v>622</v>
      </c>
      <c r="Q2286" s="7" t="str">
        <f t="shared" si="106"/>
        <v>(2000,50,'2000.12.16',17,53,60,79,82,0),</v>
      </c>
      <c r="R2286" s="7" t="str">
        <f t="shared" si="108"/>
        <v>(2000,50,'2000.12.16',17,53,60,79,82),</v>
      </c>
    </row>
    <row r="2287" spans="1:18" x14ac:dyDescent="0.25">
      <c r="A2287" s="7" t="s">
        <v>1430</v>
      </c>
      <c r="B2287" s="8" t="s">
        <v>122</v>
      </c>
      <c r="C2287" s="10">
        <f t="shared" si="107"/>
        <v>36883</v>
      </c>
      <c r="D2287" t="s">
        <v>11</v>
      </c>
      <c r="E2287" t="s">
        <v>12</v>
      </c>
      <c r="F2287" t="s">
        <v>152</v>
      </c>
      <c r="G2287" t="s">
        <v>5140</v>
      </c>
      <c r="H2287" t="s">
        <v>5141</v>
      </c>
      <c r="I2287" t="s">
        <v>5142</v>
      </c>
      <c r="J2287" t="s">
        <v>5143</v>
      </c>
      <c r="K2287" t="s">
        <v>5124</v>
      </c>
      <c r="L2287" s="12" t="s">
        <v>90</v>
      </c>
      <c r="M2287" s="12" t="s">
        <v>80</v>
      </c>
      <c r="N2287" s="12" t="s">
        <v>25</v>
      </c>
      <c r="O2287" s="12" t="s">
        <v>622</v>
      </c>
      <c r="P2287" s="12" t="s">
        <v>269</v>
      </c>
      <c r="Q2287" s="7" t="str">
        <f t="shared" si="106"/>
        <v>(2000,51,'2000.12.23',17,32,34,82,87,0),</v>
      </c>
      <c r="R2287" s="7" t="str">
        <f t="shared" si="108"/>
        <v>(2000,51,'2000.12.23',17,32,34,82,87),</v>
      </c>
    </row>
    <row r="2288" spans="1:18" x14ac:dyDescent="0.25">
      <c r="A2288" s="7" t="s">
        <v>1430</v>
      </c>
      <c r="B2288" s="8" t="s">
        <v>99</v>
      </c>
      <c r="C2288" s="10">
        <f t="shared" si="107"/>
        <v>36890</v>
      </c>
      <c r="D2288" t="s">
        <v>11</v>
      </c>
      <c r="E2288" t="s">
        <v>12</v>
      </c>
      <c r="F2288" t="s">
        <v>71</v>
      </c>
      <c r="G2288" t="s">
        <v>5136</v>
      </c>
      <c r="H2288" t="s">
        <v>5137</v>
      </c>
      <c r="I2288" t="s">
        <v>5138</v>
      </c>
      <c r="J2288" t="s">
        <v>5139</v>
      </c>
      <c r="K2288" t="s">
        <v>4043</v>
      </c>
      <c r="L2288" s="12" t="s">
        <v>169</v>
      </c>
      <c r="M2288" s="12" t="s">
        <v>233</v>
      </c>
      <c r="N2288" s="12" t="s">
        <v>92</v>
      </c>
      <c r="O2288" s="12" t="s">
        <v>125</v>
      </c>
      <c r="P2288" s="12" t="s">
        <v>379</v>
      </c>
      <c r="Q2288" s="7" t="str">
        <f t="shared" si="106"/>
        <v>(2000,52,'2000.12.30',58,66,68,83,89,0),</v>
      </c>
      <c r="R2288" s="7" t="str">
        <f t="shared" si="108"/>
        <v>(2000,52,'2000.12.30',58,66,68,83,89),</v>
      </c>
    </row>
    <row r="2289" spans="1:18" x14ac:dyDescent="0.25">
      <c r="A2289" s="7" t="s">
        <v>4895</v>
      </c>
      <c r="B2289" s="8" t="s">
        <v>108</v>
      </c>
      <c r="C2289" s="10">
        <f t="shared" si="107"/>
        <v>36897</v>
      </c>
      <c r="D2289" t="s">
        <v>108</v>
      </c>
      <c r="E2289" t="s">
        <v>5129</v>
      </c>
      <c r="F2289" t="s">
        <v>5130</v>
      </c>
      <c r="G2289" t="s">
        <v>5131</v>
      </c>
      <c r="H2289" t="s">
        <v>5132</v>
      </c>
      <c r="I2289" t="s">
        <v>5133</v>
      </c>
      <c r="J2289" t="s">
        <v>5134</v>
      </c>
      <c r="K2289" t="s">
        <v>5135</v>
      </c>
      <c r="L2289" s="12" t="s">
        <v>31</v>
      </c>
      <c r="M2289" s="12" t="s">
        <v>36</v>
      </c>
      <c r="N2289" s="12" t="s">
        <v>124</v>
      </c>
      <c r="O2289" s="12" t="s">
        <v>214</v>
      </c>
      <c r="P2289" s="12" t="s">
        <v>56</v>
      </c>
      <c r="Q2289" s="7" t="str">
        <f t="shared" si="106"/>
        <v>(2001,1,'2001.01.06',12,38,62,64,71,0),</v>
      </c>
      <c r="R2289" s="7" t="str">
        <f t="shared" si="108"/>
        <v>(2001,1,'2001.01.06',12,38,62,64,71),</v>
      </c>
    </row>
    <row r="2290" spans="1:18" x14ac:dyDescent="0.25">
      <c r="A2290" s="7" t="s">
        <v>4895</v>
      </c>
      <c r="B2290" s="8" t="s">
        <v>207</v>
      </c>
      <c r="C2290" s="10">
        <f t="shared" si="107"/>
        <v>36904</v>
      </c>
      <c r="D2290" t="s">
        <v>11</v>
      </c>
      <c r="E2290" t="s">
        <v>12</v>
      </c>
      <c r="F2290" t="s">
        <v>13</v>
      </c>
      <c r="G2290" t="s">
        <v>5125</v>
      </c>
      <c r="H2290" t="s">
        <v>5058</v>
      </c>
      <c r="I2290" t="s">
        <v>5126</v>
      </c>
      <c r="J2290" t="s">
        <v>5127</v>
      </c>
      <c r="K2290" t="s">
        <v>5128</v>
      </c>
      <c r="L2290" s="12" t="s">
        <v>163</v>
      </c>
      <c r="M2290" s="12" t="s">
        <v>21</v>
      </c>
      <c r="N2290" s="12" t="s">
        <v>123</v>
      </c>
      <c r="O2290" s="12" t="s">
        <v>175</v>
      </c>
      <c r="P2290" s="12" t="s">
        <v>245</v>
      </c>
      <c r="Q2290" s="7" t="str">
        <f t="shared" si="106"/>
        <v>(2001,2,'2001.01.13',23,36,54,55,74,0),</v>
      </c>
      <c r="R2290" s="7" t="str">
        <f t="shared" si="108"/>
        <v>(2001,2,'2001.01.13',23,36,54,55,74),</v>
      </c>
    </row>
    <row r="2291" spans="1:18" x14ac:dyDescent="0.25">
      <c r="A2291" s="7" t="s">
        <v>4895</v>
      </c>
      <c r="B2291" s="8" t="s">
        <v>42</v>
      </c>
      <c r="C2291" s="10">
        <f t="shared" si="107"/>
        <v>36911</v>
      </c>
      <c r="D2291" t="s">
        <v>11</v>
      </c>
      <c r="E2291" t="s">
        <v>12</v>
      </c>
      <c r="F2291" t="s">
        <v>163</v>
      </c>
      <c r="G2291" t="s">
        <v>5121</v>
      </c>
      <c r="H2291" t="s">
        <v>4205</v>
      </c>
      <c r="I2291" t="s">
        <v>5122</v>
      </c>
      <c r="J2291" t="s">
        <v>5123</v>
      </c>
      <c r="K2291" t="s">
        <v>5124</v>
      </c>
      <c r="L2291" s="12" t="s">
        <v>83</v>
      </c>
      <c r="M2291" s="12" t="s">
        <v>152</v>
      </c>
      <c r="N2291" s="12" t="s">
        <v>80</v>
      </c>
      <c r="O2291" s="12" t="s">
        <v>63</v>
      </c>
      <c r="P2291" s="12" t="s">
        <v>125</v>
      </c>
      <c r="Q2291" s="7" t="str">
        <f t="shared" si="106"/>
        <v>(2001,3,'2001.01.20',11,25,32,78,83,0),</v>
      </c>
      <c r="R2291" s="7" t="str">
        <f t="shared" si="108"/>
        <v>(2001,3,'2001.01.20',11,25,32,78,83),</v>
      </c>
    </row>
    <row r="2292" spans="1:18" x14ac:dyDescent="0.25">
      <c r="A2292" s="7" t="s">
        <v>4895</v>
      </c>
      <c r="B2292" s="8" t="s">
        <v>168</v>
      </c>
      <c r="C2292" s="10">
        <f t="shared" si="107"/>
        <v>36918</v>
      </c>
      <c r="D2292" t="s">
        <v>11</v>
      </c>
      <c r="E2292" t="s">
        <v>12</v>
      </c>
      <c r="F2292" t="s">
        <v>127</v>
      </c>
      <c r="G2292" t="s">
        <v>5117</v>
      </c>
      <c r="H2292" t="s">
        <v>5118</v>
      </c>
      <c r="I2292" t="s">
        <v>5119</v>
      </c>
      <c r="J2292" t="s">
        <v>5120</v>
      </c>
      <c r="K2292" t="s">
        <v>4188</v>
      </c>
      <c r="L2292" s="12" t="s">
        <v>62</v>
      </c>
      <c r="M2292" s="12" t="s">
        <v>45</v>
      </c>
      <c r="N2292" s="12" t="s">
        <v>82</v>
      </c>
      <c r="O2292" s="12" t="s">
        <v>301</v>
      </c>
      <c r="P2292" s="12" t="s">
        <v>468</v>
      </c>
      <c r="Q2292" s="7" t="str">
        <f t="shared" si="106"/>
        <v>(2001,4,'2001.01.27',10,43,59,80,85,0),</v>
      </c>
      <c r="R2292" s="7" t="str">
        <f t="shared" si="108"/>
        <v>(2001,4,'2001.01.27',10,43,59,80,85),</v>
      </c>
    </row>
    <row r="2293" spans="1:18" x14ac:dyDescent="0.25">
      <c r="A2293" s="7" t="s">
        <v>4895</v>
      </c>
      <c r="B2293" s="8" t="s">
        <v>89</v>
      </c>
      <c r="C2293" s="10">
        <f t="shared" si="107"/>
        <v>36925</v>
      </c>
      <c r="D2293" t="s">
        <v>11</v>
      </c>
      <c r="E2293" t="s">
        <v>12</v>
      </c>
      <c r="F2293" t="s">
        <v>19</v>
      </c>
      <c r="G2293" t="s">
        <v>5112</v>
      </c>
      <c r="H2293" t="s">
        <v>5113</v>
      </c>
      <c r="I2293" t="s">
        <v>5114</v>
      </c>
      <c r="J2293" t="s">
        <v>5115</v>
      </c>
      <c r="K2293" t="s">
        <v>5116</v>
      </c>
      <c r="L2293" s="12" t="s">
        <v>90</v>
      </c>
      <c r="M2293" s="12" t="s">
        <v>150</v>
      </c>
      <c r="N2293" s="12" t="s">
        <v>82</v>
      </c>
      <c r="O2293" s="12" t="s">
        <v>23</v>
      </c>
      <c r="P2293" s="12" t="s">
        <v>56</v>
      </c>
      <c r="Q2293" s="7" t="str">
        <f t="shared" si="106"/>
        <v>(2001,5,'2001.02.03',17,57,59,60,71,0),</v>
      </c>
      <c r="R2293" s="7" t="str">
        <f t="shared" si="108"/>
        <v>(2001,5,'2001.02.03',17,57,59,60,71),</v>
      </c>
    </row>
    <row r="2294" spans="1:18" x14ac:dyDescent="0.25">
      <c r="A2294" s="7" t="s">
        <v>4895</v>
      </c>
      <c r="B2294" s="8" t="s">
        <v>270</v>
      </c>
      <c r="C2294" s="10">
        <f t="shared" si="107"/>
        <v>36932</v>
      </c>
      <c r="D2294" t="s">
        <v>11</v>
      </c>
      <c r="E2294" t="s">
        <v>12</v>
      </c>
      <c r="F2294" t="s">
        <v>35</v>
      </c>
      <c r="G2294" t="s">
        <v>5107</v>
      </c>
      <c r="H2294" t="s">
        <v>5108</v>
      </c>
      <c r="I2294" t="s">
        <v>5109</v>
      </c>
      <c r="J2294" t="s">
        <v>5110</v>
      </c>
      <c r="K2294" t="s">
        <v>5111</v>
      </c>
      <c r="L2294" s="12" t="s">
        <v>53</v>
      </c>
      <c r="M2294" s="12" t="s">
        <v>62</v>
      </c>
      <c r="N2294" s="12" t="s">
        <v>19</v>
      </c>
      <c r="O2294" s="12" t="s">
        <v>20</v>
      </c>
      <c r="P2294" s="12" t="s">
        <v>13</v>
      </c>
      <c r="Q2294" s="7" t="str">
        <f t="shared" si="106"/>
        <v>(2001,6,'2001.02.10',7,10,18,33,41,0),</v>
      </c>
      <c r="R2294" s="7" t="str">
        <f t="shared" si="108"/>
        <v>(2001,6,'2001.02.10',7,10,18,33,41),</v>
      </c>
    </row>
    <row r="2295" spans="1:18" x14ac:dyDescent="0.25">
      <c r="A2295" s="7" t="s">
        <v>4895</v>
      </c>
      <c r="B2295" s="8" t="s">
        <v>53</v>
      </c>
      <c r="C2295" s="10">
        <f t="shared" si="107"/>
        <v>36939</v>
      </c>
      <c r="D2295" t="s">
        <v>11</v>
      </c>
      <c r="E2295" t="s">
        <v>12</v>
      </c>
      <c r="F2295" t="s">
        <v>99</v>
      </c>
      <c r="G2295" t="s">
        <v>5102</v>
      </c>
      <c r="H2295" t="s">
        <v>5103</v>
      </c>
      <c r="I2295" t="s">
        <v>5104</v>
      </c>
      <c r="J2295" t="s">
        <v>5105</v>
      </c>
      <c r="K2295" t="s">
        <v>5106</v>
      </c>
      <c r="L2295" s="12" t="s">
        <v>65</v>
      </c>
      <c r="M2295" s="12" t="s">
        <v>126</v>
      </c>
      <c r="N2295" s="12" t="s">
        <v>99</v>
      </c>
      <c r="O2295" s="12" t="s">
        <v>106</v>
      </c>
      <c r="P2295" s="12" t="s">
        <v>125</v>
      </c>
      <c r="Q2295" s="7" t="str">
        <f t="shared" si="106"/>
        <v>(2001,7,'2001.02.17',13,28,52,75,83,0),</v>
      </c>
      <c r="R2295" s="7" t="str">
        <f t="shared" si="108"/>
        <v>(2001,7,'2001.02.17',13,28,52,75,83),</v>
      </c>
    </row>
    <row r="2296" spans="1:18" x14ac:dyDescent="0.25">
      <c r="A2296" s="7" t="s">
        <v>4895</v>
      </c>
      <c r="B2296" s="8" t="s">
        <v>232</v>
      </c>
      <c r="C2296" s="10">
        <f t="shared" si="107"/>
        <v>36946</v>
      </c>
      <c r="D2296" t="s">
        <v>11</v>
      </c>
      <c r="E2296" t="s">
        <v>12</v>
      </c>
      <c r="F2296" t="s">
        <v>55</v>
      </c>
      <c r="G2296" t="s">
        <v>5097</v>
      </c>
      <c r="H2296" t="s">
        <v>5098</v>
      </c>
      <c r="I2296" t="s">
        <v>5099</v>
      </c>
      <c r="J2296" t="s">
        <v>5100</v>
      </c>
      <c r="K2296" t="s">
        <v>5101</v>
      </c>
      <c r="L2296" s="12" t="s">
        <v>108</v>
      </c>
      <c r="M2296" s="12" t="s">
        <v>198</v>
      </c>
      <c r="N2296" s="12" t="s">
        <v>25</v>
      </c>
      <c r="O2296" s="12" t="s">
        <v>64</v>
      </c>
      <c r="P2296" s="12" t="s">
        <v>308</v>
      </c>
      <c r="Q2296" s="7" t="str">
        <f t="shared" si="106"/>
        <v>(2001,8,'2001.02.24',1,9,34,35,86,0),</v>
      </c>
      <c r="R2296" s="7" t="str">
        <f t="shared" si="108"/>
        <v>(2001,8,'2001.02.24',1,9,34,35,86),</v>
      </c>
    </row>
    <row r="2297" spans="1:18" x14ac:dyDescent="0.25">
      <c r="A2297" s="7" t="s">
        <v>4895</v>
      </c>
      <c r="B2297" s="8" t="s">
        <v>198</v>
      </c>
      <c r="C2297" s="10">
        <f t="shared" si="107"/>
        <v>36953</v>
      </c>
      <c r="D2297" t="s">
        <v>11</v>
      </c>
      <c r="E2297" t="s">
        <v>12</v>
      </c>
      <c r="F2297" t="s">
        <v>74</v>
      </c>
      <c r="G2297" t="s">
        <v>5093</v>
      </c>
      <c r="H2297" t="s">
        <v>5094</v>
      </c>
      <c r="I2297" t="s">
        <v>5095</v>
      </c>
      <c r="J2297" t="s">
        <v>5096</v>
      </c>
      <c r="K2297" t="s">
        <v>5031</v>
      </c>
      <c r="L2297" s="12" t="s">
        <v>36</v>
      </c>
      <c r="M2297" s="12" t="s">
        <v>150</v>
      </c>
      <c r="N2297" s="12" t="s">
        <v>169</v>
      </c>
      <c r="O2297" s="12" t="s">
        <v>124</v>
      </c>
      <c r="P2297" s="12" t="s">
        <v>248</v>
      </c>
      <c r="Q2297" s="7" t="str">
        <f t="shared" si="106"/>
        <v>(2001,9,'2001.03.03',38,57,58,62,63,0),</v>
      </c>
      <c r="R2297" s="7" t="str">
        <f t="shared" si="108"/>
        <v>(2001,9,'2001.03.03',38,57,58,62,63),</v>
      </c>
    </row>
    <row r="2298" spans="1:18" x14ac:dyDescent="0.25">
      <c r="A2298" s="7" t="s">
        <v>4895</v>
      </c>
      <c r="B2298" s="8" t="s">
        <v>62</v>
      </c>
      <c r="C2298" s="10">
        <f t="shared" si="107"/>
        <v>36960</v>
      </c>
      <c r="D2298" t="s">
        <v>11</v>
      </c>
      <c r="E2298" t="s">
        <v>12</v>
      </c>
      <c r="F2298" t="s">
        <v>65</v>
      </c>
      <c r="G2298" t="s">
        <v>5089</v>
      </c>
      <c r="H2298" t="s">
        <v>1468</v>
      </c>
      <c r="I2298" t="s">
        <v>5090</v>
      </c>
      <c r="J2298" t="s">
        <v>5091</v>
      </c>
      <c r="K2298" t="s">
        <v>5092</v>
      </c>
      <c r="L2298" s="12" t="s">
        <v>33</v>
      </c>
      <c r="M2298" s="12" t="s">
        <v>91</v>
      </c>
      <c r="N2298" s="12" t="s">
        <v>92</v>
      </c>
      <c r="O2298" s="12" t="s">
        <v>106</v>
      </c>
      <c r="P2298" s="12" t="s">
        <v>468</v>
      </c>
      <c r="Q2298" s="7" t="str">
        <f t="shared" si="106"/>
        <v>(2001,10,'2001.03.10',24,61,68,75,85,0),</v>
      </c>
      <c r="R2298" s="7" t="str">
        <f t="shared" si="108"/>
        <v>(2001,10,'2001.03.10',24,61,68,75,85),</v>
      </c>
    </row>
    <row r="2299" spans="1:18" x14ac:dyDescent="0.25">
      <c r="A2299" s="7" t="s">
        <v>4895</v>
      </c>
      <c r="B2299" s="8" t="s">
        <v>83</v>
      </c>
      <c r="C2299" s="10">
        <f t="shared" si="107"/>
        <v>36967</v>
      </c>
      <c r="D2299" t="s">
        <v>11</v>
      </c>
      <c r="E2299" t="s">
        <v>12</v>
      </c>
      <c r="F2299" t="s">
        <v>33</v>
      </c>
      <c r="G2299" t="s">
        <v>5085</v>
      </c>
      <c r="H2299" t="s">
        <v>5086</v>
      </c>
      <c r="I2299" t="s">
        <v>5087</v>
      </c>
      <c r="J2299" t="s">
        <v>5088</v>
      </c>
      <c r="K2299" t="s">
        <v>3927</v>
      </c>
      <c r="L2299" s="12" t="s">
        <v>54</v>
      </c>
      <c r="M2299" s="12" t="s">
        <v>80</v>
      </c>
      <c r="N2299" s="12" t="s">
        <v>98</v>
      </c>
      <c r="O2299" s="12" t="s">
        <v>81</v>
      </c>
      <c r="P2299" s="12" t="s">
        <v>99</v>
      </c>
      <c r="Q2299" s="7" t="str">
        <f t="shared" si="106"/>
        <v>(2001,11,'2001.03.17',15,32,42,47,52,0),</v>
      </c>
      <c r="R2299" s="7" t="str">
        <f t="shared" si="108"/>
        <v>(2001,11,'2001.03.17',15,32,42,47,52),</v>
      </c>
    </row>
    <row r="2300" spans="1:18" x14ac:dyDescent="0.25">
      <c r="A2300" s="7" t="s">
        <v>4895</v>
      </c>
      <c r="B2300" s="8" t="s">
        <v>31</v>
      </c>
      <c r="C2300" s="10">
        <f t="shared" si="107"/>
        <v>36974</v>
      </c>
      <c r="D2300" t="s">
        <v>11</v>
      </c>
      <c r="E2300" t="s">
        <v>12</v>
      </c>
      <c r="F2300" t="s">
        <v>33</v>
      </c>
      <c r="G2300" t="s">
        <v>5080</v>
      </c>
      <c r="H2300" t="s">
        <v>5081</v>
      </c>
      <c r="I2300" t="s">
        <v>5082</v>
      </c>
      <c r="J2300" t="s">
        <v>5083</v>
      </c>
      <c r="K2300" t="s">
        <v>5084</v>
      </c>
      <c r="L2300" s="12" t="s">
        <v>44</v>
      </c>
      <c r="M2300" s="12" t="s">
        <v>74</v>
      </c>
      <c r="N2300" s="12" t="s">
        <v>135</v>
      </c>
      <c r="O2300" s="12" t="s">
        <v>98</v>
      </c>
      <c r="P2300" s="12" t="s">
        <v>239</v>
      </c>
      <c r="Q2300" s="7" t="str">
        <f t="shared" si="106"/>
        <v>(2001,12,'2001.03.24',21,26,27,42,73,0),</v>
      </c>
      <c r="R2300" s="7" t="str">
        <f t="shared" si="108"/>
        <v>(2001,12,'2001.03.24',21,26,27,42,73),</v>
      </c>
    </row>
    <row r="2301" spans="1:18" x14ac:dyDescent="0.25">
      <c r="A2301" s="7" t="s">
        <v>4895</v>
      </c>
      <c r="B2301" s="8" t="s">
        <v>65</v>
      </c>
      <c r="C2301" s="10">
        <f t="shared" si="107"/>
        <v>36981</v>
      </c>
      <c r="D2301" t="s">
        <v>11</v>
      </c>
      <c r="E2301" t="s">
        <v>12</v>
      </c>
      <c r="F2301" t="s">
        <v>33</v>
      </c>
      <c r="G2301" t="s">
        <v>5075</v>
      </c>
      <c r="H2301" t="s">
        <v>5076</v>
      </c>
      <c r="I2301" t="s">
        <v>5077</v>
      </c>
      <c r="J2301" t="s">
        <v>5078</v>
      </c>
      <c r="K2301" t="s">
        <v>5079</v>
      </c>
      <c r="L2301" s="12" t="s">
        <v>31</v>
      </c>
      <c r="M2301" s="12" t="s">
        <v>126</v>
      </c>
      <c r="N2301" s="12" t="s">
        <v>46</v>
      </c>
      <c r="O2301" s="12" t="s">
        <v>91</v>
      </c>
      <c r="P2301" s="12" t="s">
        <v>301</v>
      </c>
      <c r="Q2301" s="7" t="str">
        <f t="shared" si="106"/>
        <v>(2001,13,'2001.03.31',12,28,37,61,80,0),</v>
      </c>
      <c r="R2301" s="7" t="str">
        <f t="shared" si="108"/>
        <v>(2001,13,'2001.03.31',12,28,37,61,80),</v>
      </c>
    </row>
    <row r="2302" spans="1:18" x14ac:dyDescent="0.25">
      <c r="A2302" s="7" t="s">
        <v>4895</v>
      </c>
      <c r="B2302" s="8" t="s">
        <v>127</v>
      </c>
      <c r="C2302" s="10">
        <f t="shared" si="107"/>
        <v>36988</v>
      </c>
      <c r="D2302" t="s">
        <v>11</v>
      </c>
      <c r="E2302" t="s">
        <v>12</v>
      </c>
      <c r="F2302" t="s">
        <v>301</v>
      </c>
      <c r="G2302" t="s">
        <v>5070</v>
      </c>
      <c r="H2302" t="s">
        <v>5071</v>
      </c>
      <c r="I2302" t="s">
        <v>5072</v>
      </c>
      <c r="J2302" t="s">
        <v>5073</v>
      </c>
      <c r="K2302" t="s">
        <v>5074</v>
      </c>
      <c r="L2302" s="12" t="s">
        <v>168</v>
      </c>
      <c r="M2302" s="12" t="s">
        <v>198</v>
      </c>
      <c r="N2302" s="12" t="s">
        <v>83</v>
      </c>
      <c r="O2302" s="12" t="s">
        <v>46</v>
      </c>
      <c r="P2302" s="12" t="s">
        <v>199</v>
      </c>
      <c r="Q2302" s="7" t="str">
        <f t="shared" si="106"/>
        <v>(2001,14,'2001.04.07',4,9,11,37,53,0),</v>
      </c>
      <c r="R2302" s="7" t="str">
        <f t="shared" si="108"/>
        <v>(2001,14,'2001.04.07',4,9,11,37,53),</v>
      </c>
    </row>
    <row r="2303" spans="1:18" x14ac:dyDescent="0.25">
      <c r="A2303" s="7" t="s">
        <v>4895</v>
      </c>
      <c r="B2303" s="8" t="s">
        <v>54</v>
      </c>
      <c r="C2303" s="10">
        <f t="shared" si="107"/>
        <v>36995</v>
      </c>
      <c r="D2303" t="s">
        <v>11</v>
      </c>
      <c r="E2303" t="s">
        <v>12</v>
      </c>
      <c r="F2303" t="s">
        <v>36</v>
      </c>
      <c r="G2303" t="s">
        <v>5066</v>
      </c>
      <c r="H2303" t="s">
        <v>5067</v>
      </c>
      <c r="I2303" t="s">
        <v>5068</v>
      </c>
      <c r="J2303" t="s">
        <v>5069</v>
      </c>
      <c r="K2303" t="s">
        <v>4057</v>
      </c>
      <c r="L2303" s="12" t="s">
        <v>62</v>
      </c>
      <c r="M2303" s="12" t="s">
        <v>71</v>
      </c>
      <c r="N2303" s="12" t="s">
        <v>133</v>
      </c>
      <c r="O2303" s="12" t="s">
        <v>56</v>
      </c>
      <c r="P2303" s="12" t="s">
        <v>63</v>
      </c>
      <c r="Q2303" s="7" t="str">
        <f t="shared" si="106"/>
        <v>(2001,15,'2001.04.14',10,31,45,71,78,0),</v>
      </c>
      <c r="R2303" s="7" t="str">
        <f t="shared" si="108"/>
        <v>(2001,15,'2001.04.14',10,31,45,71,78),</v>
      </c>
    </row>
    <row r="2304" spans="1:18" x14ac:dyDescent="0.25">
      <c r="A2304" s="7" t="s">
        <v>4895</v>
      </c>
      <c r="B2304" s="8" t="s">
        <v>43</v>
      </c>
      <c r="C2304" s="10">
        <f t="shared" si="107"/>
        <v>37002</v>
      </c>
      <c r="D2304" t="s">
        <v>11</v>
      </c>
      <c r="E2304" t="s">
        <v>12</v>
      </c>
      <c r="F2304" t="s">
        <v>126</v>
      </c>
      <c r="G2304" t="s">
        <v>5062</v>
      </c>
      <c r="H2304" t="s">
        <v>5063</v>
      </c>
      <c r="I2304" t="s">
        <v>5064</v>
      </c>
      <c r="J2304" t="s">
        <v>5065</v>
      </c>
      <c r="K2304" t="s">
        <v>3503</v>
      </c>
      <c r="L2304" s="12" t="s">
        <v>65</v>
      </c>
      <c r="M2304" s="12" t="s">
        <v>54</v>
      </c>
      <c r="N2304" s="12" t="s">
        <v>126</v>
      </c>
      <c r="O2304" s="12" t="s">
        <v>133</v>
      </c>
      <c r="P2304" s="12" t="s">
        <v>151</v>
      </c>
      <c r="Q2304" s="7" t="str">
        <f t="shared" si="106"/>
        <v>(2001,16,'2001.04.21',13,15,28,45,79,0),</v>
      </c>
      <c r="R2304" s="7" t="str">
        <f t="shared" si="108"/>
        <v>(2001,16,'2001.04.21',13,15,28,45,79),</v>
      </c>
    </row>
    <row r="2305" spans="1:18" x14ac:dyDescent="0.25">
      <c r="A2305" s="7" t="s">
        <v>4895</v>
      </c>
      <c r="B2305" s="8" t="s">
        <v>90</v>
      </c>
      <c r="C2305" s="10">
        <f t="shared" si="107"/>
        <v>37009</v>
      </c>
      <c r="D2305" t="s">
        <v>11</v>
      </c>
      <c r="E2305" t="s">
        <v>12</v>
      </c>
      <c r="F2305" t="s">
        <v>99</v>
      </c>
      <c r="G2305" t="s">
        <v>5057</v>
      </c>
      <c r="H2305" t="s">
        <v>5058</v>
      </c>
      <c r="I2305" t="s">
        <v>5059</v>
      </c>
      <c r="J2305" t="s">
        <v>5060</v>
      </c>
      <c r="K2305" t="s">
        <v>5061</v>
      </c>
      <c r="L2305" s="12" t="s">
        <v>108</v>
      </c>
      <c r="M2305" s="12" t="s">
        <v>31</v>
      </c>
      <c r="N2305" s="12" t="s">
        <v>33</v>
      </c>
      <c r="O2305" s="12" t="s">
        <v>99</v>
      </c>
      <c r="P2305" s="12" t="s">
        <v>269</v>
      </c>
      <c r="Q2305" s="7" t="str">
        <f t="shared" si="106"/>
        <v>(2001,17,'2001.04.28',1,12,24,52,87,0),</v>
      </c>
      <c r="R2305" s="7" t="str">
        <f t="shared" si="108"/>
        <v>(2001,17,'2001.04.28',1,12,24,52,87),</v>
      </c>
    </row>
    <row r="2306" spans="1:18" x14ac:dyDescent="0.25">
      <c r="A2306" s="7" t="s">
        <v>4895</v>
      </c>
      <c r="B2306" s="8" t="s">
        <v>19</v>
      </c>
      <c r="C2306" s="10">
        <f t="shared" si="107"/>
        <v>37016</v>
      </c>
      <c r="D2306" t="s">
        <v>108</v>
      </c>
      <c r="E2306" t="s">
        <v>5051</v>
      </c>
      <c r="F2306" t="s">
        <v>23</v>
      </c>
      <c r="G2306" t="s">
        <v>5052</v>
      </c>
      <c r="H2306" t="s">
        <v>5053</v>
      </c>
      <c r="I2306" t="s">
        <v>5054</v>
      </c>
      <c r="J2306" t="s">
        <v>5055</v>
      </c>
      <c r="K2306" t="s">
        <v>5056</v>
      </c>
      <c r="L2306" s="12" t="s">
        <v>89</v>
      </c>
      <c r="M2306" s="12" t="s">
        <v>31</v>
      </c>
      <c r="N2306" s="12" t="s">
        <v>54</v>
      </c>
      <c r="O2306" s="12" t="s">
        <v>90</v>
      </c>
      <c r="P2306" s="12" t="s">
        <v>47</v>
      </c>
      <c r="Q2306" s="7" t="str">
        <f t="shared" ref="Q2306:Q2369" si="109">"("&amp;A2306&amp;","&amp;B2306&amp;",'"&amp;TEXT(C2306,"éééé.hh.nn")&amp;"',"&amp;L2306&amp;","&amp;M2306&amp;","&amp;N2306&amp;","&amp;O2306&amp;","&amp;P2306&amp;",0)"&amp;IF(P2307&lt;&gt;0,",","")</f>
        <v>(2001,18,'2001.05.05',5,12,15,17,69,0),</v>
      </c>
      <c r="R2306" s="7" t="str">
        <f t="shared" si="108"/>
        <v>(2001,18,'2001.05.05',5,12,15,17,69),</v>
      </c>
    </row>
    <row r="2307" spans="1:18" x14ac:dyDescent="0.25">
      <c r="A2307" s="7" t="s">
        <v>4895</v>
      </c>
      <c r="B2307" s="8" t="s">
        <v>55</v>
      </c>
      <c r="C2307" s="10">
        <f t="shared" ref="C2307:C2370" si="110">+C2306+7</f>
        <v>37023</v>
      </c>
      <c r="D2307" t="s">
        <v>11</v>
      </c>
      <c r="E2307" t="s">
        <v>12</v>
      </c>
      <c r="F2307" t="s">
        <v>133</v>
      </c>
      <c r="G2307" t="s">
        <v>5046</v>
      </c>
      <c r="H2307" t="s">
        <v>5047</v>
      </c>
      <c r="I2307" t="s">
        <v>5048</v>
      </c>
      <c r="J2307" t="s">
        <v>5049</v>
      </c>
      <c r="K2307" t="s">
        <v>5050</v>
      </c>
      <c r="L2307" s="12" t="s">
        <v>31</v>
      </c>
      <c r="M2307" s="12" t="s">
        <v>135</v>
      </c>
      <c r="N2307" s="12" t="s">
        <v>134</v>
      </c>
      <c r="O2307" s="12" t="s">
        <v>169</v>
      </c>
      <c r="P2307" s="12" t="s">
        <v>248</v>
      </c>
      <c r="Q2307" s="7" t="str">
        <f t="shared" si="109"/>
        <v>(2001,19,'2001.05.12',12,27,56,58,63,0),</v>
      </c>
      <c r="R2307" s="7" t="str">
        <f t="shared" ref="R2307:R2370" si="111">IF(TRIM(P2307)="","","("&amp;A2307&amp;","&amp;B2307&amp;",'"&amp;TEXT(C2307,"éééé.hh.nn")&amp;"',"&amp;L2307&amp;","&amp;M2307&amp;","&amp;N2307&amp;","&amp;O2307&amp;","&amp;P2307&amp;")"&amp;IF(P2308=0,";",","))</f>
        <v>(2001,19,'2001.05.12',12,27,56,58,63),</v>
      </c>
    </row>
    <row r="2308" spans="1:18" x14ac:dyDescent="0.25">
      <c r="A2308" s="7" t="s">
        <v>4895</v>
      </c>
      <c r="B2308" s="8" t="s">
        <v>115</v>
      </c>
      <c r="C2308" s="10">
        <f t="shared" si="110"/>
        <v>37030</v>
      </c>
      <c r="D2308" t="s">
        <v>11</v>
      </c>
      <c r="E2308" t="s">
        <v>12</v>
      </c>
      <c r="F2308" t="s">
        <v>33</v>
      </c>
      <c r="G2308" t="s">
        <v>5041</v>
      </c>
      <c r="H2308" t="s">
        <v>5042</v>
      </c>
      <c r="I2308" t="s">
        <v>5043</v>
      </c>
      <c r="J2308" t="s">
        <v>5044</v>
      </c>
      <c r="K2308" t="s">
        <v>5045</v>
      </c>
      <c r="L2308" s="12" t="s">
        <v>42</v>
      </c>
      <c r="M2308" s="12" t="s">
        <v>19</v>
      </c>
      <c r="N2308" s="12" t="s">
        <v>169</v>
      </c>
      <c r="O2308" s="12" t="s">
        <v>82</v>
      </c>
      <c r="P2308" s="12" t="s">
        <v>201</v>
      </c>
      <c r="Q2308" s="7" t="str">
        <f t="shared" si="109"/>
        <v>(2001,20,'2001.05.19',3,18,58,59,72,0),</v>
      </c>
      <c r="R2308" s="7" t="str">
        <f t="shared" si="111"/>
        <v>(2001,20,'2001.05.19',3,18,58,59,72),</v>
      </c>
    </row>
    <row r="2309" spans="1:18" x14ac:dyDescent="0.25">
      <c r="A2309" s="7" t="s">
        <v>4895</v>
      </c>
      <c r="B2309" s="8" t="s">
        <v>44</v>
      </c>
      <c r="C2309" s="10">
        <f t="shared" si="110"/>
        <v>37037</v>
      </c>
      <c r="D2309" t="s">
        <v>11</v>
      </c>
      <c r="E2309" t="s">
        <v>12</v>
      </c>
      <c r="F2309" t="s">
        <v>24</v>
      </c>
      <c r="G2309" t="s">
        <v>5037</v>
      </c>
      <c r="H2309" t="s">
        <v>3363</v>
      </c>
      <c r="I2309" t="s">
        <v>5038</v>
      </c>
      <c r="J2309" t="s">
        <v>5039</v>
      </c>
      <c r="K2309" t="s">
        <v>5040</v>
      </c>
      <c r="L2309" s="12" t="s">
        <v>89</v>
      </c>
      <c r="M2309" s="12" t="s">
        <v>53</v>
      </c>
      <c r="N2309" s="12" t="s">
        <v>192</v>
      </c>
      <c r="O2309" s="12" t="s">
        <v>99</v>
      </c>
      <c r="P2309" s="12" t="s">
        <v>246</v>
      </c>
      <c r="Q2309" s="7" t="str">
        <f t="shared" si="109"/>
        <v>(2001,21,'2001.05.26',5,7,46,52,84,0),</v>
      </c>
      <c r="R2309" s="7" t="str">
        <f t="shared" si="111"/>
        <v>(2001,21,'2001.05.26',5,7,46,52,84),</v>
      </c>
    </row>
    <row r="2310" spans="1:18" x14ac:dyDescent="0.25">
      <c r="A2310" s="7" t="s">
        <v>4895</v>
      </c>
      <c r="B2310" s="8" t="s">
        <v>32</v>
      </c>
      <c r="C2310" s="10">
        <f t="shared" si="110"/>
        <v>37044</v>
      </c>
      <c r="D2310" t="s">
        <v>11</v>
      </c>
      <c r="E2310" t="s">
        <v>12</v>
      </c>
      <c r="F2310" t="s">
        <v>33</v>
      </c>
      <c r="G2310" t="s">
        <v>5032</v>
      </c>
      <c r="H2310" t="s">
        <v>5033</v>
      </c>
      <c r="I2310" t="s">
        <v>5034</v>
      </c>
      <c r="J2310" t="s">
        <v>5035</v>
      </c>
      <c r="K2310" t="s">
        <v>5036</v>
      </c>
      <c r="L2310" s="12" t="s">
        <v>32</v>
      </c>
      <c r="M2310" s="12" t="s">
        <v>163</v>
      </c>
      <c r="N2310" s="12" t="s">
        <v>122</v>
      </c>
      <c r="O2310" s="12" t="s">
        <v>63</v>
      </c>
      <c r="P2310" s="12" t="s">
        <v>379</v>
      </c>
      <c r="Q2310" s="7" t="str">
        <f t="shared" si="109"/>
        <v>(2001,22,'2001.06.02',22,23,51,78,89,0),</v>
      </c>
      <c r="R2310" s="7" t="str">
        <f t="shared" si="111"/>
        <v>(2001,22,'2001.06.02',22,23,51,78,89),</v>
      </c>
    </row>
    <row r="2311" spans="1:18" x14ac:dyDescent="0.25">
      <c r="A2311" s="7" t="s">
        <v>4895</v>
      </c>
      <c r="B2311" s="8" t="s">
        <v>163</v>
      </c>
      <c r="C2311" s="10">
        <f t="shared" si="110"/>
        <v>37051</v>
      </c>
      <c r="D2311" t="s">
        <v>11</v>
      </c>
      <c r="E2311" t="s">
        <v>12</v>
      </c>
      <c r="F2311" t="s">
        <v>123</v>
      </c>
      <c r="G2311" t="s">
        <v>5027</v>
      </c>
      <c r="H2311" t="s">
        <v>5028</v>
      </c>
      <c r="I2311" t="s">
        <v>5029</v>
      </c>
      <c r="J2311" t="s">
        <v>5030</v>
      </c>
      <c r="K2311" t="s">
        <v>5031</v>
      </c>
      <c r="L2311" s="12" t="s">
        <v>127</v>
      </c>
      <c r="M2311" s="12" t="s">
        <v>55</v>
      </c>
      <c r="N2311" s="12" t="s">
        <v>142</v>
      </c>
      <c r="O2311" s="12" t="s">
        <v>133</v>
      </c>
      <c r="P2311" s="12" t="s">
        <v>72</v>
      </c>
      <c r="Q2311" s="7" t="str">
        <f t="shared" si="109"/>
        <v>(2001,23,'2001.06.09',14,19,44,45,67,0),</v>
      </c>
      <c r="R2311" s="7" t="str">
        <f t="shared" si="111"/>
        <v>(2001,23,'2001.06.09',14,19,44,45,67),</v>
      </c>
    </row>
    <row r="2312" spans="1:18" x14ac:dyDescent="0.25">
      <c r="A2312" s="7" t="s">
        <v>4895</v>
      </c>
      <c r="B2312" s="8" t="s">
        <v>33</v>
      </c>
      <c r="C2312" s="10">
        <f t="shared" si="110"/>
        <v>37058</v>
      </c>
      <c r="D2312" t="s">
        <v>11</v>
      </c>
      <c r="E2312" t="s">
        <v>12</v>
      </c>
      <c r="F2312" t="s">
        <v>64</v>
      </c>
      <c r="G2312" t="s">
        <v>5022</v>
      </c>
      <c r="H2312" t="s">
        <v>5023</v>
      </c>
      <c r="I2312" t="s">
        <v>5024</v>
      </c>
      <c r="J2312" t="s">
        <v>5025</v>
      </c>
      <c r="K2312" t="s">
        <v>5026</v>
      </c>
      <c r="L2312" s="12" t="s">
        <v>31</v>
      </c>
      <c r="M2312" s="12" t="s">
        <v>21</v>
      </c>
      <c r="N2312" s="12" t="s">
        <v>10</v>
      </c>
      <c r="O2312" s="12" t="s">
        <v>56</v>
      </c>
      <c r="P2312" s="12" t="s">
        <v>201</v>
      </c>
      <c r="Q2312" s="7" t="str">
        <f t="shared" si="109"/>
        <v>(2001,24,'2001.06.16',12,36,40,71,72,0),</v>
      </c>
      <c r="R2312" s="7" t="str">
        <f t="shared" si="111"/>
        <v>(2001,24,'2001.06.16',12,36,40,71,72),</v>
      </c>
    </row>
    <row r="2313" spans="1:18" x14ac:dyDescent="0.25">
      <c r="A2313" s="7" t="s">
        <v>4895</v>
      </c>
      <c r="B2313" s="8" t="s">
        <v>152</v>
      </c>
      <c r="C2313" s="10">
        <f t="shared" si="110"/>
        <v>37065</v>
      </c>
      <c r="D2313" t="s">
        <v>11</v>
      </c>
      <c r="E2313" t="s">
        <v>12</v>
      </c>
      <c r="F2313" t="s">
        <v>62</v>
      </c>
      <c r="G2313" t="s">
        <v>5017</v>
      </c>
      <c r="H2313" t="s">
        <v>5018</v>
      </c>
      <c r="I2313" t="s">
        <v>5019</v>
      </c>
      <c r="J2313" t="s">
        <v>5020</v>
      </c>
      <c r="K2313" t="s">
        <v>5021</v>
      </c>
      <c r="L2313" s="12" t="s">
        <v>64</v>
      </c>
      <c r="M2313" s="12" t="s">
        <v>36</v>
      </c>
      <c r="N2313" s="12" t="s">
        <v>192</v>
      </c>
      <c r="O2313" s="12" t="s">
        <v>91</v>
      </c>
      <c r="P2313" s="12" t="s">
        <v>124</v>
      </c>
      <c r="Q2313" s="7" t="str">
        <f t="shared" si="109"/>
        <v>(2001,25,'2001.06.23',35,38,46,61,62,0),</v>
      </c>
      <c r="R2313" s="7" t="str">
        <f t="shared" si="111"/>
        <v>(2001,25,'2001.06.23',35,38,46,61,62),</v>
      </c>
    </row>
    <row r="2314" spans="1:18" x14ac:dyDescent="0.25">
      <c r="A2314" s="7" t="s">
        <v>4895</v>
      </c>
      <c r="B2314" s="8" t="s">
        <v>74</v>
      </c>
      <c r="C2314" s="10">
        <f t="shared" si="110"/>
        <v>37072</v>
      </c>
      <c r="D2314" t="s">
        <v>108</v>
      </c>
      <c r="E2314" t="s">
        <v>5012</v>
      </c>
      <c r="F2314" t="s">
        <v>45</v>
      </c>
      <c r="G2314" t="s">
        <v>5013</v>
      </c>
      <c r="H2314" t="s">
        <v>1712</v>
      </c>
      <c r="I2314" t="s">
        <v>5014</v>
      </c>
      <c r="J2314" t="s">
        <v>5015</v>
      </c>
      <c r="K2314" t="s">
        <v>5016</v>
      </c>
      <c r="L2314" s="12" t="s">
        <v>65</v>
      </c>
      <c r="M2314" s="12" t="s">
        <v>133</v>
      </c>
      <c r="N2314" s="12" t="s">
        <v>22</v>
      </c>
      <c r="O2314" s="12" t="s">
        <v>123</v>
      </c>
      <c r="P2314" s="12" t="s">
        <v>186</v>
      </c>
      <c r="Q2314" s="7" t="str">
        <f t="shared" si="109"/>
        <v>(2001,26,'2001.06.30',13,45,48,54,90,0),</v>
      </c>
      <c r="R2314" s="7" t="str">
        <f t="shared" si="111"/>
        <v>(2001,26,'2001.06.30',13,45,48,54,90),</v>
      </c>
    </row>
    <row r="2315" spans="1:18" x14ac:dyDescent="0.25">
      <c r="A2315" s="7" t="s">
        <v>4895</v>
      </c>
      <c r="B2315" s="8" t="s">
        <v>135</v>
      </c>
      <c r="C2315" s="10">
        <f t="shared" si="110"/>
        <v>37079</v>
      </c>
      <c r="D2315" t="s">
        <v>11</v>
      </c>
      <c r="E2315" t="s">
        <v>12</v>
      </c>
      <c r="F2315" t="s">
        <v>32</v>
      </c>
      <c r="G2315" t="s">
        <v>5008</v>
      </c>
      <c r="H2315" t="s">
        <v>5009</v>
      </c>
      <c r="I2315" t="s">
        <v>4870</v>
      </c>
      <c r="J2315" t="s">
        <v>5010</v>
      </c>
      <c r="K2315" t="s">
        <v>5011</v>
      </c>
      <c r="L2315" s="12" t="s">
        <v>152</v>
      </c>
      <c r="M2315" s="12" t="s">
        <v>135</v>
      </c>
      <c r="N2315" s="12" t="s">
        <v>239</v>
      </c>
      <c r="O2315" s="12" t="s">
        <v>73</v>
      </c>
      <c r="P2315" s="12" t="s">
        <v>143</v>
      </c>
      <c r="Q2315" s="7" t="str">
        <f t="shared" si="109"/>
        <v>(2001,27,'2001.07.07',25,27,73,76,77,0),</v>
      </c>
      <c r="R2315" s="7" t="str">
        <f t="shared" si="111"/>
        <v>(2001,27,'2001.07.07',25,27,73,76,77),</v>
      </c>
    </row>
    <row r="2316" spans="1:18" x14ac:dyDescent="0.25">
      <c r="A2316" s="7" t="s">
        <v>4895</v>
      </c>
      <c r="B2316" s="8" t="s">
        <v>126</v>
      </c>
      <c r="C2316" s="10">
        <f t="shared" si="110"/>
        <v>37086</v>
      </c>
      <c r="D2316" t="s">
        <v>108</v>
      </c>
      <c r="E2316" t="s">
        <v>5003</v>
      </c>
      <c r="F2316" t="s">
        <v>124</v>
      </c>
      <c r="G2316" t="s">
        <v>5004</v>
      </c>
      <c r="H2316" t="s">
        <v>2144</v>
      </c>
      <c r="I2316" t="s">
        <v>5005</v>
      </c>
      <c r="J2316" t="s">
        <v>5006</v>
      </c>
      <c r="K2316" t="s">
        <v>5007</v>
      </c>
      <c r="L2316" s="12" t="s">
        <v>42</v>
      </c>
      <c r="M2316" s="12" t="s">
        <v>54</v>
      </c>
      <c r="N2316" s="12" t="s">
        <v>24</v>
      </c>
      <c r="O2316" s="12" t="s">
        <v>72</v>
      </c>
      <c r="P2316" s="12" t="s">
        <v>73</v>
      </c>
      <c r="Q2316" s="7" t="str">
        <f t="shared" si="109"/>
        <v>(2001,28,'2001.07.14',3,15,39,67,76,0),</v>
      </c>
      <c r="R2316" s="7" t="str">
        <f t="shared" si="111"/>
        <v>(2001,28,'2001.07.14',3,15,39,67,76),</v>
      </c>
    </row>
    <row r="2317" spans="1:18" x14ac:dyDescent="0.25">
      <c r="A2317" s="7" t="s">
        <v>4895</v>
      </c>
      <c r="B2317" s="8" t="s">
        <v>116</v>
      </c>
      <c r="C2317" s="10">
        <f t="shared" si="110"/>
        <v>37093</v>
      </c>
      <c r="D2317" t="s">
        <v>11</v>
      </c>
      <c r="E2317" t="s">
        <v>12</v>
      </c>
      <c r="F2317" t="s">
        <v>46</v>
      </c>
      <c r="G2317" t="s">
        <v>4998</v>
      </c>
      <c r="H2317" t="s">
        <v>4999</v>
      </c>
      <c r="I2317" t="s">
        <v>5000</v>
      </c>
      <c r="J2317" t="s">
        <v>5001</v>
      </c>
      <c r="K2317" t="s">
        <v>5002</v>
      </c>
      <c r="L2317" s="12" t="s">
        <v>168</v>
      </c>
      <c r="M2317" s="12" t="s">
        <v>115</v>
      </c>
      <c r="N2317" s="12" t="s">
        <v>45</v>
      </c>
      <c r="O2317" s="12" t="s">
        <v>169</v>
      </c>
      <c r="P2317" s="12" t="s">
        <v>72</v>
      </c>
      <c r="Q2317" s="7" t="str">
        <f t="shared" si="109"/>
        <v>(2001,29,'2001.07.21',4,20,43,58,67,0),</v>
      </c>
      <c r="R2317" s="7" t="str">
        <f t="shared" si="111"/>
        <v>(2001,29,'2001.07.21',4,20,43,58,67),</v>
      </c>
    </row>
    <row r="2318" spans="1:18" x14ac:dyDescent="0.25">
      <c r="A2318" s="7" t="s">
        <v>4895</v>
      </c>
      <c r="B2318" s="8" t="s">
        <v>107</v>
      </c>
      <c r="C2318" s="10">
        <f t="shared" si="110"/>
        <v>37100</v>
      </c>
      <c r="D2318" t="s">
        <v>11</v>
      </c>
      <c r="E2318" t="s">
        <v>12</v>
      </c>
      <c r="F2318" t="s">
        <v>71</v>
      </c>
      <c r="G2318" t="s">
        <v>4995</v>
      </c>
      <c r="H2318" t="s">
        <v>3540</v>
      </c>
      <c r="I2318" t="s">
        <v>4996</v>
      </c>
      <c r="J2318" t="s">
        <v>4997</v>
      </c>
      <c r="K2318" t="s">
        <v>4340</v>
      </c>
      <c r="L2318" s="12" t="s">
        <v>108</v>
      </c>
      <c r="M2318" s="12" t="s">
        <v>270</v>
      </c>
      <c r="N2318" s="12" t="s">
        <v>152</v>
      </c>
      <c r="O2318" s="12" t="s">
        <v>116</v>
      </c>
      <c r="P2318" s="12" t="s">
        <v>13</v>
      </c>
      <c r="Q2318" s="7" t="str">
        <f t="shared" si="109"/>
        <v>(2001,30,'2001.07.28',1,6,25,29,41,0),</v>
      </c>
      <c r="R2318" s="7" t="str">
        <f t="shared" si="111"/>
        <v>(2001,30,'2001.07.28',1,6,25,29,41),</v>
      </c>
    </row>
    <row r="2319" spans="1:18" x14ac:dyDescent="0.25">
      <c r="A2319" s="7" t="s">
        <v>4895</v>
      </c>
      <c r="B2319" s="8" t="s">
        <v>71</v>
      </c>
      <c r="C2319" s="10">
        <f t="shared" si="110"/>
        <v>37107</v>
      </c>
      <c r="D2319" t="s">
        <v>11</v>
      </c>
      <c r="E2319" t="s">
        <v>12</v>
      </c>
      <c r="F2319" t="s">
        <v>43</v>
      </c>
      <c r="G2319" t="s">
        <v>4991</v>
      </c>
      <c r="H2319" t="s">
        <v>1279</v>
      </c>
      <c r="I2319" t="s">
        <v>4992</v>
      </c>
      <c r="J2319" t="s">
        <v>4993</v>
      </c>
      <c r="K2319" t="s">
        <v>4994</v>
      </c>
      <c r="L2319" s="12" t="s">
        <v>207</v>
      </c>
      <c r="M2319" s="12" t="s">
        <v>80</v>
      </c>
      <c r="N2319" s="12" t="s">
        <v>21</v>
      </c>
      <c r="O2319" s="12" t="s">
        <v>13</v>
      </c>
      <c r="P2319" s="12" t="s">
        <v>45</v>
      </c>
      <c r="Q2319" s="7" t="str">
        <f t="shared" si="109"/>
        <v>(2001,31,'2001.08.04',2,32,36,41,43,0),</v>
      </c>
      <c r="R2319" s="7" t="str">
        <f t="shared" si="111"/>
        <v>(2001,31,'2001.08.04',2,32,36,41,43),</v>
      </c>
    </row>
    <row r="2320" spans="1:18" x14ac:dyDescent="0.25">
      <c r="A2320" s="7" t="s">
        <v>4895</v>
      </c>
      <c r="B2320" s="8" t="s">
        <v>80</v>
      </c>
      <c r="C2320" s="10">
        <f t="shared" si="110"/>
        <v>37114</v>
      </c>
      <c r="D2320" t="s">
        <v>11</v>
      </c>
      <c r="E2320" t="s">
        <v>12</v>
      </c>
      <c r="F2320" t="s">
        <v>115</v>
      </c>
      <c r="G2320" t="s">
        <v>4988</v>
      </c>
      <c r="H2320" t="s">
        <v>1778</v>
      </c>
      <c r="I2320" t="s">
        <v>4989</v>
      </c>
      <c r="J2320" t="s">
        <v>4990</v>
      </c>
      <c r="K2320" t="s">
        <v>4761</v>
      </c>
      <c r="L2320" s="12" t="s">
        <v>42</v>
      </c>
      <c r="M2320" s="12" t="s">
        <v>43</v>
      </c>
      <c r="N2320" s="12" t="s">
        <v>133</v>
      </c>
      <c r="O2320" s="12" t="s">
        <v>192</v>
      </c>
      <c r="P2320" s="12" t="s">
        <v>91</v>
      </c>
      <c r="Q2320" s="7" t="str">
        <f t="shared" si="109"/>
        <v>(2001,32,'2001.08.11',3,16,45,46,61,0),</v>
      </c>
      <c r="R2320" s="7" t="str">
        <f t="shared" si="111"/>
        <v>(2001,32,'2001.08.11',3,16,45,46,61),</v>
      </c>
    </row>
    <row r="2321" spans="1:18" x14ac:dyDescent="0.25">
      <c r="A2321" s="7" t="s">
        <v>4895</v>
      </c>
      <c r="B2321" s="8" t="s">
        <v>20</v>
      </c>
      <c r="C2321" s="10">
        <f t="shared" si="110"/>
        <v>37121</v>
      </c>
      <c r="D2321" t="s">
        <v>11</v>
      </c>
      <c r="E2321" t="s">
        <v>12</v>
      </c>
      <c r="F2321" t="s">
        <v>54</v>
      </c>
      <c r="G2321" t="s">
        <v>4983</v>
      </c>
      <c r="H2321" t="s">
        <v>4984</v>
      </c>
      <c r="I2321" t="s">
        <v>4985</v>
      </c>
      <c r="J2321" t="s">
        <v>4986</v>
      </c>
      <c r="K2321" t="s">
        <v>4987</v>
      </c>
      <c r="L2321" s="12" t="s">
        <v>168</v>
      </c>
      <c r="M2321" s="12" t="s">
        <v>10</v>
      </c>
      <c r="N2321" s="12" t="s">
        <v>98</v>
      </c>
      <c r="O2321" s="12" t="s">
        <v>122</v>
      </c>
      <c r="P2321" s="12" t="s">
        <v>73</v>
      </c>
      <c r="Q2321" s="7" t="str">
        <f t="shared" si="109"/>
        <v>(2001,33,'2001.08.18',4,40,42,51,76,0),</v>
      </c>
      <c r="R2321" s="7" t="str">
        <f t="shared" si="111"/>
        <v>(2001,33,'2001.08.18',4,40,42,51,76),</v>
      </c>
    </row>
    <row r="2322" spans="1:18" x14ac:dyDescent="0.25">
      <c r="A2322" s="7" t="s">
        <v>4895</v>
      </c>
      <c r="B2322" s="8" t="s">
        <v>25</v>
      </c>
      <c r="C2322" s="10">
        <f t="shared" si="110"/>
        <v>37128</v>
      </c>
      <c r="D2322" t="s">
        <v>11</v>
      </c>
      <c r="E2322" t="s">
        <v>12</v>
      </c>
      <c r="F2322" t="s">
        <v>127</v>
      </c>
      <c r="G2322" t="s">
        <v>4978</v>
      </c>
      <c r="H2322" t="s">
        <v>4979</v>
      </c>
      <c r="I2322" t="s">
        <v>4980</v>
      </c>
      <c r="J2322" t="s">
        <v>4981</v>
      </c>
      <c r="K2322" t="s">
        <v>4982</v>
      </c>
      <c r="L2322" s="12" t="s">
        <v>127</v>
      </c>
      <c r="M2322" s="12" t="s">
        <v>74</v>
      </c>
      <c r="N2322" s="12" t="s">
        <v>45</v>
      </c>
      <c r="O2322" s="12" t="s">
        <v>124</v>
      </c>
      <c r="P2322" s="12" t="s">
        <v>208</v>
      </c>
      <c r="Q2322" s="7" t="str">
        <f t="shared" si="109"/>
        <v>(2001,34,'2001.08.25',14,26,43,62,88,0),</v>
      </c>
      <c r="R2322" s="7" t="str">
        <f t="shared" si="111"/>
        <v>(2001,34,'2001.08.25',14,26,43,62,88),</v>
      </c>
    </row>
    <row r="2323" spans="1:18" x14ac:dyDescent="0.25">
      <c r="A2323" s="7" t="s">
        <v>4895</v>
      </c>
      <c r="B2323" s="8" t="s">
        <v>64</v>
      </c>
      <c r="C2323" s="10">
        <f t="shared" si="110"/>
        <v>37135</v>
      </c>
      <c r="D2323" t="s">
        <v>11</v>
      </c>
      <c r="E2323" t="s">
        <v>12</v>
      </c>
      <c r="F2323" t="s">
        <v>31</v>
      </c>
      <c r="G2323" t="s">
        <v>4974</v>
      </c>
      <c r="H2323" t="s">
        <v>4975</v>
      </c>
      <c r="I2323" t="s">
        <v>4976</v>
      </c>
      <c r="J2323" t="s">
        <v>4977</v>
      </c>
      <c r="K2323" t="s">
        <v>1970</v>
      </c>
      <c r="L2323" s="12" t="s">
        <v>81</v>
      </c>
      <c r="M2323" s="12" t="s">
        <v>23</v>
      </c>
      <c r="N2323" s="12" t="s">
        <v>233</v>
      </c>
      <c r="O2323" s="12" t="s">
        <v>215</v>
      </c>
      <c r="P2323" s="12" t="s">
        <v>379</v>
      </c>
      <c r="Q2323" s="7" t="str">
        <f t="shared" si="109"/>
        <v>(2001,35,'2001.09.01',47,60,66,81,89,0),</v>
      </c>
      <c r="R2323" s="7" t="str">
        <f t="shared" si="111"/>
        <v>(2001,35,'2001.09.01',47,60,66,81,89),</v>
      </c>
    </row>
    <row r="2324" spans="1:18" x14ac:dyDescent="0.25">
      <c r="A2324" s="7" t="s">
        <v>4895</v>
      </c>
      <c r="B2324" s="8" t="s">
        <v>21</v>
      </c>
      <c r="C2324" s="10">
        <f t="shared" si="110"/>
        <v>37142</v>
      </c>
      <c r="D2324" t="s">
        <v>11</v>
      </c>
      <c r="E2324" t="s">
        <v>12</v>
      </c>
      <c r="F2324" t="s">
        <v>80</v>
      </c>
      <c r="G2324" t="s">
        <v>4970</v>
      </c>
      <c r="H2324" t="s">
        <v>4971</v>
      </c>
      <c r="I2324" t="s">
        <v>4972</v>
      </c>
      <c r="J2324" t="s">
        <v>4973</v>
      </c>
      <c r="K2324" t="s">
        <v>4403</v>
      </c>
      <c r="L2324" s="12" t="s">
        <v>270</v>
      </c>
      <c r="M2324" s="12" t="s">
        <v>32</v>
      </c>
      <c r="N2324" s="12" t="s">
        <v>74</v>
      </c>
      <c r="O2324" s="12" t="s">
        <v>126</v>
      </c>
      <c r="P2324" s="12" t="s">
        <v>25</v>
      </c>
      <c r="Q2324" s="7" t="str">
        <f t="shared" si="109"/>
        <v>(2001,36,'2001.09.08',6,22,26,28,34,0),</v>
      </c>
      <c r="R2324" s="7" t="str">
        <f t="shared" si="111"/>
        <v>(2001,36,'2001.09.08',6,22,26,28,34),</v>
      </c>
    </row>
    <row r="2325" spans="1:18" x14ac:dyDescent="0.25">
      <c r="A2325" s="7" t="s">
        <v>4895</v>
      </c>
      <c r="B2325" s="8" t="s">
        <v>46</v>
      </c>
      <c r="C2325" s="10">
        <f t="shared" si="110"/>
        <v>37149</v>
      </c>
      <c r="D2325" t="s">
        <v>11</v>
      </c>
      <c r="E2325" t="s">
        <v>12</v>
      </c>
      <c r="F2325" t="s">
        <v>44</v>
      </c>
      <c r="G2325" t="s">
        <v>4966</v>
      </c>
      <c r="H2325" t="s">
        <v>4967</v>
      </c>
      <c r="I2325" t="s">
        <v>4968</v>
      </c>
      <c r="J2325" t="s">
        <v>4969</v>
      </c>
      <c r="K2325" t="s">
        <v>3548</v>
      </c>
      <c r="L2325" s="12" t="s">
        <v>31</v>
      </c>
      <c r="M2325" s="12" t="s">
        <v>175</v>
      </c>
      <c r="N2325" s="12" t="s">
        <v>56</v>
      </c>
      <c r="O2325" s="12" t="s">
        <v>245</v>
      </c>
      <c r="P2325" s="12" t="s">
        <v>468</v>
      </c>
      <c r="Q2325" s="7" t="str">
        <f t="shared" si="109"/>
        <v>(2001,37,'2001.09.15',12,55,71,74,85,0),</v>
      </c>
      <c r="R2325" s="7" t="str">
        <f t="shared" si="111"/>
        <v>(2001,37,'2001.09.15',12,55,71,74,85),</v>
      </c>
    </row>
    <row r="2326" spans="1:18" x14ac:dyDescent="0.25">
      <c r="A2326" s="7" t="s">
        <v>4895</v>
      </c>
      <c r="B2326" s="8" t="s">
        <v>36</v>
      </c>
      <c r="C2326" s="10">
        <f t="shared" si="110"/>
        <v>37156</v>
      </c>
      <c r="D2326" t="s">
        <v>11</v>
      </c>
      <c r="E2326" t="s">
        <v>12</v>
      </c>
      <c r="F2326" t="s">
        <v>4960</v>
      </c>
      <c r="G2326" t="s">
        <v>4961</v>
      </c>
      <c r="H2326" t="s">
        <v>4962</v>
      </c>
      <c r="I2326" t="s">
        <v>4963</v>
      </c>
      <c r="J2326" t="s">
        <v>4964</v>
      </c>
      <c r="K2326" t="s">
        <v>4965</v>
      </c>
      <c r="L2326" s="12" t="s">
        <v>55</v>
      </c>
      <c r="M2326" s="12" t="s">
        <v>99</v>
      </c>
      <c r="N2326" s="12" t="s">
        <v>248</v>
      </c>
      <c r="O2326" s="12" t="s">
        <v>201</v>
      </c>
      <c r="P2326" s="12" t="s">
        <v>215</v>
      </c>
      <c r="Q2326" s="7" t="str">
        <f t="shared" si="109"/>
        <v>(2001,38,'2001.09.22',19,52,63,72,81,0),</v>
      </c>
      <c r="R2326" s="7" t="str">
        <f t="shared" si="111"/>
        <v>(2001,38,'2001.09.22',19,52,63,72,81),</v>
      </c>
    </row>
    <row r="2327" spans="1:18" x14ac:dyDescent="0.25">
      <c r="A2327" s="7" t="s">
        <v>4895</v>
      </c>
      <c r="B2327" s="8" t="s">
        <v>24</v>
      </c>
      <c r="C2327" s="10">
        <f t="shared" si="110"/>
        <v>37163</v>
      </c>
      <c r="D2327" t="s">
        <v>11</v>
      </c>
      <c r="E2327" t="s">
        <v>12</v>
      </c>
      <c r="F2327" t="s">
        <v>99</v>
      </c>
      <c r="G2327" t="s">
        <v>4955</v>
      </c>
      <c r="H2327" t="s">
        <v>4956</v>
      </c>
      <c r="I2327" t="s">
        <v>4957</v>
      </c>
      <c r="J2327" t="s">
        <v>4958</v>
      </c>
      <c r="K2327" t="s">
        <v>4959</v>
      </c>
      <c r="L2327" s="12" t="s">
        <v>89</v>
      </c>
      <c r="M2327" s="12" t="s">
        <v>83</v>
      </c>
      <c r="N2327" s="12" t="s">
        <v>105</v>
      </c>
      <c r="O2327" s="12" t="s">
        <v>72</v>
      </c>
      <c r="P2327" s="12" t="s">
        <v>47</v>
      </c>
      <c r="Q2327" s="7" t="str">
        <f t="shared" si="109"/>
        <v>(2001,39,'2001.09.29',5,11,50,67,69,0),</v>
      </c>
      <c r="R2327" s="7" t="str">
        <f t="shared" si="111"/>
        <v>(2001,39,'2001.09.29',5,11,50,67,69),</v>
      </c>
    </row>
    <row r="2328" spans="1:18" x14ac:dyDescent="0.25">
      <c r="A2328" s="7" t="s">
        <v>4895</v>
      </c>
      <c r="B2328" s="8" t="s">
        <v>10</v>
      </c>
      <c r="C2328" s="10">
        <f t="shared" si="110"/>
        <v>37170</v>
      </c>
      <c r="D2328" t="s">
        <v>11</v>
      </c>
      <c r="E2328" t="s">
        <v>12</v>
      </c>
      <c r="F2328" t="s">
        <v>22</v>
      </c>
      <c r="G2328" t="s">
        <v>4951</v>
      </c>
      <c r="H2328" t="s">
        <v>4952</v>
      </c>
      <c r="I2328" t="s">
        <v>4953</v>
      </c>
      <c r="J2328" t="s">
        <v>4954</v>
      </c>
      <c r="K2328" t="s">
        <v>3583</v>
      </c>
      <c r="L2328" s="12" t="s">
        <v>270</v>
      </c>
      <c r="M2328" s="12" t="s">
        <v>115</v>
      </c>
      <c r="N2328" s="12" t="s">
        <v>74</v>
      </c>
      <c r="O2328" s="12" t="s">
        <v>201</v>
      </c>
      <c r="P2328" s="12" t="s">
        <v>622</v>
      </c>
      <c r="Q2328" s="7" t="str">
        <f t="shared" si="109"/>
        <v>(2001,40,'2001.10.06',6,20,26,72,82,0),</v>
      </c>
      <c r="R2328" s="7" t="str">
        <f t="shared" si="111"/>
        <v>(2001,40,'2001.10.06',6,20,26,72,82),</v>
      </c>
    </row>
    <row r="2329" spans="1:18" x14ac:dyDescent="0.25">
      <c r="A2329" s="7" t="s">
        <v>4895</v>
      </c>
      <c r="B2329" s="8" t="s">
        <v>13</v>
      </c>
      <c r="C2329" s="10">
        <f t="shared" si="110"/>
        <v>37177</v>
      </c>
      <c r="D2329" t="s">
        <v>11</v>
      </c>
      <c r="E2329" t="s">
        <v>12</v>
      </c>
      <c r="F2329" t="s">
        <v>127</v>
      </c>
      <c r="G2329" t="s">
        <v>4948</v>
      </c>
      <c r="H2329" t="s">
        <v>4902</v>
      </c>
      <c r="I2329" t="s">
        <v>4949</v>
      </c>
      <c r="J2329" t="s">
        <v>4950</v>
      </c>
      <c r="K2329" t="s">
        <v>3927</v>
      </c>
      <c r="L2329" s="12" t="s">
        <v>71</v>
      </c>
      <c r="M2329" s="12" t="s">
        <v>21</v>
      </c>
      <c r="N2329" s="12" t="s">
        <v>22</v>
      </c>
      <c r="O2329" s="12" t="s">
        <v>105</v>
      </c>
      <c r="P2329" s="12" t="s">
        <v>123</v>
      </c>
      <c r="Q2329" s="7" t="str">
        <f t="shared" si="109"/>
        <v>(2001,41,'2001.10.13',31,36,48,50,54,0),</v>
      </c>
      <c r="R2329" s="7" t="str">
        <f t="shared" si="111"/>
        <v>(2001,41,'2001.10.13',31,36,48,50,54),</v>
      </c>
    </row>
    <row r="2330" spans="1:18" x14ac:dyDescent="0.25">
      <c r="A2330" s="7" t="s">
        <v>4895</v>
      </c>
      <c r="B2330" s="8" t="s">
        <v>98</v>
      </c>
      <c r="C2330" s="10">
        <f t="shared" si="110"/>
        <v>37184</v>
      </c>
      <c r="D2330" t="s">
        <v>11</v>
      </c>
      <c r="E2330" t="s">
        <v>12</v>
      </c>
      <c r="F2330" t="s">
        <v>152</v>
      </c>
      <c r="G2330" t="s">
        <v>4943</v>
      </c>
      <c r="H2330" t="s">
        <v>4944</v>
      </c>
      <c r="I2330" t="s">
        <v>4945</v>
      </c>
      <c r="J2330" t="s">
        <v>4946</v>
      </c>
      <c r="K2330" t="s">
        <v>4947</v>
      </c>
      <c r="L2330" s="12" t="s">
        <v>89</v>
      </c>
      <c r="M2330" s="12" t="s">
        <v>43</v>
      </c>
      <c r="N2330" s="12" t="s">
        <v>99</v>
      </c>
      <c r="O2330" s="12" t="s">
        <v>169</v>
      </c>
      <c r="P2330" s="12" t="s">
        <v>233</v>
      </c>
      <c r="Q2330" s="7" t="str">
        <f t="shared" si="109"/>
        <v>(2001,42,'2001.10.20',5,16,52,58,66,0),</v>
      </c>
      <c r="R2330" s="7" t="str">
        <f t="shared" si="111"/>
        <v>(2001,42,'2001.10.20',5,16,52,58,66),</v>
      </c>
    </row>
    <row r="2331" spans="1:18" x14ac:dyDescent="0.25">
      <c r="A2331" s="7" t="s">
        <v>4895</v>
      </c>
      <c r="B2331" s="8" t="s">
        <v>45</v>
      </c>
      <c r="C2331" s="10">
        <f t="shared" si="110"/>
        <v>37191</v>
      </c>
      <c r="D2331" t="s">
        <v>11</v>
      </c>
      <c r="E2331" t="s">
        <v>12</v>
      </c>
      <c r="F2331" t="s">
        <v>98</v>
      </c>
      <c r="G2331" t="s">
        <v>4939</v>
      </c>
      <c r="H2331" t="s">
        <v>4940</v>
      </c>
      <c r="I2331" t="s">
        <v>4941</v>
      </c>
      <c r="J2331" t="s">
        <v>4942</v>
      </c>
      <c r="K2331" t="s">
        <v>3136</v>
      </c>
      <c r="L2331" s="12" t="s">
        <v>83</v>
      </c>
      <c r="M2331" s="12" t="s">
        <v>71</v>
      </c>
      <c r="N2331" s="12" t="s">
        <v>133</v>
      </c>
      <c r="O2331" s="12" t="s">
        <v>199</v>
      </c>
      <c r="P2331" s="12" t="s">
        <v>125</v>
      </c>
      <c r="Q2331" s="7" t="str">
        <f t="shared" si="109"/>
        <v>(2001,43,'2001.10.27',11,31,45,53,83,0),</v>
      </c>
      <c r="R2331" s="7" t="str">
        <f t="shared" si="111"/>
        <v>(2001,43,'2001.10.27',11,31,45,53,83),</v>
      </c>
    </row>
    <row r="2332" spans="1:18" x14ac:dyDescent="0.25">
      <c r="A2332" s="7" t="s">
        <v>4895</v>
      </c>
      <c r="B2332" s="8" t="s">
        <v>142</v>
      </c>
      <c r="C2332" s="10">
        <f t="shared" si="110"/>
        <v>37198</v>
      </c>
      <c r="D2332" t="s">
        <v>11</v>
      </c>
      <c r="E2332" t="s">
        <v>12</v>
      </c>
      <c r="F2332" t="s">
        <v>45</v>
      </c>
      <c r="G2332" t="s">
        <v>4935</v>
      </c>
      <c r="H2332" t="s">
        <v>1810</v>
      </c>
      <c r="I2332" t="s">
        <v>4936</v>
      </c>
      <c r="J2332" t="s">
        <v>4937</v>
      </c>
      <c r="K2332" t="s">
        <v>4938</v>
      </c>
      <c r="L2332" s="12" t="s">
        <v>134</v>
      </c>
      <c r="M2332" s="12" t="s">
        <v>143</v>
      </c>
      <c r="N2332" s="12" t="s">
        <v>151</v>
      </c>
      <c r="O2332" s="12" t="s">
        <v>468</v>
      </c>
      <c r="P2332" s="12" t="s">
        <v>379</v>
      </c>
      <c r="Q2332" s="7" t="str">
        <f t="shared" si="109"/>
        <v>(2001,44,'2001.11.03',56,77,79,85,89,0),</v>
      </c>
      <c r="R2332" s="7" t="str">
        <f t="shared" si="111"/>
        <v>(2001,44,'2001.11.03',56,77,79,85,89),</v>
      </c>
    </row>
    <row r="2333" spans="1:18" x14ac:dyDescent="0.25">
      <c r="A2333" s="7" t="s">
        <v>4895</v>
      </c>
      <c r="B2333" s="8" t="s">
        <v>133</v>
      </c>
      <c r="C2333" s="10">
        <f t="shared" si="110"/>
        <v>37205</v>
      </c>
      <c r="D2333" t="s">
        <v>11</v>
      </c>
      <c r="E2333" t="s">
        <v>12</v>
      </c>
      <c r="F2333" t="s">
        <v>32</v>
      </c>
      <c r="G2333" t="s">
        <v>4931</v>
      </c>
      <c r="H2333" t="s">
        <v>4932</v>
      </c>
      <c r="I2333" t="s">
        <v>4933</v>
      </c>
      <c r="J2333" t="s">
        <v>4934</v>
      </c>
      <c r="K2333" t="s">
        <v>4564</v>
      </c>
      <c r="L2333" s="12" t="s">
        <v>126</v>
      </c>
      <c r="M2333" s="12" t="s">
        <v>99</v>
      </c>
      <c r="N2333" s="12" t="s">
        <v>47</v>
      </c>
      <c r="O2333" s="12" t="s">
        <v>200</v>
      </c>
      <c r="P2333" s="12" t="s">
        <v>186</v>
      </c>
      <c r="Q2333" s="7" t="str">
        <f t="shared" si="109"/>
        <v>(2001,45,'2001.11.10',28,52,69,70,90,0),</v>
      </c>
      <c r="R2333" s="7" t="str">
        <f t="shared" si="111"/>
        <v>(2001,45,'2001.11.10',28,52,69,70,90),</v>
      </c>
    </row>
    <row r="2334" spans="1:18" x14ac:dyDescent="0.25">
      <c r="A2334" s="7" t="s">
        <v>4895</v>
      </c>
      <c r="B2334" s="8" t="s">
        <v>192</v>
      </c>
      <c r="C2334" s="10">
        <f t="shared" si="110"/>
        <v>37212</v>
      </c>
      <c r="D2334" t="s">
        <v>11</v>
      </c>
      <c r="E2334" t="s">
        <v>12</v>
      </c>
      <c r="F2334" t="s">
        <v>4925</v>
      </c>
      <c r="G2334" t="s">
        <v>4926</v>
      </c>
      <c r="H2334" t="s">
        <v>4927</v>
      </c>
      <c r="I2334" t="s">
        <v>4928</v>
      </c>
      <c r="J2334" t="s">
        <v>4929</v>
      </c>
      <c r="K2334" t="s">
        <v>4930</v>
      </c>
      <c r="L2334" s="12" t="s">
        <v>55</v>
      </c>
      <c r="M2334" s="12" t="s">
        <v>135</v>
      </c>
      <c r="N2334" s="12" t="s">
        <v>122</v>
      </c>
      <c r="O2334" s="12" t="s">
        <v>200</v>
      </c>
      <c r="P2334" s="12" t="s">
        <v>246</v>
      </c>
      <c r="Q2334" s="7" t="str">
        <f t="shared" si="109"/>
        <v>(2001,46,'2001.11.17',19,27,51,70,84,0),</v>
      </c>
      <c r="R2334" s="7" t="str">
        <f t="shared" si="111"/>
        <v>(2001,46,'2001.11.17',19,27,51,70,84),</v>
      </c>
    </row>
    <row r="2335" spans="1:18" x14ac:dyDescent="0.25">
      <c r="A2335" s="7" t="s">
        <v>4895</v>
      </c>
      <c r="B2335" s="8" t="s">
        <v>81</v>
      </c>
      <c r="C2335" s="10">
        <f t="shared" si="110"/>
        <v>37219</v>
      </c>
      <c r="D2335" t="s">
        <v>108</v>
      </c>
      <c r="E2335" t="s">
        <v>4919</v>
      </c>
      <c r="F2335" t="s">
        <v>3625</v>
      </c>
      <c r="G2335" t="s">
        <v>4920</v>
      </c>
      <c r="H2335" t="s">
        <v>4921</v>
      </c>
      <c r="I2335" t="s">
        <v>4922</v>
      </c>
      <c r="J2335" t="s">
        <v>4923</v>
      </c>
      <c r="K2335" t="s">
        <v>4924</v>
      </c>
      <c r="L2335" s="12" t="s">
        <v>232</v>
      </c>
      <c r="M2335" s="12" t="s">
        <v>163</v>
      </c>
      <c r="N2335" s="12" t="s">
        <v>152</v>
      </c>
      <c r="O2335" s="12" t="s">
        <v>123</v>
      </c>
      <c r="P2335" s="12" t="s">
        <v>151</v>
      </c>
      <c r="Q2335" s="7" t="str">
        <f t="shared" si="109"/>
        <v>(2001,47,'2001.11.24',8,23,25,54,79,0),</v>
      </c>
      <c r="R2335" s="7" t="str">
        <f t="shared" si="111"/>
        <v>(2001,47,'2001.11.24',8,23,25,54,79),</v>
      </c>
    </row>
    <row r="2336" spans="1:18" x14ac:dyDescent="0.25">
      <c r="A2336" s="7" t="s">
        <v>4895</v>
      </c>
      <c r="B2336" s="8" t="s">
        <v>22</v>
      </c>
      <c r="C2336" s="10">
        <f t="shared" si="110"/>
        <v>37226</v>
      </c>
      <c r="D2336" t="s">
        <v>11</v>
      </c>
      <c r="E2336" t="s">
        <v>12</v>
      </c>
      <c r="F2336" t="s">
        <v>126</v>
      </c>
      <c r="G2336" t="s">
        <v>4915</v>
      </c>
      <c r="H2336" t="s">
        <v>4181</v>
      </c>
      <c r="I2336" t="s">
        <v>4916</v>
      </c>
      <c r="J2336" t="s">
        <v>4917</v>
      </c>
      <c r="K2336" t="s">
        <v>4918</v>
      </c>
      <c r="L2336" s="12" t="s">
        <v>98</v>
      </c>
      <c r="M2336" s="12" t="s">
        <v>122</v>
      </c>
      <c r="N2336" s="12" t="s">
        <v>134</v>
      </c>
      <c r="O2336" s="12" t="s">
        <v>248</v>
      </c>
      <c r="P2336" s="12" t="s">
        <v>208</v>
      </c>
      <c r="Q2336" s="7" t="str">
        <f t="shared" si="109"/>
        <v>(2001,48,'2001.12.01',42,51,56,63,88,0),</v>
      </c>
      <c r="R2336" s="7" t="str">
        <f t="shared" si="111"/>
        <v>(2001,48,'2001.12.01',42,51,56,63,88),</v>
      </c>
    </row>
    <row r="2337" spans="1:18" x14ac:dyDescent="0.25">
      <c r="A2337" s="7" t="s">
        <v>4895</v>
      </c>
      <c r="B2337" s="8" t="s">
        <v>34</v>
      </c>
      <c r="C2337" s="10">
        <f t="shared" si="110"/>
        <v>37233</v>
      </c>
      <c r="D2337" t="s">
        <v>11</v>
      </c>
      <c r="E2337" t="s">
        <v>12</v>
      </c>
      <c r="F2337" t="s">
        <v>163</v>
      </c>
      <c r="G2337" t="s">
        <v>4910</v>
      </c>
      <c r="H2337" t="s">
        <v>4911</v>
      </c>
      <c r="I2337" t="s">
        <v>4912</v>
      </c>
      <c r="J2337" t="s">
        <v>4913</v>
      </c>
      <c r="K2337" t="s">
        <v>4914</v>
      </c>
      <c r="L2337" s="12" t="s">
        <v>108</v>
      </c>
      <c r="M2337" s="12" t="s">
        <v>44</v>
      </c>
      <c r="N2337" s="12" t="s">
        <v>152</v>
      </c>
      <c r="O2337" s="12" t="s">
        <v>23</v>
      </c>
      <c r="P2337" s="12" t="s">
        <v>63</v>
      </c>
      <c r="Q2337" s="7" t="str">
        <f t="shared" si="109"/>
        <v>(2001,49,'2001.12.08',1,21,25,60,78,0),</v>
      </c>
      <c r="R2337" s="7" t="str">
        <f t="shared" si="111"/>
        <v>(2001,49,'2001.12.08',1,21,25,60,78),</v>
      </c>
    </row>
    <row r="2338" spans="1:18" x14ac:dyDescent="0.25">
      <c r="A2338" s="7" t="s">
        <v>4895</v>
      </c>
      <c r="B2338" s="8" t="s">
        <v>105</v>
      </c>
      <c r="C2338" s="10">
        <f t="shared" si="110"/>
        <v>37240</v>
      </c>
      <c r="D2338" t="s">
        <v>11</v>
      </c>
      <c r="E2338" t="s">
        <v>12</v>
      </c>
      <c r="F2338" t="s">
        <v>20</v>
      </c>
      <c r="G2338" t="s">
        <v>4906</v>
      </c>
      <c r="H2338" t="s">
        <v>4907</v>
      </c>
      <c r="I2338" t="s">
        <v>4908</v>
      </c>
      <c r="J2338" t="s">
        <v>4909</v>
      </c>
      <c r="K2338" t="s">
        <v>2091</v>
      </c>
      <c r="L2338" s="12" t="s">
        <v>33</v>
      </c>
      <c r="M2338" s="12" t="s">
        <v>105</v>
      </c>
      <c r="N2338" s="12" t="s">
        <v>123</v>
      </c>
      <c r="O2338" s="12" t="s">
        <v>23</v>
      </c>
      <c r="P2338" s="12" t="s">
        <v>143</v>
      </c>
      <c r="Q2338" s="7" t="str">
        <f t="shared" si="109"/>
        <v>(2001,50,'2001.12.15',24,50,54,60,77,0),</v>
      </c>
      <c r="R2338" s="7" t="str">
        <f t="shared" si="111"/>
        <v>(2001,50,'2001.12.15',24,50,54,60,77),</v>
      </c>
    </row>
    <row r="2339" spans="1:18" x14ac:dyDescent="0.25">
      <c r="A2339" s="7" t="s">
        <v>4895</v>
      </c>
      <c r="B2339" s="8" t="s">
        <v>122</v>
      </c>
      <c r="C2339" s="10">
        <f t="shared" si="110"/>
        <v>37247</v>
      </c>
      <c r="D2339" t="s">
        <v>11</v>
      </c>
      <c r="E2339" t="s">
        <v>12</v>
      </c>
      <c r="F2339" t="s">
        <v>116</v>
      </c>
      <c r="G2339" t="s">
        <v>4901</v>
      </c>
      <c r="H2339" t="s">
        <v>4902</v>
      </c>
      <c r="I2339" t="s">
        <v>4903</v>
      </c>
      <c r="J2339" t="s">
        <v>4904</v>
      </c>
      <c r="K2339" t="s">
        <v>4905</v>
      </c>
      <c r="L2339" s="12" t="s">
        <v>207</v>
      </c>
      <c r="M2339" s="12" t="s">
        <v>54</v>
      </c>
      <c r="N2339" s="12" t="s">
        <v>80</v>
      </c>
      <c r="O2339" s="12" t="s">
        <v>98</v>
      </c>
      <c r="P2339" s="12" t="s">
        <v>106</v>
      </c>
      <c r="Q2339" s="7" t="str">
        <f t="shared" si="109"/>
        <v>(2001,51,'2001.12.22',2,15,32,42,75,0),</v>
      </c>
      <c r="R2339" s="7" t="str">
        <f t="shared" si="111"/>
        <v>(2001,51,'2001.12.22',2,15,32,42,75),</v>
      </c>
    </row>
    <row r="2340" spans="1:18" x14ac:dyDescent="0.25">
      <c r="A2340" s="7" t="s">
        <v>4895</v>
      </c>
      <c r="B2340" s="8" t="s">
        <v>99</v>
      </c>
      <c r="C2340" s="10">
        <f t="shared" si="110"/>
        <v>37254</v>
      </c>
      <c r="D2340" t="s">
        <v>11</v>
      </c>
      <c r="E2340" t="s">
        <v>12</v>
      </c>
      <c r="F2340" t="s">
        <v>35</v>
      </c>
      <c r="G2340" t="s">
        <v>4896</v>
      </c>
      <c r="H2340" t="s">
        <v>4897</v>
      </c>
      <c r="I2340" t="s">
        <v>4898</v>
      </c>
      <c r="J2340" t="s">
        <v>4899</v>
      </c>
      <c r="K2340" t="s">
        <v>4900</v>
      </c>
      <c r="L2340" s="12" t="s">
        <v>152</v>
      </c>
      <c r="M2340" s="12" t="s">
        <v>135</v>
      </c>
      <c r="N2340" s="12" t="s">
        <v>123</v>
      </c>
      <c r="O2340" s="12" t="s">
        <v>201</v>
      </c>
      <c r="P2340" s="12" t="s">
        <v>246</v>
      </c>
      <c r="Q2340" s="7" t="str">
        <f t="shared" si="109"/>
        <v>(2001,52,'2001.12.29',25,27,54,72,84,0),</v>
      </c>
      <c r="R2340" s="7" t="str">
        <f t="shared" si="111"/>
        <v>(2001,52,'2001.12.29',25,27,54,72,84),</v>
      </c>
    </row>
    <row r="2341" spans="1:18" x14ac:dyDescent="0.25">
      <c r="A2341" s="7" t="s">
        <v>4651</v>
      </c>
      <c r="B2341" s="8" t="s">
        <v>108</v>
      </c>
      <c r="C2341" s="10">
        <f t="shared" si="110"/>
        <v>37261</v>
      </c>
      <c r="D2341" t="s">
        <v>11</v>
      </c>
      <c r="E2341" t="s">
        <v>12</v>
      </c>
      <c r="F2341" t="s">
        <v>10</v>
      </c>
      <c r="G2341" t="s">
        <v>4890</v>
      </c>
      <c r="H2341" t="s">
        <v>4891</v>
      </c>
      <c r="I2341" t="s">
        <v>4892</v>
      </c>
      <c r="J2341" t="s">
        <v>4893</v>
      </c>
      <c r="K2341" t="s">
        <v>4894</v>
      </c>
      <c r="L2341" s="12" t="s">
        <v>62</v>
      </c>
      <c r="M2341" s="12" t="s">
        <v>32</v>
      </c>
      <c r="N2341" s="12" t="s">
        <v>45</v>
      </c>
      <c r="O2341" s="12" t="s">
        <v>99</v>
      </c>
      <c r="P2341" s="12" t="s">
        <v>92</v>
      </c>
      <c r="Q2341" s="7" t="str">
        <f t="shared" si="109"/>
        <v>(2002,1,'2002.01.05',10,22,43,52,68,0),</v>
      </c>
      <c r="R2341" s="7" t="str">
        <f t="shared" si="111"/>
        <v>(2002,1,'2002.01.05',10,22,43,52,68),</v>
      </c>
    </row>
    <row r="2342" spans="1:18" x14ac:dyDescent="0.25">
      <c r="A2342" s="7" t="s">
        <v>4651</v>
      </c>
      <c r="B2342" s="8" t="s">
        <v>207</v>
      </c>
      <c r="C2342" s="10">
        <f t="shared" si="110"/>
        <v>37268</v>
      </c>
      <c r="D2342" t="s">
        <v>11</v>
      </c>
      <c r="E2342" t="s">
        <v>12</v>
      </c>
      <c r="F2342" t="s">
        <v>20</v>
      </c>
      <c r="G2342" t="s">
        <v>4885</v>
      </c>
      <c r="H2342" t="s">
        <v>4886</v>
      </c>
      <c r="I2342" t="s">
        <v>4887</v>
      </c>
      <c r="J2342" t="s">
        <v>4888</v>
      </c>
      <c r="K2342" t="s">
        <v>4889</v>
      </c>
      <c r="L2342" s="12" t="s">
        <v>32</v>
      </c>
      <c r="M2342" s="12" t="s">
        <v>21</v>
      </c>
      <c r="N2342" s="12" t="s">
        <v>248</v>
      </c>
      <c r="O2342" s="12" t="s">
        <v>92</v>
      </c>
      <c r="P2342" s="12" t="s">
        <v>245</v>
      </c>
      <c r="Q2342" s="7" t="str">
        <f t="shared" si="109"/>
        <v>(2002,2,'2002.01.12',22,36,63,68,74,0),</v>
      </c>
      <c r="R2342" s="7" t="str">
        <f t="shared" si="111"/>
        <v>(2002,2,'2002.01.12',22,36,63,68,74),</v>
      </c>
    </row>
    <row r="2343" spans="1:18" x14ac:dyDescent="0.25">
      <c r="A2343" s="7" t="s">
        <v>4651</v>
      </c>
      <c r="B2343" s="8" t="s">
        <v>42</v>
      </c>
      <c r="C2343" s="10">
        <f t="shared" si="110"/>
        <v>37275</v>
      </c>
      <c r="D2343" t="s">
        <v>11</v>
      </c>
      <c r="E2343" t="s">
        <v>12</v>
      </c>
      <c r="F2343" t="s">
        <v>54</v>
      </c>
      <c r="G2343" t="s">
        <v>4881</v>
      </c>
      <c r="H2343" t="s">
        <v>1976</v>
      </c>
      <c r="I2343" t="s">
        <v>4882</v>
      </c>
      <c r="J2343" t="s">
        <v>4883</v>
      </c>
      <c r="K2343" t="s">
        <v>4884</v>
      </c>
      <c r="L2343" s="12" t="s">
        <v>207</v>
      </c>
      <c r="M2343" s="12" t="s">
        <v>126</v>
      </c>
      <c r="N2343" s="12" t="s">
        <v>116</v>
      </c>
      <c r="O2343" s="12" t="s">
        <v>133</v>
      </c>
      <c r="P2343" s="12" t="s">
        <v>215</v>
      </c>
      <c r="Q2343" s="7" t="str">
        <f t="shared" si="109"/>
        <v>(2002,3,'2002.01.19',2,28,29,45,81,0),</v>
      </c>
      <c r="R2343" s="7" t="str">
        <f t="shared" si="111"/>
        <v>(2002,3,'2002.01.19',2,28,29,45,81),</v>
      </c>
    </row>
    <row r="2344" spans="1:18" x14ac:dyDescent="0.25">
      <c r="A2344" s="7" t="s">
        <v>4651</v>
      </c>
      <c r="B2344" s="8" t="s">
        <v>168</v>
      </c>
      <c r="C2344" s="10">
        <f t="shared" si="110"/>
        <v>37282</v>
      </c>
      <c r="D2344" t="s">
        <v>11</v>
      </c>
      <c r="E2344" t="s">
        <v>12</v>
      </c>
      <c r="F2344" t="s">
        <v>25</v>
      </c>
      <c r="G2344" t="s">
        <v>4876</v>
      </c>
      <c r="H2344" t="s">
        <v>4877</v>
      </c>
      <c r="I2344" t="s">
        <v>4878</v>
      </c>
      <c r="J2344" t="s">
        <v>4879</v>
      </c>
      <c r="K2344" t="s">
        <v>4880</v>
      </c>
      <c r="L2344" s="12" t="s">
        <v>207</v>
      </c>
      <c r="M2344" s="12" t="s">
        <v>270</v>
      </c>
      <c r="N2344" s="12" t="s">
        <v>45</v>
      </c>
      <c r="O2344" s="12" t="s">
        <v>201</v>
      </c>
      <c r="P2344" s="12" t="s">
        <v>215</v>
      </c>
      <c r="Q2344" s="7" t="str">
        <f t="shared" si="109"/>
        <v>(2002,4,'2002.01.26',2,6,43,72,81,0),</v>
      </c>
      <c r="R2344" s="7" t="str">
        <f t="shared" si="111"/>
        <v>(2002,4,'2002.01.26',2,6,43,72,81),</v>
      </c>
    </row>
    <row r="2345" spans="1:18" x14ac:dyDescent="0.25">
      <c r="A2345" s="7" t="s">
        <v>4651</v>
      </c>
      <c r="B2345" s="8" t="s">
        <v>89</v>
      </c>
      <c r="C2345" s="10">
        <f t="shared" si="110"/>
        <v>37289</v>
      </c>
      <c r="D2345" t="s">
        <v>11</v>
      </c>
      <c r="E2345" t="s">
        <v>12</v>
      </c>
      <c r="F2345" t="s">
        <v>163</v>
      </c>
      <c r="G2345" t="s">
        <v>4872</v>
      </c>
      <c r="H2345" t="s">
        <v>4873</v>
      </c>
      <c r="I2345" t="s">
        <v>4874</v>
      </c>
      <c r="J2345" t="s">
        <v>4875</v>
      </c>
      <c r="K2345" t="s">
        <v>4572</v>
      </c>
      <c r="L2345" s="12" t="s">
        <v>135</v>
      </c>
      <c r="M2345" s="12" t="s">
        <v>107</v>
      </c>
      <c r="N2345" s="12" t="s">
        <v>80</v>
      </c>
      <c r="O2345" s="12" t="s">
        <v>81</v>
      </c>
      <c r="P2345" s="12" t="s">
        <v>186</v>
      </c>
      <c r="Q2345" s="7" t="str">
        <f t="shared" si="109"/>
        <v>(2002,5,'2002.02.02',27,30,32,47,90,0),</v>
      </c>
      <c r="R2345" s="7" t="str">
        <f t="shared" si="111"/>
        <v>(2002,5,'2002.02.02',27,30,32,47,90),</v>
      </c>
    </row>
    <row r="2346" spans="1:18" x14ac:dyDescent="0.25">
      <c r="A2346" s="7" t="s">
        <v>4651</v>
      </c>
      <c r="B2346" s="8" t="s">
        <v>270</v>
      </c>
      <c r="C2346" s="10">
        <f t="shared" si="110"/>
        <v>37296</v>
      </c>
      <c r="D2346" t="s">
        <v>11</v>
      </c>
      <c r="E2346" t="s">
        <v>12</v>
      </c>
      <c r="F2346" t="s">
        <v>46</v>
      </c>
      <c r="G2346" t="s">
        <v>4868</v>
      </c>
      <c r="H2346" t="s">
        <v>4869</v>
      </c>
      <c r="I2346" t="s">
        <v>4870</v>
      </c>
      <c r="J2346" t="s">
        <v>4871</v>
      </c>
      <c r="K2346" t="s">
        <v>3945</v>
      </c>
      <c r="L2346" s="12" t="s">
        <v>115</v>
      </c>
      <c r="M2346" s="12" t="s">
        <v>71</v>
      </c>
      <c r="N2346" s="12" t="s">
        <v>21</v>
      </c>
      <c r="O2346" s="12" t="s">
        <v>91</v>
      </c>
      <c r="P2346" s="12" t="s">
        <v>233</v>
      </c>
      <c r="Q2346" s="7" t="str">
        <f t="shared" si="109"/>
        <v>(2002,6,'2002.02.09',20,31,36,61,66,0),</v>
      </c>
      <c r="R2346" s="7" t="str">
        <f t="shared" si="111"/>
        <v>(2002,6,'2002.02.09',20,31,36,61,66),</v>
      </c>
    </row>
    <row r="2347" spans="1:18" x14ac:dyDescent="0.25">
      <c r="A2347" s="7" t="s">
        <v>4651</v>
      </c>
      <c r="B2347" s="8" t="s">
        <v>53</v>
      </c>
      <c r="C2347" s="10">
        <f t="shared" si="110"/>
        <v>37303</v>
      </c>
      <c r="D2347" t="s">
        <v>11</v>
      </c>
      <c r="E2347" t="s">
        <v>12</v>
      </c>
      <c r="F2347" t="s">
        <v>65</v>
      </c>
      <c r="G2347" t="s">
        <v>4864</v>
      </c>
      <c r="H2347" t="s">
        <v>4865</v>
      </c>
      <c r="I2347" t="s">
        <v>4866</v>
      </c>
      <c r="J2347" t="s">
        <v>4867</v>
      </c>
      <c r="K2347" t="s">
        <v>3563</v>
      </c>
      <c r="L2347" s="12" t="s">
        <v>19</v>
      </c>
      <c r="M2347" s="12" t="s">
        <v>115</v>
      </c>
      <c r="N2347" s="12" t="s">
        <v>91</v>
      </c>
      <c r="O2347" s="12" t="s">
        <v>143</v>
      </c>
      <c r="P2347" s="12" t="s">
        <v>186</v>
      </c>
      <c r="Q2347" s="7" t="str">
        <f t="shared" si="109"/>
        <v>(2002,7,'2002.02.16',18,20,61,77,90,0),</v>
      </c>
      <c r="R2347" s="7" t="str">
        <f t="shared" si="111"/>
        <v>(2002,7,'2002.02.16',18,20,61,77,90),</v>
      </c>
    </row>
    <row r="2348" spans="1:18" x14ac:dyDescent="0.25">
      <c r="A2348" s="7" t="s">
        <v>4651</v>
      </c>
      <c r="B2348" s="8" t="s">
        <v>232</v>
      </c>
      <c r="C2348" s="10">
        <f t="shared" si="110"/>
        <v>37310</v>
      </c>
      <c r="D2348" t="s">
        <v>11</v>
      </c>
      <c r="E2348" t="s">
        <v>12</v>
      </c>
      <c r="F2348" t="s">
        <v>134</v>
      </c>
      <c r="G2348" t="s">
        <v>4859</v>
      </c>
      <c r="H2348" t="s">
        <v>4860</v>
      </c>
      <c r="I2348" t="s">
        <v>4861</v>
      </c>
      <c r="J2348" t="s">
        <v>4862</v>
      </c>
      <c r="K2348" t="s">
        <v>4863</v>
      </c>
      <c r="L2348" s="12" t="s">
        <v>31</v>
      </c>
      <c r="M2348" s="12" t="s">
        <v>65</v>
      </c>
      <c r="N2348" s="12" t="s">
        <v>55</v>
      </c>
      <c r="O2348" s="12" t="s">
        <v>126</v>
      </c>
      <c r="P2348" s="12" t="s">
        <v>468</v>
      </c>
      <c r="Q2348" s="7" t="str">
        <f t="shared" si="109"/>
        <v>(2002,8,'2002.02.23',12,13,19,28,85,0),</v>
      </c>
      <c r="R2348" s="7" t="str">
        <f t="shared" si="111"/>
        <v>(2002,8,'2002.02.23',12,13,19,28,85),</v>
      </c>
    </row>
    <row r="2349" spans="1:18" x14ac:dyDescent="0.25">
      <c r="A2349" s="7" t="s">
        <v>4651</v>
      </c>
      <c r="B2349" s="8" t="s">
        <v>198</v>
      </c>
      <c r="C2349" s="10">
        <f t="shared" si="110"/>
        <v>37317</v>
      </c>
      <c r="D2349" t="s">
        <v>11</v>
      </c>
      <c r="E2349" t="s">
        <v>12</v>
      </c>
      <c r="F2349" t="s">
        <v>124</v>
      </c>
      <c r="G2349" t="s">
        <v>4854</v>
      </c>
      <c r="H2349" t="s">
        <v>4855</v>
      </c>
      <c r="I2349" t="s">
        <v>4856</v>
      </c>
      <c r="J2349" t="s">
        <v>4857</v>
      </c>
      <c r="K2349" t="s">
        <v>4858</v>
      </c>
      <c r="L2349" s="12" t="s">
        <v>65</v>
      </c>
      <c r="M2349" s="12" t="s">
        <v>122</v>
      </c>
      <c r="N2349" s="12" t="s">
        <v>175</v>
      </c>
      <c r="O2349" s="12" t="s">
        <v>124</v>
      </c>
      <c r="P2349" s="12" t="s">
        <v>245</v>
      </c>
      <c r="Q2349" s="7" t="str">
        <f t="shared" si="109"/>
        <v>(2002,9,'2002.03.02',13,51,55,62,74,0),</v>
      </c>
      <c r="R2349" s="7" t="str">
        <f t="shared" si="111"/>
        <v>(2002,9,'2002.03.02',13,51,55,62,74),</v>
      </c>
    </row>
    <row r="2350" spans="1:18" x14ac:dyDescent="0.25">
      <c r="A2350" s="7" t="s">
        <v>4651</v>
      </c>
      <c r="B2350" s="8" t="s">
        <v>62</v>
      </c>
      <c r="C2350" s="10">
        <f t="shared" si="110"/>
        <v>37324</v>
      </c>
      <c r="D2350" t="s">
        <v>11</v>
      </c>
      <c r="E2350" t="s">
        <v>12</v>
      </c>
      <c r="F2350" t="s">
        <v>4398</v>
      </c>
      <c r="G2350" t="s">
        <v>4849</v>
      </c>
      <c r="H2350" t="s">
        <v>4850</v>
      </c>
      <c r="I2350" t="s">
        <v>4851</v>
      </c>
      <c r="J2350" t="s">
        <v>4852</v>
      </c>
      <c r="K2350" t="s">
        <v>4853</v>
      </c>
      <c r="L2350" s="12" t="s">
        <v>270</v>
      </c>
      <c r="M2350" s="12" t="s">
        <v>65</v>
      </c>
      <c r="N2350" s="12" t="s">
        <v>175</v>
      </c>
      <c r="O2350" s="12" t="s">
        <v>233</v>
      </c>
      <c r="P2350" s="12" t="s">
        <v>215</v>
      </c>
      <c r="Q2350" s="7" t="str">
        <f t="shared" si="109"/>
        <v>(2002,10,'2002.03.09',6,13,55,66,81,0),</v>
      </c>
      <c r="R2350" s="7" t="str">
        <f t="shared" si="111"/>
        <v>(2002,10,'2002.03.09',6,13,55,66,81),</v>
      </c>
    </row>
    <row r="2351" spans="1:18" x14ac:dyDescent="0.25">
      <c r="A2351" s="7" t="s">
        <v>4651</v>
      </c>
      <c r="B2351" s="8" t="s">
        <v>83</v>
      </c>
      <c r="C2351" s="10">
        <f t="shared" si="110"/>
        <v>37331</v>
      </c>
      <c r="D2351" t="s">
        <v>207</v>
      </c>
      <c r="E2351" t="s">
        <v>4842</v>
      </c>
      <c r="F2351" t="s">
        <v>4843</v>
      </c>
      <c r="G2351" t="s">
        <v>4844</v>
      </c>
      <c r="H2351" t="s">
        <v>4845</v>
      </c>
      <c r="I2351" t="s">
        <v>4846</v>
      </c>
      <c r="J2351" t="s">
        <v>4847</v>
      </c>
      <c r="K2351" t="s">
        <v>4848</v>
      </c>
      <c r="L2351" s="12" t="s">
        <v>135</v>
      </c>
      <c r="M2351" s="12" t="s">
        <v>64</v>
      </c>
      <c r="N2351" s="12" t="s">
        <v>24</v>
      </c>
      <c r="O2351" s="12" t="s">
        <v>92</v>
      </c>
      <c r="P2351" s="12" t="s">
        <v>56</v>
      </c>
      <c r="Q2351" s="7" t="str">
        <f t="shared" si="109"/>
        <v>(2002,11,'2002.03.16',27,35,39,68,71,0),</v>
      </c>
      <c r="R2351" s="7" t="str">
        <f t="shared" si="111"/>
        <v>(2002,11,'2002.03.16',27,35,39,68,71),</v>
      </c>
    </row>
    <row r="2352" spans="1:18" x14ac:dyDescent="0.25">
      <c r="A2352" s="7" t="s">
        <v>4651</v>
      </c>
      <c r="B2352" s="8" t="s">
        <v>31</v>
      </c>
      <c r="C2352" s="10">
        <f t="shared" si="110"/>
        <v>37338</v>
      </c>
      <c r="D2352" t="s">
        <v>11</v>
      </c>
      <c r="E2352" t="s">
        <v>12</v>
      </c>
      <c r="F2352" t="s">
        <v>4837</v>
      </c>
      <c r="G2352" t="s">
        <v>4838</v>
      </c>
      <c r="H2352" t="s">
        <v>4839</v>
      </c>
      <c r="I2352" t="s">
        <v>4840</v>
      </c>
      <c r="J2352" t="s">
        <v>4841</v>
      </c>
      <c r="K2352" t="s">
        <v>4627</v>
      </c>
      <c r="L2352" s="12" t="s">
        <v>207</v>
      </c>
      <c r="M2352" s="12" t="s">
        <v>55</v>
      </c>
      <c r="N2352" s="12" t="s">
        <v>34</v>
      </c>
      <c r="O2352" s="12" t="s">
        <v>199</v>
      </c>
      <c r="P2352" s="12" t="s">
        <v>123</v>
      </c>
      <c r="Q2352" s="7" t="str">
        <f t="shared" si="109"/>
        <v>(2002,12,'2002.03.23',2,19,49,53,54,0),</v>
      </c>
      <c r="R2352" s="7" t="str">
        <f t="shared" si="111"/>
        <v>(2002,12,'2002.03.23',2,19,49,53,54),</v>
      </c>
    </row>
    <row r="2353" spans="1:18" x14ac:dyDescent="0.25">
      <c r="A2353" s="7" t="s">
        <v>4651</v>
      </c>
      <c r="B2353" s="8" t="s">
        <v>65</v>
      </c>
      <c r="C2353" s="10">
        <f t="shared" si="110"/>
        <v>37345</v>
      </c>
      <c r="D2353" t="s">
        <v>11</v>
      </c>
      <c r="E2353" t="s">
        <v>12</v>
      </c>
      <c r="F2353" t="s">
        <v>135</v>
      </c>
      <c r="G2353" t="s">
        <v>4832</v>
      </c>
      <c r="H2353" t="s">
        <v>4833</v>
      </c>
      <c r="I2353" t="s">
        <v>4834</v>
      </c>
      <c r="J2353" t="s">
        <v>4835</v>
      </c>
      <c r="K2353" t="s">
        <v>4836</v>
      </c>
      <c r="L2353" s="12" t="s">
        <v>207</v>
      </c>
      <c r="M2353" s="12" t="s">
        <v>42</v>
      </c>
      <c r="N2353" s="12" t="s">
        <v>33</v>
      </c>
      <c r="O2353" s="12" t="s">
        <v>169</v>
      </c>
      <c r="P2353" s="12" t="s">
        <v>269</v>
      </c>
      <c r="Q2353" s="7" t="str">
        <f t="shared" si="109"/>
        <v>(2002,13,'2002.03.30',2,3,24,58,87,0),</v>
      </c>
      <c r="R2353" s="7" t="str">
        <f t="shared" si="111"/>
        <v>(2002,13,'2002.03.30',2,3,24,58,87),</v>
      </c>
    </row>
    <row r="2354" spans="1:18" x14ac:dyDescent="0.25">
      <c r="A2354" s="7" t="s">
        <v>4651</v>
      </c>
      <c r="B2354" s="8" t="s">
        <v>127</v>
      </c>
      <c r="C2354" s="10">
        <f t="shared" si="110"/>
        <v>37352</v>
      </c>
      <c r="D2354" t="s">
        <v>11</v>
      </c>
      <c r="E2354" t="s">
        <v>12</v>
      </c>
      <c r="F2354" t="s">
        <v>90</v>
      </c>
      <c r="G2354" t="s">
        <v>4827</v>
      </c>
      <c r="H2354" t="s">
        <v>4828</v>
      </c>
      <c r="I2354" t="s">
        <v>4829</v>
      </c>
      <c r="J2354" t="s">
        <v>4830</v>
      </c>
      <c r="K2354" t="s">
        <v>4831</v>
      </c>
      <c r="L2354" s="12" t="s">
        <v>105</v>
      </c>
      <c r="M2354" s="12" t="s">
        <v>56</v>
      </c>
      <c r="N2354" s="12" t="s">
        <v>106</v>
      </c>
      <c r="O2354" s="12" t="s">
        <v>151</v>
      </c>
      <c r="P2354" s="12" t="s">
        <v>208</v>
      </c>
      <c r="Q2354" s="7" t="str">
        <f t="shared" si="109"/>
        <v>(2002,14,'2002.04.06',50,71,75,79,88,0),</v>
      </c>
      <c r="R2354" s="7" t="str">
        <f t="shared" si="111"/>
        <v>(2002,14,'2002.04.06',50,71,75,79,88),</v>
      </c>
    </row>
    <row r="2355" spans="1:18" x14ac:dyDescent="0.25">
      <c r="A2355" s="7" t="s">
        <v>4651</v>
      </c>
      <c r="B2355" s="8" t="s">
        <v>54</v>
      </c>
      <c r="C2355" s="10">
        <f t="shared" si="110"/>
        <v>37359</v>
      </c>
      <c r="D2355" t="s">
        <v>11</v>
      </c>
      <c r="E2355" t="s">
        <v>12</v>
      </c>
      <c r="F2355" t="s">
        <v>20</v>
      </c>
      <c r="G2355" t="s">
        <v>4823</v>
      </c>
      <c r="H2355" t="s">
        <v>4824</v>
      </c>
      <c r="I2355" t="s">
        <v>4825</v>
      </c>
      <c r="J2355" t="s">
        <v>4826</v>
      </c>
      <c r="K2355" t="s">
        <v>4314</v>
      </c>
      <c r="L2355" s="12" t="s">
        <v>74</v>
      </c>
      <c r="M2355" s="12" t="s">
        <v>46</v>
      </c>
      <c r="N2355" s="12" t="s">
        <v>199</v>
      </c>
      <c r="O2355" s="12" t="s">
        <v>35</v>
      </c>
      <c r="P2355" s="12" t="s">
        <v>151</v>
      </c>
      <c r="Q2355" s="7" t="str">
        <f t="shared" si="109"/>
        <v>(2002,15,'2002.04.13',26,37,53,65,79,0),</v>
      </c>
      <c r="R2355" s="7" t="str">
        <f t="shared" si="111"/>
        <v>(2002,15,'2002.04.13',26,37,53,65,79),</v>
      </c>
    </row>
    <row r="2356" spans="1:18" x14ac:dyDescent="0.25">
      <c r="A2356" s="7" t="s">
        <v>4651</v>
      </c>
      <c r="B2356" s="8" t="s">
        <v>43</v>
      </c>
      <c r="C2356" s="10">
        <f t="shared" si="110"/>
        <v>37366</v>
      </c>
      <c r="D2356" t="s">
        <v>11</v>
      </c>
      <c r="E2356" t="s">
        <v>12</v>
      </c>
      <c r="F2356" t="s">
        <v>71</v>
      </c>
      <c r="G2356" t="s">
        <v>4819</v>
      </c>
      <c r="H2356" t="s">
        <v>4820</v>
      </c>
      <c r="I2356" t="s">
        <v>4821</v>
      </c>
      <c r="J2356" t="s">
        <v>4822</v>
      </c>
      <c r="K2356" t="s">
        <v>4732</v>
      </c>
      <c r="L2356" s="12" t="s">
        <v>135</v>
      </c>
      <c r="M2356" s="12" t="s">
        <v>99</v>
      </c>
      <c r="N2356" s="12" t="s">
        <v>123</v>
      </c>
      <c r="O2356" s="12" t="s">
        <v>91</v>
      </c>
      <c r="P2356" s="12" t="s">
        <v>186</v>
      </c>
      <c r="Q2356" s="7" t="str">
        <f t="shared" si="109"/>
        <v>(2002,16,'2002.04.20',27,52,54,61,90,0),</v>
      </c>
      <c r="R2356" s="7" t="str">
        <f t="shared" si="111"/>
        <v>(2002,16,'2002.04.20',27,52,54,61,90),</v>
      </c>
    </row>
    <row r="2357" spans="1:18" x14ac:dyDescent="0.25">
      <c r="A2357" s="7" t="s">
        <v>4651</v>
      </c>
      <c r="B2357" s="8" t="s">
        <v>90</v>
      </c>
      <c r="C2357" s="10">
        <f t="shared" si="110"/>
        <v>37373</v>
      </c>
      <c r="D2357" t="s">
        <v>11</v>
      </c>
      <c r="E2357" t="s">
        <v>12</v>
      </c>
      <c r="F2357" t="s">
        <v>200</v>
      </c>
      <c r="G2357" t="s">
        <v>4815</v>
      </c>
      <c r="H2357" t="s">
        <v>4816</v>
      </c>
      <c r="I2357" t="s">
        <v>4817</v>
      </c>
      <c r="J2357" t="s">
        <v>4818</v>
      </c>
      <c r="K2357" t="s">
        <v>4212</v>
      </c>
      <c r="L2357" s="12" t="s">
        <v>32</v>
      </c>
      <c r="M2357" s="12" t="s">
        <v>64</v>
      </c>
      <c r="N2357" s="12" t="s">
        <v>45</v>
      </c>
      <c r="O2357" s="12" t="s">
        <v>105</v>
      </c>
      <c r="P2357" s="12" t="s">
        <v>47</v>
      </c>
      <c r="Q2357" s="7" t="str">
        <f t="shared" si="109"/>
        <v>(2002,17,'2002.04.27',22,35,43,50,69,0),</v>
      </c>
      <c r="R2357" s="7" t="str">
        <f t="shared" si="111"/>
        <v>(2002,17,'2002.04.27',22,35,43,50,69),</v>
      </c>
    </row>
    <row r="2358" spans="1:18" x14ac:dyDescent="0.25">
      <c r="A2358" s="7" t="s">
        <v>4651</v>
      </c>
      <c r="B2358" s="8" t="s">
        <v>19</v>
      </c>
      <c r="C2358" s="10">
        <f t="shared" si="110"/>
        <v>37380</v>
      </c>
      <c r="D2358" t="s">
        <v>11</v>
      </c>
      <c r="E2358" t="s">
        <v>12</v>
      </c>
      <c r="F2358" t="s">
        <v>163</v>
      </c>
      <c r="G2358" t="s">
        <v>4812</v>
      </c>
      <c r="H2358" t="s">
        <v>2520</v>
      </c>
      <c r="I2358" t="s">
        <v>4813</v>
      </c>
      <c r="J2358" t="s">
        <v>4814</v>
      </c>
      <c r="K2358" t="s">
        <v>4265</v>
      </c>
      <c r="L2358" s="12" t="s">
        <v>108</v>
      </c>
      <c r="M2358" s="12" t="s">
        <v>46</v>
      </c>
      <c r="N2358" s="12" t="s">
        <v>13</v>
      </c>
      <c r="O2358" s="12" t="s">
        <v>201</v>
      </c>
      <c r="P2358" s="12" t="s">
        <v>106</v>
      </c>
      <c r="Q2358" s="7" t="str">
        <f t="shared" si="109"/>
        <v>(2002,18,'2002.05.04',1,37,41,72,75,0),</v>
      </c>
      <c r="R2358" s="7" t="str">
        <f t="shared" si="111"/>
        <v>(2002,18,'2002.05.04',1,37,41,72,75),</v>
      </c>
    </row>
    <row r="2359" spans="1:18" x14ac:dyDescent="0.25">
      <c r="A2359" s="7" t="s">
        <v>4651</v>
      </c>
      <c r="B2359" s="8" t="s">
        <v>55</v>
      </c>
      <c r="C2359" s="10">
        <f t="shared" si="110"/>
        <v>37387</v>
      </c>
      <c r="D2359" t="s">
        <v>11</v>
      </c>
      <c r="E2359" t="s">
        <v>12</v>
      </c>
      <c r="F2359" t="s">
        <v>46</v>
      </c>
      <c r="G2359" t="s">
        <v>4809</v>
      </c>
      <c r="H2359" t="s">
        <v>1405</v>
      </c>
      <c r="I2359" t="s">
        <v>4810</v>
      </c>
      <c r="J2359" t="s">
        <v>4811</v>
      </c>
      <c r="K2359" t="s">
        <v>4595</v>
      </c>
      <c r="L2359" s="12" t="s">
        <v>270</v>
      </c>
      <c r="M2359" s="12" t="s">
        <v>20</v>
      </c>
      <c r="N2359" s="12" t="s">
        <v>45</v>
      </c>
      <c r="O2359" s="12" t="s">
        <v>239</v>
      </c>
      <c r="P2359" s="12" t="s">
        <v>245</v>
      </c>
      <c r="Q2359" s="7" t="str">
        <f t="shared" si="109"/>
        <v>(2002,19,'2002.05.11',6,33,43,73,74,0),</v>
      </c>
      <c r="R2359" s="7" t="str">
        <f t="shared" si="111"/>
        <v>(2002,19,'2002.05.11',6,33,43,73,74),</v>
      </c>
    </row>
    <row r="2360" spans="1:18" x14ac:dyDescent="0.25">
      <c r="A2360" s="7" t="s">
        <v>4651</v>
      </c>
      <c r="B2360" s="8" t="s">
        <v>115</v>
      </c>
      <c r="C2360" s="10">
        <f t="shared" si="110"/>
        <v>37394</v>
      </c>
      <c r="D2360" t="s">
        <v>11</v>
      </c>
      <c r="E2360" t="s">
        <v>12</v>
      </c>
      <c r="F2360" t="s">
        <v>152</v>
      </c>
      <c r="G2360" t="s">
        <v>4805</v>
      </c>
      <c r="H2360" t="s">
        <v>4806</v>
      </c>
      <c r="I2360" t="s">
        <v>4807</v>
      </c>
      <c r="J2360" t="s">
        <v>4808</v>
      </c>
      <c r="K2360" t="s">
        <v>1360</v>
      </c>
      <c r="L2360" s="12" t="s">
        <v>126</v>
      </c>
      <c r="M2360" s="12" t="s">
        <v>36</v>
      </c>
      <c r="N2360" s="12" t="s">
        <v>35</v>
      </c>
      <c r="O2360" s="12" t="s">
        <v>143</v>
      </c>
      <c r="P2360" s="12" t="s">
        <v>186</v>
      </c>
      <c r="Q2360" s="7" t="str">
        <f t="shared" si="109"/>
        <v>(2002,20,'2002.05.18',28,38,65,77,90,0),</v>
      </c>
      <c r="R2360" s="7" t="str">
        <f t="shared" si="111"/>
        <v>(2002,20,'2002.05.18',28,38,65,77,90),</v>
      </c>
    </row>
    <row r="2361" spans="1:18" x14ac:dyDescent="0.25">
      <c r="A2361" s="7" t="s">
        <v>4651</v>
      </c>
      <c r="B2361" s="8" t="s">
        <v>44</v>
      </c>
      <c r="C2361" s="10">
        <f t="shared" si="110"/>
        <v>37401</v>
      </c>
      <c r="D2361" t="s">
        <v>11</v>
      </c>
      <c r="E2361" t="s">
        <v>12</v>
      </c>
      <c r="F2361" t="s">
        <v>99</v>
      </c>
      <c r="G2361" t="s">
        <v>4800</v>
      </c>
      <c r="H2361" t="s">
        <v>4801</v>
      </c>
      <c r="I2361" t="s">
        <v>4802</v>
      </c>
      <c r="J2361" t="s">
        <v>4803</v>
      </c>
      <c r="K2361" t="s">
        <v>4804</v>
      </c>
      <c r="L2361" s="12" t="s">
        <v>135</v>
      </c>
      <c r="M2361" s="12" t="s">
        <v>71</v>
      </c>
      <c r="N2361" s="12" t="s">
        <v>123</v>
      </c>
      <c r="O2361" s="12" t="s">
        <v>233</v>
      </c>
      <c r="P2361" s="12" t="s">
        <v>73</v>
      </c>
      <c r="Q2361" s="7" t="str">
        <f t="shared" si="109"/>
        <v>(2002,21,'2002.05.25',27,31,54,66,76,0),</v>
      </c>
      <c r="R2361" s="7" t="str">
        <f t="shared" si="111"/>
        <v>(2002,21,'2002.05.25',27,31,54,66,76),</v>
      </c>
    </row>
    <row r="2362" spans="1:18" x14ac:dyDescent="0.25">
      <c r="A2362" s="7" t="s">
        <v>4651</v>
      </c>
      <c r="B2362" s="8" t="s">
        <v>32</v>
      </c>
      <c r="C2362" s="10">
        <f t="shared" si="110"/>
        <v>37408</v>
      </c>
      <c r="D2362" t="s">
        <v>108</v>
      </c>
      <c r="E2362" t="s">
        <v>4794</v>
      </c>
      <c r="F2362" t="s">
        <v>126</v>
      </c>
      <c r="G2362" t="s">
        <v>4795</v>
      </c>
      <c r="H2362" t="s">
        <v>4796</v>
      </c>
      <c r="I2362" t="s">
        <v>4797</v>
      </c>
      <c r="J2362" t="s">
        <v>4798</v>
      </c>
      <c r="K2362" t="s">
        <v>4799</v>
      </c>
      <c r="L2362" s="12" t="s">
        <v>54</v>
      </c>
      <c r="M2362" s="12" t="s">
        <v>46</v>
      </c>
      <c r="N2362" s="12" t="s">
        <v>24</v>
      </c>
      <c r="O2362" s="12" t="s">
        <v>301</v>
      </c>
      <c r="P2362" s="12" t="s">
        <v>215</v>
      </c>
      <c r="Q2362" s="7" t="str">
        <f t="shared" si="109"/>
        <v>(2002,22,'2002.06.01',15,37,39,80,81,0),</v>
      </c>
      <c r="R2362" s="7" t="str">
        <f t="shared" si="111"/>
        <v>(2002,22,'2002.06.01',15,37,39,80,81),</v>
      </c>
    </row>
    <row r="2363" spans="1:18" x14ac:dyDescent="0.25">
      <c r="A2363" s="7" t="s">
        <v>4651</v>
      </c>
      <c r="B2363" s="8" t="s">
        <v>163</v>
      </c>
      <c r="C2363" s="10">
        <f t="shared" si="110"/>
        <v>37415</v>
      </c>
      <c r="D2363" t="s">
        <v>108</v>
      </c>
      <c r="E2363" t="s">
        <v>4788</v>
      </c>
      <c r="F2363" t="s">
        <v>22</v>
      </c>
      <c r="G2363" t="s">
        <v>4789</v>
      </c>
      <c r="H2363" t="s">
        <v>4790</v>
      </c>
      <c r="I2363" t="s">
        <v>4791</v>
      </c>
      <c r="J2363" t="s">
        <v>4792</v>
      </c>
      <c r="K2363" t="s">
        <v>4793</v>
      </c>
      <c r="L2363" s="12" t="s">
        <v>42</v>
      </c>
      <c r="M2363" s="12" t="s">
        <v>152</v>
      </c>
      <c r="N2363" s="12" t="s">
        <v>122</v>
      </c>
      <c r="O2363" s="12" t="s">
        <v>301</v>
      </c>
      <c r="P2363" s="12" t="s">
        <v>308</v>
      </c>
      <c r="Q2363" s="7" t="str">
        <f t="shared" si="109"/>
        <v>(2002,23,'2002.06.08',3,25,51,80,86,0),</v>
      </c>
      <c r="R2363" s="7" t="str">
        <f t="shared" si="111"/>
        <v>(2002,23,'2002.06.08',3,25,51,80,86),</v>
      </c>
    </row>
    <row r="2364" spans="1:18" x14ac:dyDescent="0.25">
      <c r="A2364" s="7" t="s">
        <v>4651</v>
      </c>
      <c r="B2364" s="8" t="s">
        <v>33</v>
      </c>
      <c r="C2364" s="10">
        <f t="shared" si="110"/>
        <v>37422</v>
      </c>
      <c r="D2364" t="s">
        <v>11</v>
      </c>
      <c r="E2364" t="s">
        <v>12</v>
      </c>
      <c r="F2364" t="s">
        <v>91</v>
      </c>
      <c r="G2364" t="s">
        <v>4783</v>
      </c>
      <c r="H2364" t="s">
        <v>4784</v>
      </c>
      <c r="I2364" t="s">
        <v>4785</v>
      </c>
      <c r="J2364" t="s">
        <v>4786</v>
      </c>
      <c r="K2364" t="s">
        <v>4787</v>
      </c>
      <c r="L2364" s="12" t="s">
        <v>108</v>
      </c>
      <c r="M2364" s="12" t="s">
        <v>90</v>
      </c>
      <c r="N2364" s="12" t="s">
        <v>46</v>
      </c>
      <c r="O2364" s="12" t="s">
        <v>34</v>
      </c>
      <c r="P2364" s="12" t="s">
        <v>92</v>
      </c>
      <c r="Q2364" s="7" t="str">
        <f t="shared" si="109"/>
        <v>(2002,24,'2002.06.15',1,17,37,49,68,0),</v>
      </c>
      <c r="R2364" s="7" t="str">
        <f t="shared" si="111"/>
        <v>(2002,24,'2002.06.15',1,17,37,49,68),</v>
      </c>
    </row>
    <row r="2365" spans="1:18" x14ac:dyDescent="0.25">
      <c r="A2365" s="7" t="s">
        <v>4651</v>
      </c>
      <c r="B2365" s="8" t="s">
        <v>152</v>
      </c>
      <c r="C2365" s="10">
        <f t="shared" si="110"/>
        <v>37429</v>
      </c>
      <c r="D2365" t="s">
        <v>11</v>
      </c>
      <c r="E2365" t="s">
        <v>12</v>
      </c>
      <c r="F2365" t="s">
        <v>65</v>
      </c>
      <c r="G2365" t="s">
        <v>4778</v>
      </c>
      <c r="H2365" t="s">
        <v>4779</v>
      </c>
      <c r="I2365" t="s">
        <v>4780</v>
      </c>
      <c r="J2365" t="s">
        <v>4781</v>
      </c>
      <c r="K2365" t="s">
        <v>4782</v>
      </c>
      <c r="L2365" s="12" t="s">
        <v>270</v>
      </c>
      <c r="M2365" s="12" t="s">
        <v>134</v>
      </c>
      <c r="N2365" s="12" t="s">
        <v>56</v>
      </c>
      <c r="O2365" s="12" t="s">
        <v>215</v>
      </c>
      <c r="P2365" s="12" t="s">
        <v>468</v>
      </c>
      <c r="Q2365" s="7" t="str">
        <f t="shared" si="109"/>
        <v>(2002,25,'2002.06.22',6,56,71,81,85,0),</v>
      </c>
      <c r="R2365" s="7" t="str">
        <f t="shared" si="111"/>
        <v>(2002,25,'2002.06.22',6,56,71,81,85),</v>
      </c>
    </row>
    <row r="2366" spans="1:18" x14ac:dyDescent="0.25">
      <c r="A2366" s="7" t="s">
        <v>4651</v>
      </c>
      <c r="B2366" s="8" t="s">
        <v>74</v>
      </c>
      <c r="C2366" s="10">
        <f t="shared" si="110"/>
        <v>37436</v>
      </c>
      <c r="D2366" t="s">
        <v>11</v>
      </c>
      <c r="E2366" t="s">
        <v>12</v>
      </c>
      <c r="F2366" t="s">
        <v>107</v>
      </c>
      <c r="G2366" t="s">
        <v>4774</v>
      </c>
      <c r="H2366" t="s">
        <v>4775</v>
      </c>
      <c r="I2366" t="s">
        <v>4776</v>
      </c>
      <c r="J2366" t="s">
        <v>4777</v>
      </c>
      <c r="K2366" t="s">
        <v>4265</v>
      </c>
      <c r="L2366" s="12" t="s">
        <v>89</v>
      </c>
      <c r="M2366" s="12" t="s">
        <v>107</v>
      </c>
      <c r="N2366" s="12" t="s">
        <v>80</v>
      </c>
      <c r="O2366" s="12" t="s">
        <v>34</v>
      </c>
      <c r="P2366" s="12" t="s">
        <v>151</v>
      </c>
      <c r="Q2366" s="7" t="str">
        <f t="shared" si="109"/>
        <v>(2002,26,'2002.06.29',5,30,32,49,79,0),</v>
      </c>
      <c r="R2366" s="7" t="str">
        <f t="shared" si="111"/>
        <v>(2002,26,'2002.06.29',5,30,32,49,79),</v>
      </c>
    </row>
    <row r="2367" spans="1:18" x14ac:dyDescent="0.25">
      <c r="A2367" s="7" t="s">
        <v>4651</v>
      </c>
      <c r="B2367" s="8" t="s">
        <v>135</v>
      </c>
      <c r="C2367" s="10">
        <f t="shared" si="110"/>
        <v>37443</v>
      </c>
      <c r="D2367" t="s">
        <v>11</v>
      </c>
      <c r="E2367" t="s">
        <v>12</v>
      </c>
      <c r="F2367" t="s">
        <v>245</v>
      </c>
      <c r="G2367" t="s">
        <v>4770</v>
      </c>
      <c r="H2367" t="s">
        <v>4771</v>
      </c>
      <c r="I2367" t="s">
        <v>4772</v>
      </c>
      <c r="J2367" t="s">
        <v>4773</v>
      </c>
      <c r="K2367" t="s">
        <v>3834</v>
      </c>
      <c r="L2367" s="12" t="s">
        <v>270</v>
      </c>
      <c r="M2367" s="12" t="s">
        <v>55</v>
      </c>
      <c r="N2367" s="12" t="s">
        <v>81</v>
      </c>
      <c r="O2367" s="12" t="s">
        <v>99</v>
      </c>
      <c r="P2367" s="12" t="s">
        <v>468</v>
      </c>
      <c r="Q2367" s="7" t="str">
        <f t="shared" si="109"/>
        <v>(2002,27,'2002.07.06',6,19,47,52,85,0),</v>
      </c>
      <c r="R2367" s="7" t="str">
        <f t="shared" si="111"/>
        <v>(2002,27,'2002.07.06',6,19,47,52,85),</v>
      </c>
    </row>
    <row r="2368" spans="1:18" x14ac:dyDescent="0.25">
      <c r="A2368" s="7" t="s">
        <v>4651</v>
      </c>
      <c r="B2368" s="8" t="s">
        <v>126</v>
      </c>
      <c r="C2368" s="10">
        <f t="shared" si="110"/>
        <v>37450</v>
      </c>
      <c r="D2368" t="s">
        <v>11</v>
      </c>
      <c r="E2368" t="s">
        <v>12</v>
      </c>
      <c r="F2368" t="s">
        <v>107</v>
      </c>
      <c r="G2368" t="s">
        <v>4766</v>
      </c>
      <c r="H2368" t="s">
        <v>4767</v>
      </c>
      <c r="I2368" t="s">
        <v>4768</v>
      </c>
      <c r="J2368" t="s">
        <v>4769</v>
      </c>
      <c r="K2368" t="s">
        <v>1956</v>
      </c>
      <c r="L2368" s="12" t="s">
        <v>62</v>
      </c>
      <c r="M2368" s="12" t="s">
        <v>43</v>
      </c>
      <c r="N2368" s="12" t="s">
        <v>81</v>
      </c>
      <c r="O2368" s="12" t="s">
        <v>72</v>
      </c>
      <c r="P2368" s="12" t="s">
        <v>200</v>
      </c>
      <c r="Q2368" s="7" t="str">
        <f t="shared" si="109"/>
        <v>(2002,28,'2002.07.13',10,16,47,67,70,0),</v>
      </c>
      <c r="R2368" s="7" t="str">
        <f t="shared" si="111"/>
        <v>(2002,28,'2002.07.13',10,16,47,67,70),</v>
      </c>
    </row>
    <row r="2369" spans="1:18" x14ac:dyDescent="0.25">
      <c r="A2369" s="7" t="s">
        <v>4651</v>
      </c>
      <c r="B2369" s="8" t="s">
        <v>116</v>
      </c>
      <c r="C2369" s="10">
        <f t="shared" si="110"/>
        <v>37457</v>
      </c>
      <c r="D2369" t="s">
        <v>11</v>
      </c>
      <c r="E2369" t="s">
        <v>12</v>
      </c>
      <c r="F2369" t="s">
        <v>116</v>
      </c>
      <c r="G2369" t="s">
        <v>4762</v>
      </c>
      <c r="H2369" t="s">
        <v>4763</v>
      </c>
      <c r="I2369" t="s">
        <v>4764</v>
      </c>
      <c r="J2369" t="s">
        <v>4765</v>
      </c>
      <c r="K2369" t="s">
        <v>4131</v>
      </c>
      <c r="L2369" s="12" t="s">
        <v>270</v>
      </c>
      <c r="M2369" s="12" t="s">
        <v>83</v>
      </c>
      <c r="N2369" s="12" t="s">
        <v>107</v>
      </c>
      <c r="O2369" s="12" t="s">
        <v>63</v>
      </c>
      <c r="P2369" s="12" t="s">
        <v>301</v>
      </c>
      <c r="Q2369" s="7" t="str">
        <f t="shared" si="109"/>
        <v>(2002,29,'2002.07.20',6,11,30,78,80,0),</v>
      </c>
      <c r="R2369" s="7" t="str">
        <f t="shared" si="111"/>
        <v>(2002,29,'2002.07.20',6,11,30,78,80),</v>
      </c>
    </row>
    <row r="2370" spans="1:18" x14ac:dyDescent="0.25">
      <c r="A2370" s="7" t="s">
        <v>4651</v>
      </c>
      <c r="B2370" s="8" t="s">
        <v>107</v>
      </c>
      <c r="C2370" s="10">
        <f t="shared" si="110"/>
        <v>37464</v>
      </c>
      <c r="D2370" t="s">
        <v>11</v>
      </c>
      <c r="E2370" t="s">
        <v>12</v>
      </c>
      <c r="F2370" t="s">
        <v>25</v>
      </c>
      <c r="G2370" t="s">
        <v>4757</v>
      </c>
      <c r="H2370" t="s">
        <v>4758</v>
      </c>
      <c r="I2370" t="s">
        <v>4759</v>
      </c>
      <c r="J2370" t="s">
        <v>4760</v>
      </c>
      <c r="K2370" t="s">
        <v>4761</v>
      </c>
      <c r="L2370" s="12" t="s">
        <v>13</v>
      </c>
      <c r="M2370" s="12" t="s">
        <v>81</v>
      </c>
      <c r="N2370" s="12" t="s">
        <v>82</v>
      </c>
      <c r="O2370" s="12" t="s">
        <v>56</v>
      </c>
      <c r="P2370" s="12" t="s">
        <v>245</v>
      </c>
      <c r="Q2370" s="7" t="str">
        <f t="shared" ref="Q2370:Q2433" si="112">"("&amp;A2370&amp;","&amp;B2370&amp;",'"&amp;TEXT(C2370,"éééé.hh.nn")&amp;"',"&amp;L2370&amp;","&amp;M2370&amp;","&amp;N2370&amp;","&amp;O2370&amp;","&amp;P2370&amp;",0)"&amp;IF(P2371&lt;&gt;0,",","")</f>
        <v>(2002,30,'2002.07.27',41,47,59,71,74,0),</v>
      </c>
      <c r="R2370" s="7" t="str">
        <f t="shared" si="111"/>
        <v>(2002,30,'2002.07.27',41,47,59,71,74),</v>
      </c>
    </row>
    <row r="2371" spans="1:18" x14ac:dyDescent="0.25">
      <c r="A2371" s="7" t="s">
        <v>4651</v>
      </c>
      <c r="B2371" s="8" t="s">
        <v>71</v>
      </c>
      <c r="C2371" s="10">
        <f t="shared" ref="C2371:C2434" si="113">+C2370+7</f>
        <v>37471</v>
      </c>
      <c r="D2371" t="s">
        <v>11</v>
      </c>
      <c r="E2371" t="s">
        <v>12</v>
      </c>
      <c r="F2371" t="s">
        <v>135</v>
      </c>
      <c r="G2371" t="s">
        <v>4753</v>
      </c>
      <c r="H2371" t="s">
        <v>2621</v>
      </c>
      <c r="I2371" t="s">
        <v>4754</v>
      </c>
      <c r="J2371" t="s">
        <v>4755</v>
      </c>
      <c r="K2371" t="s">
        <v>4756</v>
      </c>
      <c r="L2371" s="12" t="s">
        <v>198</v>
      </c>
      <c r="M2371" s="12" t="s">
        <v>126</v>
      </c>
      <c r="N2371" s="12" t="s">
        <v>134</v>
      </c>
      <c r="O2371" s="12" t="s">
        <v>269</v>
      </c>
      <c r="P2371" s="12" t="s">
        <v>186</v>
      </c>
      <c r="Q2371" s="7" t="str">
        <f t="shared" si="112"/>
        <v>(2002,31,'2002.08.03',9,28,56,87,90,0),</v>
      </c>
      <c r="R2371" s="7" t="str">
        <f t="shared" ref="R2371:R2434" si="114">IF(TRIM(P2371)="","","("&amp;A2371&amp;","&amp;B2371&amp;",'"&amp;TEXT(C2371,"éééé.hh.nn")&amp;"',"&amp;L2371&amp;","&amp;M2371&amp;","&amp;N2371&amp;","&amp;O2371&amp;","&amp;P2371&amp;")"&amp;IF(P2372=0,";",","))</f>
        <v>(2002,31,'2002.08.03',9,28,56,87,90),</v>
      </c>
    </row>
    <row r="2372" spans="1:18" x14ac:dyDescent="0.25">
      <c r="A2372" s="7" t="s">
        <v>4651</v>
      </c>
      <c r="B2372" s="8" t="s">
        <v>80</v>
      </c>
      <c r="C2372" s="10">
        <f t="shared" si="113"/>
        <v>37478</v>
      </c>
      <c r="D2372" t="s">
        <v>11</v>
      </c>
      <c r="E2372" t="s">
        <v>12</v>
      </c>
      <c r="F2372" t="s">
        <v>2942</v>
      </c>
      <c r="G2372" t="s">
        <v>4748</v>
      </c>
      <c r="H2372" t="s">
        <v>4749</v>
      </c>
      <c r="I2372" t="s">
        <v>4750</v>
      </c>
      <c r="J2372" t="s">
        <v>4751</v>
      </c>
      <c r="K2372" t="s">
        <v>4752</v>
      </c>
      <c r="L2372" s="12" t="s">
        <v>42</v>
      </c>
      <c r="M2372" s="12" t="s">
        <v>62</v>
      </c>
      <c r="N2372" s="12" t="s">
        <v>135</v>
      </c>
      <c r="O2372" s="12" t="s">
        <v>21</v>
      </c>
      <c r="P2372" s="12" t="s">
        <v>134</v>
      </c>
      <c r="Q2372" s="7" t="str">
        <f t="shared" si="112"/>
        <v>(2002,32,'2002.08.10',3,10,27,36,56,0),</v>
      </c>
      <c r="R2372" s="7" t="str">
        <f t="shared" si="114"/>
        <v>(2002,32,'2002.08.10',3,10,27,36,56),</v>
      </c>
    </row>
    <row r="2373" spans="1:18" x14ac:dyDescent="0.25">
      <c r="A2373" s="7" t="s">
        <v>4651</v>
      </c>
      <c r="B2373" s="8" t="s">
        <v>20</v>
      </c>
      <c r="C2373" s="10">
        <f t="shared" si="113"/>
        <v>37485</v>
      </c>
      <c r="D2373" t="s">
        <v>11</v>
      </c>
      <c r="E2373" t="s">
        <v>12</v>
      </c>
      <c r="F2373" t="s">
        <v>62</v>
      </c>
      <c r="G2373" t="s">
        <v>4744</v>
      </c>
      <c r="H2373" t="s">
        <v>4745</v>
      </c>
      <c r="I2373" t="s">
        <v>4746</v>
      </c>
      <c r="J2373" t="s">
        <v>4747</v>
      </c>
      <c r="K2373" t="s">
        <v>3047</v>
      </c>
      <c r="L2373" s="12" t="s">
        <v>99</v>
      </c>
      <c r="M2373" s="12" t="s">
        <v>175</v>
      </c>
      <c r="N2373" s="12" t="s">
        <v>23</v>
      </c>
      <c r="O2373" s="12" t="s">
        <v>72</v>
      </c>
      <c r="P2373" s="12" t="s">
        <v>215</v>
      </c>
      <c r="Q2373" s="7" t="str">
        <f t="shared" si="112"/>
        <v>(2002,33,'2002.08.17',52,55,60,67,81,0),</v>
      </c>
      <c r="R2373" s="7" t="str">
        <f t="shared" si="114"/>
        <v>(2002,33,'2002.08.17',52,55,60,67,81),</v>
      </c>
    </row>
    <row r="2374" spans="1:18" x14ac:dyDescent="0.25">
      <c r="A2374" s="7" t="s">
        <v>4651</v>
      </c>
      <c r="B2374" s="8" t="s">
        <v>25</v>
      </c>
      <c r="C2374" s="10">
        <f t="shared" si="113"/>
        <v>37492</v>
      </c>
      <c r="D2374" t="s">
        <v>11</v>
      </c>
      <c r="E2374" t="s">
        <v>12</v>
      </c>
      <c r="F2374" t="s">
        <v>135</v>
      </c>
      <c r="G2374" t="s">
        <v>4741</v>
      </c>
      <c r="H2374" t="s">
        <v>411</v>
      </c>
      <c r="I2374" t="s">
        <v>4742</v>
      </c>
      <c r="J2374" t="s">
        <v>4743</v>
      </c>
      <c r="K2374" t="s">
        <v>3956</v>
      </c>
      <c r="L2374" s="12" t="s">
        <v>24</v>
      </c>
      <c r="M2374" s="12" t="s">
        <v>169</v>
      </c>
      <c r="N2374" s="12" t="s">
        <v>91</v>
      </c>
      <c r="O2374" s="12" t="s">
        <v>124</v>
      </c>
      <c r="P2374" s="12" t="s">
        <v>56</v>
      </c>
      <c r="Q2374" s="7" t="str">
        <f t="shared" si="112"/>
        <v>(2002,34,'2002.08.24',39,58,61,62,71,0),</v>
      </c>
      <c r="R2374" s="7" t="str">
        <f t="shared" si="114"/>
        <v>(2002,34,'2002.08.24',39,58,61,62,71),</v>
      </c>
    </row>
    <row r="2375" spans="1:18" x14ac:dyDescent="0.25">
      <c r="A2375" s="7" t="s">
        <v>4651</v>
      </c>
      <c r="B2375" s="8" t="s">
        <v>64</v>
      </c>
      <c r="C2375" s="10">
        <f t="shared" si="113"/>
        <v>37499</v>
      </c>
      <c r="D2375" t="s">
        <v>11</v>
      </c>
      <c r="E2375" t="s">
        <v>12</v>
      </c>
      <c r="F2375" t="s">
        <v>115</v>
      </c>
      <c r="G2375" t="s">
        <v>4737</v>
      </c>
      <c r="H2375" t="s">
        <v>2170</v>
      </c>
      <c r="I2375" t="s">
        <v>4738</v>
      </c>
      <c r="J2375" t="s">
        <v>4739</v>
      </c>
      <c r="K2375" t="s">
        <v>4740</v>
      </c>
      <c r="L2375" s="12" t="s">
        <v>83</v>
      </c>
      <c r="M2375" s="12" t="s">
        <v>31</v>
      </c>
      <c r="N2375" s="12" t="s">
        <v>19</v>
      </c>
      <c r="O2375" s="12" t="s">
        <v>73</v>
      </c>
      <c r="P2375" s="12" t="s">
        <v>151</v>
      </c>
      <c r="Q2375" s="7" t="str">
        <f t="shared" si="112"/>
        <v>(2002,35,'2002.08.31',11,12,18,76,79,0),</v>
      </c>
      <c r="R2375" s="7" t="str">
        <f t="shared" si="114"/>
        <v>(2002,35,'2002.08.31',11,12,18,76,79),</v>
      </c>
    </row>
    <row r="2376" spans="1:18" x14ac:dyDescent="0.25">
      <c r="A2376" s="7" t="s">
        <v>4651</v>
      </c>
      <c r="B2376" s="8" t="s">
        <v>21</v>
      </c>
      <c r="C2376" s="10">
        <f t="shared" si="113"/>
        <v>37506</v>
      </c>
      <c r="D2376" t="s">
        <v>11</v>
      </c>
      <c r="E2376" t="s">
        <v>12</v>
      </c>
      <c r="F2376" t="s">
        <v>21</v>
      </c>
      <c r="G2376" t="s">
        <v>4733</v>
      </c>
      <c r="H2376" t="s">
        <v>3391</v>
      </c>
      <c r="I2376" t="s">
        <v>4734</v>
      </c>
      <c r="J2376" t="s">
        <v>4735</v>
      </c>
      <c r="K2376" t="s">
        <v>4736</v>
      </c>
      <c r="L2376" s="12" t="s">
        <v>65</v>
      </c>
      <c r="M2376" s="12" t="s">
        <v>54</v>
      </c>
      <c r="N2376" s="12" t="s">
        <v>43</v>
      </c>
      <c r="O2376" s="12" t="s">
        <v>126</v>
      </c>
      <c r="P2376" s="12" t="s">
        <v>123</v>
      </c>
      <c r="Q2376" s="7" t="str">
        <f t="shared" si="112"/>
        <v>(2002,36,'2002.09.07',13,15,16,28,54,0),</v>
      </c>
      <c r="R2376" s="7" t="str">
        <f t="shared" si="114"/>
        <v>(2002,36,'2002.09.07',13,15,16,28,54),</v>
      </c>
    </row>
    <row r="2377" spans="1:18" x14ac:dyDescent="0.25">
      <c r="A2377" s="7" t="s">
        <v>4651</v>
      </c>
      <c r="B2377" s="8" t="s">
        <v>46</v>
      </c>
      <c r="C2377" s="10">
        <f t="shared" si="113"/>
        <v>37513</v>
      </c>
      <c r="D2377" t="s">
        <v>11</v>
      </c>
      <c r="E2377" t="s">
        <v>12</v>
      </c>
      <c r="F2377" t="s">
        <v>24</v>
      </c>
      <c r="G2377" t="s">
        <v>4728</v>
      </c>
      <c r="H2377" t="s">
        <v>4729</v>
      </c>
      <c r="I2377" t="s">
        <v>4730</v>
      </c>
      <c r="J2377" t="s">
        <v>4731</v>
      </c>
      <c r="K2377" t="s">
        <v>4732</v>
      </c>
      <c r="L2377" s="12" t="s">
        <v>163</v>
      </c>
      <c r="M2377" s="12" t="s">
        <v>33</v>
      </c>
      <c r="N2377" s="12" t="s">
        <v>122</v>
      </c>
      <c r="O2377" s="12" t="s">
        <v>82</v>
      </c>
      <c r="P2377" s="12" t="s">
        <v>63</v>
      </c>
      <c r="Q2377" s="7" t="str">
        <f t="shared" si="112"/>
        <v>(2002,37,'2002.09.14',23,24,51,59,78,0),</v>
      </c>
      <c r="R2377" s="7" t="str">
        <f t="shared" si="114"/>
        <v>(2002,37,'2002.09.14',23,24,51,59,78),</v>
      </c>
    </row>
    <row r="2378" spans="1:18" x14ac:dyDescent="0.25">
      <c r="A2378" s="7" t="s">
        <v>4651</v>
      </c>
      <c r="B2378" s="8" t="s">
        <v>36</v>
      </c>
      <c r="C2378" s="10">
        <f t="shared" si="113"/>
        <v>37520</v>
      </c>
      <c r="D2378" t="s">
        <v>11</v>
      </c>
      <c r="E2378" t="s">
        <v>12</v>
      </c>
      <c r="F2378" t="s">
        <v>134</v>
      </c>
      <c r="G2378" t="s">
        <v>4723</v>
      </c>
      <c r="H2378" t="s">
        <v>4724</v>
      </c>
      <c r="I2378" t="s">
        <v>4725</v>
      </c>
      <c r="J2378" t="s">
        <v>4726</v>
      </c>
      <c r="K2378" t="s">
        <v>4727</v>
      </c>
      <c r="L2378" s="12" t="s">
        <v>83</v>
      </c>
      <c r="M2378" s="12" t="s">
        <v>46</v>
      </c>
      <c r="N2378" s="12" t="s">
        <v>10</v>
      </c>
      <c r="O2378" s="12" t="s">
        <v>99</v>
      </c>
      <c r="P2378" s="12" t="s">
        <v>239</v>
      </c>
      <c r="Q2378" s="7" t="str">
        <f t="shared" si="112"/>
        <v>(2002,38,'2002.09.21',11,37,40,52,73,0),</v>
      </c>
      <c r="R2378" s="7" t="str">
        <f t="shared" si="114"/>
        <v>(2002,38,'2002.09.21',11,37,40,52,73),</v>
      </c>
    </row>
    <row r="2379" spans="1:18" x14ac:dyDescent="0.25">
      <c r="A2379" s="7" t="s">
        <v>4651</v>
      </c>
      <c r="B2379" s="8" t="s">
        <v>24</v>
      </c>
      <c r="C2379" s="10">
        <f t="shared" si="113"/>
        <v>37527</v>
      </c>
      <c r="D2379" t="s">
        <v>11</v>
      </c>
      <c r="E2379" t="s">
        <v>12</v>
      </c>
      <c r="F2379" t="s">
        <v>107</v>
      </c>
      <c r="G2379" t="s">
        <v>4720</v>
      </c>
      <c r="H2379" t="s">
        <v>310</v>
      </c>
      <c r="I2379" t="s">
        <v>4721</v>
      </c>
      <c r="J2379" t="s">
        <v>4722</v>
      </c>
      <c r="K2379" t="s">
        <v>4102</v>
      </c>
      <c r="L2379" s="12" t="s">
        <v>115</v>
      </c>
      <c r="M2379" s="12" t="s">
        <v>44</v>
      </c>
      <c r="N2379" s="12" t="s">
        <v>13</v>
      </c>
      <c r="O2379" s="12" t="s">
        <v>124</v>
      </c>
      <c r="P2379" s="12" t="s">
        <v>143</v>
      </c>
      <c r="Q2379" s="7" t="str">
        <f t="shared" si="112"/>
        <v>(2002,39,'2002.09.28',20,21,41,62,77,0),</v>
      </c>
      <c r="R2379" s="7" t="str">
        <f t="shared" si="114"/>
        <v>(2002,39,'2002.09.28',20,21,41,62,77),</v>
      </c>
    </row>
    <row r="2380" spans="1:18" x14ac:dyDescent="0.25">
      <c r="A2380" s="7" t="s">
        <v>4651</v>
      </c>
      <c r="B2380" s="8" t="s">
        <v>10</v>
      </c>
      <c r="C2380" s="10">
        <f t="shared" si="113"/>
        <v>37534</v>
      </c>
      <c r="D2380" t="s">
        <v>11</v>
      </c>
      <c r="E2380" t="s">
        <v>12</v>
      </c>
      <c r="F2380" t="s">
        <v>246</v>
      </c>
      <c r="G2380" t="s">
        <v>4715</v>
      </c>
      <c r="H2380" t="s">
        <v>4716</v>
      </c>
      <c r="I2380" t="s">
        <v>4717</v>
      </c>
      <c r="J2380" t="s">
        <v>4718</v>
      </c>
      <c r="K2380" t="s">
        <v>4719</v>
      </c>
      <c r="L2380" s="12" t="s">
        <v>31</v>
      </c>
      <c r="M2380" s="12" t="s">
        <v>44</v>
      </c>
      <c r="N2380" s="12" t="s">
        <v>98</v>
      </c>
      <c r="O2380" s="12" t="s">
        <v>45</v>
      </c>
      <c r="P2380" s="12" t="s">
        <v>35</v>
      </c>
      <c r="Q2380" s="7" t="str">
        <f t="shared" si="112"/>
        <v>(2002,40,'2002.10.05',12,21,42,43,65,0),</v>
      </c>
      <c r="R2380" s="7" t="str">
        <f t="shared" si="114"/>
        <v>(2002,40,'2002.10.05',12,21,42,43,65),</v>
      </c>
    </row>
    <row r="2381" spans="1:18" x14ac:dyDescent="0.25">
      <c r="A2381" s="7" t="s">
        <v>4651</v>
      </c>
      <c r="B2381" s="8" t="s">
        <v>13</v>
      </c>
      <c r="C2381" s="10">
        <f t="shared" si="113"/>
        <v>37541</v>
      </c>
      <c r="D2381" t="s">
        <v>11</v>
      </c>
      <c r="E2381" t="s">
        <v>12</v>
      </c>
      <c r="F2381" t="s">
        <v>175</v>
      </c>
      <c r="G2381" t="s">
        <v>4710</v>
      </c>
      <c r="H2381" t="s">
        <v>4711</v>
      </c>
      <c r="I2381" t="s">
        <v>4712</v>
      </c>
      <c r="J2381" t="s">
        <v>4713</v>
      </c>
      <c r="K2381" t="s">
        <v>4714</v>
      </c>
      <c r="L2381" s="12" t="s">
        <v>83</v>
      </c>
      <c r="M2381" s="12" t="s">
        <v>33</v>
      </c>
      <c r="N2381" s="12" t="s">
        <v>25</v>
      </c>
      <c r="O2381" s="12" t="s">
        <v>13</v>
      </c>
      <c r="P2381" s="12" t="s">
        <v>269</v>
      </c>
      <c r="Q2381" s="7" t="str">
        <f t="shared" si="112"/>
        <v>(2002,41,'2002.10.12',11,24,34,41,87,0),</v>
      </c>
      <c r="R2381" s="7" t="str">
        <f t="shared" si="114"/>
        <v>(2002,41,'2002.10.12',11,24,34,41,87),</v>
      </c>
    </row>
    <row r="2382" spans="1:18" x14ac:dyDescent="0.25">
      <c r="A2382" s="7" t="s">
        <v>4651</v>
      </c>
      <c r="B2382" s="8" t="s">
        <v>98</v>
      </c>
      <c r="C2382" s="10">
        <f t="shared" si="113"/>
        <v>37548</v>
      </c>
      <c r="D2382" t="s">
        <v>11</v>
      </c>
      <c r="E2382" t="s">
        <v>12</v>
      </c>
      <c r="F2382" t="s">
        <v>4704</v>
      </c>
      <c r="G2382" t="s">
        <v>4705</v>
      </c>
      <c r="H2382" t="s">
        <v>4706</v>
      </c>
      <c r="I2382" t="s">
        <v>4707</v>
      </c>
      <c r="J2382" t="s">
        <v>4708</v>
      </c>
      <c r="K2382" t="s">
        <v>4709</v>
      </c>
      <c r="L2382" s="12" t="s">
        <v>232</v>
      </c>
      <c r="M2382" s="12" t="s">
        <v>90</v>
      </c>
      <c r="N2382" s="12" t="s">
        <v>64</v>
      </c>
      <c r="O2382" s="12" t="s">
        <v>34</v>
      </c>
      <c r="P2382" s="12" t="s">
        <v>72</v>
      </c>
      <c r="Q2382" s="7" t="str">
        <f t="shared" si="112"/>
        <v>(2002,42,'2002.10.19',8,17,35,49,67,0),</v>
      </c>
      <c r="R2382" s="7" t="str">
        <f t="shared" si="114"/>
        <v>(2002,42,'2002.10.19',8,17,35,49,67),</v>
      </c>
    </row>
    <row r="2383" spans="1:18" x14ac:dyDescent="0.25">
      <c r="A2383" s="7" t="s">
        <v>4651</v>
      </c>
      <c r="B2383" s="8" t="s">
        <v>45</v>
      </c>
      <c r="C2383" s="10">
        <f t="shared" si="113"/>
        <v>37555</v>
      </c>
      <c r="D2383" t="s">
        <v>11</v>
      </c>
      <c r="E2383" t="s">
        <v>12</v>
      </c>
      <c r="F2383" t="s">
        <v>200</v>
      </c>
      <c r="G2383" t="s">
        <v>4699</v>
      </c>
      <c r="H2383" t="s">
        <v>4700</v>
      </c>
      <c r="I2383" t="s">
        <v>4701</v>
      </c>
      <c r="J2383" t="s">
        <v>4702</v>
      </c>
      <c r="K2383" t="s">
        <v>4703</v>
      </c>
      <c r="L2383" s="12" t="s">
        <v>232</v>
      </c>
      <c r="M2383" s="12" t="s">
        <v>152</v>
      </c>
      <c r="N2383" s="12" t="s">
        <v>214</v>
      </c>
      <c r="O2383" s="12" t="s">
        <v>201</v>
      </c>
      <c r="P2383" s="12" t="s">
        <v>151</v>
      </c>
      <c r="Q2383" s="7" t="str">
        <f t="shared" si="112"/>
        <v>(2002,43,'2002.10.26',8,25,64,72,79,0),</v>
      </c>
      <c r="R2383" s="7" t="str">
        <f t="shared" si="114"/>
        <v>(2002,43,'2002.10.26',8,25,64,72,79),</v>
      </c>
    </row>
    <row r="2384" spans="1:18" x14ac:dyDescent="0.25">
      <c r="A2384" s="7" t="s">
        <v>4651</v>
      </c>
      <c r="B2384" s="8" t="s">
        <v>142</v>
      </c>
      <c r="C2384" s="10">
        <f t="shared" si="113"/>
        <v>37562</v>
      </c>
      <c r="D2384" t="s">
        <v>11</v>
      </c>
      <c r="E2384" t="s">
        <v>12</v>
      </c>
      <c r="F2384" t="s">
        <v>3687</v>
      </c>
      <c r="G2384" t="s">
        <v>4694</v>
      </c>
      <c r="H2384" t="s">
        <v>4695</v>
      </c>
      <c r="I2384" t="s">
        <v>4696</v>
      </c>
      <c r="J2384" t="s">
        <v>4697</v>
      </c>
      <c r="K2384" t="s">
        <v>4698</v>
      </c>
      <c r="L2384" s="12" t="s">
        <v>89</v>
      </c>
      <c r="M2384" s="12" t="s">
        <v>44</v>
      </c>
      <c r="N2384" s="12" t="s">
        <v>45</v>
      </c>
      <c r="O2384" s="12" t="s">
        <v>99</v>
      </c>
      <c r="P2384" s="12" t="s">
        <v>214</v>
      </c>
      <c r="Q2384" s="7" t="str">
        <f t="shared" si="112"/>
        <v>(2002,44,'2002.11.02',5,21,43,52,64,0),</v>
      </c>
      <c r="R2384" s="7" t="str">
        <f t="shared" si="114"/>
        <v>(2002,44,'2002.11.02',5,21,43,52,64),</v>
      </c>
    </row>
    <row r="2385" spans="1:18" x14ac:dyDescent="0.25">
      <c r="A2385" s="7" t="s">
        <v>4651</v>
      </c>
      <c r="B2385" s="8" t="s">
        <v>133</v>
      </c>
      <c r="C2385" s="10">
        <f t="shared" si="113"/>
        <v>37569</v>
      </c>
      <c r="D2385" t="s">
        <v>11</v>
      </c>
      <c r="E2385" t="s">
        <v>12</v>
      </c>
      <c r="F2385" t="s">
        <v>4453</v>
      </c>
      <c r="G2385" t="s">
        <v>4689</v>
      </c>
      <c r="H2385" t="s">
        <v>4690</v>
      </c>
      <c r="I2385" t="s">
        <v>4691</v>
      </c>
      <c r="J2385" t="s">
        <v>4692</v>
      </c>
      <c r="K2385" t="s">
        <v>4693</v>
      </c>
      <c r="L2385" s="12" t="s">
        <v>54</v>
      </c>
      <c r="M2385" s="12" t="s">
        <v>115</v>
      </c>
      <c r="N2385" s="12" t="s">
        <v>152</v>
      </c>
      <c r="O2385" s="12" t="s">
        <v>81</v>
      </c>
      <c r="P2385" s="12" t="s">
        <v>233</v>
      </c>
      <c r="Q2385" s="7" t="str">
        <f t="shared" si="112"/>
        <v>(2002,45,'2002.11.09',15,20,25,47,66,0),</v>
      </c>
      <c r="R2385" s="7" t="str">
        <f t="shared" si="114"/>
        <v>(2002,45,'2002.11.09',15,20,25,47,66),</v>
      </c>
    </row>
    <row r="2386" spans="1:18" x14ac:dyDescent="0.25">
      <c r="A2386" s="7" t="s">
        <v>4651</v>
      </c>
      <c r="B2386" s="8" t="s">
        <v>192</v>
      </c>
      <c r="C2386" s="10">
        <f t="shared" si="113"/>
        <v>37576</v>
      </c>
      <c r="D2386" t="s">
        <v>11</v>
      </c>
      <c r="E2386" t="s">
        <v>12</v>
      </c>
      <c r="F2386" t="s">
        <v>4685</v>
      </c>
      <c r="G2386" t="s">
        <v>4686</v>
      </c>
      <c r="H2386" t="s">
        <v>4687</v>
      </c>
      <c r="I2386" t="s">
        <v>4084</v>
      </c>
      <c r="J2386" t="s">
        <v>4688</v>
      </c>
      <c r="K2386" t="s">
        <v>3079</v>
      </c>
      <c r="L2386" s="12" t="s">
        <v>127</v>
      </c>
      <c r="M2386" s="12" t="s">
        <v>74</v>
      </c>
      <c r="N2386" s="12" t="s">
        <v>22</v>
      </c>
      <c r="O2386" s="12" t="s">
        <v>56</v>
      </c>
      <c r="P2386" s="12" t="s">
        <v>468</v>
      </c>
      <c r="Q2386" s="7" t="str">
        <f t="shared" si="112"/>
        <v>(2002,46,'2002.11.16',14,26,48,71,85,0),</v>
      </c>
      <c r="R2386" s="7" t="str">
        <f t="shared" si="114"/>
        <v>(2002,46,'2002.11.16',14,26,48,71,85),</v>
      </c>
    </row>
    <row r="2387" spans="1:18" x14ac:dyDescent="0.25">
      <c r="A2387" s="7" t="s">
        <v>4651</v>
      </c>
      <c r="B2387" s="8" t="s">
        <v>81</v>
      </c>
      <c r="C2387" s="10">
        <f t="shared" si="113"/>
        <v>37583</v>
      </c>
      <c r="D2387" t="s">
        <v>11</v>
      </c>
      <c r="E2387" t="s">
        <v>12</v>
      </c>
      <c r="F2387" t="s">
        <v>4679</v>
      </c>
      <c r="G2387" t="s">
        <v>4680</v>
      </c>
      <c r="H2387" t="s">
        <v>4681</v>
      </c>
      <c r="I2387" t="s">
        <v>4682</v>
      </c>
      <c r="J2387" t="s">
        <v>4683</v>
      </c>
      <c r="K2387" t="s">
        <v>4684</v>
      </c>
      <c r="L2387" s="12" t="s">
        <v>42</v>
      </c>
      <c r="M2387" s="12" t="s">
        <v>89</v>
      </c>
      <c r="N2387" s="12" t="s">
        <v>65</v>
      </c>
      <c r="O2387" s="12" t="s">
        <v>23</v>
      </c>
      <c r="P2387" s="12" t="s">
        <v>208</v>
      </c>
      <c r="Q2387" s="7" t="str">
        <f t="shared" si="112"/>
        <v>(2002,47,'2002.11.23',3,5,13,60,88,0),</v>
      </c>
      <c r="R2387" s="7" t="str">
        <f t="shared" si="114"/>
        <v>(2002,47,'2002.11.23',3,5,13,60,88),</v>
      </c>
    </row>
    <row r="2388" spans="1:18" x14ac:dyDescent="0.25">
      <c r="A2388" s="7" t="s">
        <v>4651</v>
      </c>
      <c r="B2388" s="8" t="s">
        <v>22</v>
      </c>
      <c r="C2388" s="10">
        <f t="shared" si="113"/>
        <v>37590</v>
      </c>
      <c r="D2388" t="s">
        <v>11</v>
      </c>
      <c r="E2388" t="s">
        <v>12</v>
      </c>
      <c r="F2388" t="s">
        <v>4673</v>
      </c>
      <c r="G2388" t="s">
        <v>4674</v>
      </c>
      <c r="H2388" t="s">
        <v>4675</v>
      </c>
      <c r="I2388" t="s">
        <v>4676</v>
      </c>
      <c r="J2388" t="s">
        <v>4677</v>
      </c>
      <c r="K2388" t="s">
        <v>4678</v>
      </c>
      <c r="L2388" s="12" t="s">
        <v>32</v>
      </c>
      <c r="M2388" s="12" t="s">
        <v>74</v>
      </c>
      <c r="N2388" s="12" t="s">
        <v>45</v>
      </c>
      <c r="O2388" s="12" t="s">
        <v>245</v>
      </c>
      <c r="P2388" s="12" t="s">
        <v>215</v>
      </c>
      <c r="Q2388" s="7" t="str">
        <f t="shared" si="112"/>
        <v>(2002,48,'2002.11.30',22,26,43,74,81,0),</v>
      </c>
      <c r="R2388" s="7" t="str">
        <f t="shared" si="114"/>
        <v>(2002,48,'2002.11.30',22,26,43,74,81),</v>
      </c>
    </row>
    <row r="2389" spans="1:18" x14ac:dyDescent="0.25">
      <c r="A2389" s="7" t="s">
        <v>4651</v>
      </c>
      <c r="B2389" s="8" t="s">
        <v>34</v>
      </c>
      <c r="C2389" s="10">
        <f t="shared" si="113"/>
        <v>37597</v>
      </c>
      <c r="D2389" t="s">
        <v>11</v>
      </c>
      <c r="E2389" t="s">
        <v>12</v>
      </c>
      <c r="F2389" t="s">
        <v>3917</v>
      </c>
      <c r="G2389" t="s">
        <v>4669</v>
      </c>
      <c r="H2389" t="s">
        <v>4670</v>
      </c>
      <c r="I2389" t="s">
        <v>4671</v>
      </c>
      <c r="J2389" t="s">
        <v>4672</v>
      </c>
      <c r="K2389" t="s">
        <v>3738</v>
      </c>
      <c r="L2389" s="12" t="s">
        <v>90</v>
      </c>
      <c r="M2389" s="12" t="s">
        <v>19</v>
      </c>
      <c r="N2389" s="12" t="s">
        <v>20</v>
      </c>
      <c r="O2389" s="12" t="s">
        <v>13</v>
      </c>
      <c r="P2389" s="12" t="s">
        <v>82</v>
      </c>
      <c r="Q2389" s="7" t="str">
        <f t="shared" si="112"/>
        <v>(2002,49,'2002.12.07',17,18,33,41,59,0),</v>
      </c>
      <c r="R2389" s="7" t="str">
        <f t="shared" si="114"/>
        <v>(2002,49,'2002.12.07',17,18,33,41,59),</v>
      </c>
    </row>
    <row r="2390" spans="1:18" x14ac:dyDescent="0.25">
      <c r="A2390" s="7" t="s">
        <v>4651</v>
      </c>
      <c r="B2390" s="8" t="s">
        <v>105</v>
      </c>
      <c r="C2390" s="10">
        <f t="shared" si="113"/>
        <v>37604</v>
      </c>
      <c r="D2390" t="s">
        <v>11</v>
      </c>
      <c r="E2390" t="s">
        <v>12</v>
      </c>
      <c r="F2390" t="s">
        <v>47</v>
      </c>
      <c r="G2390" t="s">
        <v>4665</v>
      </c>
      <c r="H2390" t="s">
        <v>4666</v>
      </c>
      <c r="I2390" t="s">
        <v>4667</v>
      </c>
      <c r="J2390" t="s">
        <v>4668</v>
      </c>
      <c r="K2390" t="s">
        <v>2867</v>
      </c>
      <c r="L2390" s="12" t="s">
        <v>207</v>
      </c>
      <c r="M2390" s="12" t="s">
        <v>42</v>
      </c>
      <c r="N2390" s="12" t="s">
        <v>199</v>
      </c>
      <c r="O2390" s="12" t="s">
        <v>23</v>
      </c>
      <c r="P2390" s="12" t="s">
        <v>47</v>
      </c>
      <c r="Q2390" s="7" t="str">
        <f t="shared" si="112"/>
        <v>(2002,50,'2002.12.14',2,3,53,60,69,0),</v>
      </c>
      <c r="R2390" s="7" t="str">
        <f t="shared" si="114"/>
        <v>(2002,50,'2002.12.14',2,3,53,60,69),</v>
      </c>
    </row>
    <row r="2391" spans="1:18" x14ac:dyDescent="0.25">
      <c r="A2391" s="7" t="s">
        <v>4651</v>
      </c>
      <c r="B2391" s="8" t="s">
        <v>122</v>
      </c>
      <c r="C2391" s="10">
        <f t="shared" si="113"/>
        <v>37611</v>
      </c>
      <c r="D2391" t="s">
        <v>11</v>
      </c>
      <c r="E2391" t="s">
        <v>12</v>
      </c>
      <c r="F2391" t="s">
        <v>4659</v>
      </c>
      <c r="G2391" t="s">
        <v>4660</v>
      </c>
      <c r="H2391" t="s">
        <v>4661</v>
      </c>
      <c r="I2391" t="s">
        <v>4662</v>
      </c>
      <c r="J2391" t="s">
        <v>4663</v>
      </c>
      <c r="K2391" t="s">
        <v>4664</v>
      </c>
      <c r="L2391" s="12" t="s">
        <v>20</v>
      </c>
      <c r="M2391" s="12" t="s">
        <v>98</v>
      </c>
      <c r="N2391" s="12" t="s">
        <v>105</v>
      </c>
      <c r="O2391" s="12" t="s">
        <v>47</v>
      </c>
      <c r="P2391" s="12" t="s">
        <v>468</v>
      </c>
      <c r="Q2391" s="7" t="str">
        <f t="shared" si="112"/>
        <v>(2002,51,'2002.12.21',33,42,50,69,85,0),</v>
      </c>
      <c r="R2391" s="7" t="str">
        <f t="shared" si="114"/>
        <v>(2002,51,'2002.12.21',33,42,50,69,85),</v>
      </c>
    </row>
    <row r="2392" spans="1:18" x14ac:dyDescent="0.25">
      <c r="A2392" s="7" t="s">
        <v>4651</v>
      </c>
      <c r="B2392" s="8" t="s">
        <v>99</v>
      </c>
      <c r="C2392" s="10">
        <f t="shared" si="113"/>
        <v>37618</v>
      </c>
      <c r="D2392" t="s">
        <v>108</v>
      </c>
      <c r="E2392" t="s">
        <v>4652</v>
      </c>
      <c r="F2392" t="s">
        <v>4653</v>
      </c>
      <c r="G2392" t="s">
        <v>4654</v>
      </c>
      <c r="H2392" t="s">
        <v>4655</v>
      </c>
      <c r="I2392" t="s">
        <v>4656</v>
      </c>
      <c r="J2392" t="s">
        <v>4657</v>
      </c>
      <c r="K2392" t="s">
        <v>4658</v>
      </c>
      <c r="L2392" s="12" t="s">
        <v>42</v>
      </c>
      <c r="M2392" s="12" t="s">
        <v>90</v>
      </c>
      <c r="N2392" s="12" t="s">
        <v>115</v>
      </c>
      <c r="O2392" s="12" t="s">
        <v>46</v>
      </c>
      <c r="P2392" s="12" t="s">
        <v>10</v>
      </c>
      <c r="Q2392" s="7" t="str">
        <f t="shared" si="112"/>
        <v>(2002,52,'2002.12.28',3,17,20,37,40,0),</v>
      </c>
      <c r="R2392" s="7" t="str">
        <f t="shared" si="114"/>
        <v>(2002,52,'2002.12.28',3,17,20,37,40),</v>
      </c>
    </row>
    <row r="2393" spans="1:18" x14ac:dyDescent="0.25">
      <c r="A2393" s="7" t="s">
        <v>4409</v>
      </c>
      <c r="B2393" s="8" t="s">
        <v>108</v>
      </c>
      <c r="C2393" s="10">
        <f t="shared" si="113"/>
        <v>37625</v>
      </c>
      <c r="D2393" t="s">
        <v>11</v>
      </c>
      <c r="E2393" t="s">
        <v>12</v>
      </c>
      <c r="F2393" t="s">
        <v>135</v>
      </c>
      <c r="G2393" t="s">
        <v>4646</v>
      </c>
      <c r="H2393" t="s">
        <v>4647</v>
      </c>
      <c r="I2393" t="s">
        <v>4648</v>
      </c>
      <c r="J2393" t="s">
        <v>4649</v>
      </c>
      <c r="K2393" t="s">
        <v>4650</v>
      </c>
      <c r="L2393" s="12" t="s">
        <v>46</v>
      </c>
      <c r="M2393" s="12" t="s">
        <v>98</v>
      </c>
      <c r="N2393" s="12" t="s">
        <v>142</v>
      </c>
      <c r="O2393" s="12" t="s">
        <v>91</v>
      </c>
      <c r="P2393" s="12" t="s">
        <v>124</v>
      </c>
      <c r="Q2393" s="7" t="str">
        <f t="shared" si="112"/>
        <v>(2003,1,'2003.01.04',37,42,44,61,62,0),</v>
      </c>
      <c r="R2393" s="7" t="str">
        <f t="shared" si="114"/>
        <v>(2003,1,'2003.01.04',37,42,44,61,62),</v>
      </c>
    </row>
    <row r="2394" spans="1:18" x14ac:dyDescent="0.25">
      <c r="A2394" s="7" t="s">
        <v>4409</v>
      </c>
      <c r="B2394" s="8" t="s">
        <v>207</v>
      </c>
      <c r="C2394" s="10">
        <f t="shared" si="113"/>
        <v>37632</v>
      </c>
      <c r="D2394" t="s">
        <v>11</v>
      </c>
      <c r="E2394" t="s">
        <v>12</v>
      </c>
      <c r="F2394" t="s">
        <v>143</v>
      </c>
      <c r="G2394" t="s">
        <v>4642</v>
      </c>
      <c r="H2394" t="s">
        <v>4643</v>
      </c>
      <c r="I2394" t="s">
        <v>4644</v>
      </c>
      <c r="J2394" t="s">
        <v>4645</v>
      </c>
      <c r="K2394" t="s">
        <v>4309</v>
      </c>
      <c r="L2394" s="12" t="s">
        <v>19</v>
      </c>
      <c r="M2394" s="12" t="s">
        <v>98</v>
      </c>
      <c r="N2394" s="12" t="s">
        <v>123</v>
      </c>
      <c r="O2394" s="12" t="s">
        <v>125</v>
      </c>
      <c r="P2394" s="12" t="s">
        <v>379</v>
      </c>
      <c r="Q2394" s="7" t="str">
        <f t="shared" si="112"/>
        <v>(2003,2,'2003.01.11',18,42,54,83,89,0),</v>
      </c>
      <c r="R2394" s="7" t="str">
        <f t="shared" si="114"/>
        <v>(2003,2,'2003.01.11',18,42,54,83,89),</v>
      </c>
    </row>
    <row r="2395" spans="1:18" x14ac:dyDescent="0.25">
      <c r="A2395" s="7" t="s">
        <v>4409</v>
      </c>
      <c r="B2395" s="8" t="s">
        <v>42</v>
      </c>
      <c r="C2395" s="10">
        <f t="shared" si="113"/>
        <v>37639</v>
      </c>
      <c r="D2395" t="s">
        <v>11</v>
      </c>
      <c r="E2395" t="s">
        <v>12</v>
      </c>
      <c r="F2395" t="s">
        <v>106</v>
      </c>
      <c r="G2395" t="s">
        <v>4637</v>
      </c>
      <c r="H2395" t="s">
        <v>4638</v>
      </c>
      <c r="I2395" t="s">
        <v>4639</v>
      </c>
      <c r="J2395" t="s">
        <v>4640</v>
      </c>
      <c r="K2395" t="s">
        <v>4641</v>
      </c>
      <c r="L2395" s="12" t="s">
        <v>89</v>
      </c>
      <c r="M2395" s="12" t="s">
        <v>31</v>
      </c>
      <c r="N2395" s="12" t="s">
        <v>71</v>
      </c>
      <c r="O2395" s="12" t="s">
        <v>199</v>
      </c>
      <c r="P2395" s="12" t="s">
        <v>23</v>
      </c>
      <c r="Q2395" s="7" t="str">
        <f t="shared" si="112"/>
        <v>(2003,3,'2003.01.18',5,12,31,53,60,0),</v>
      </c>
      <c r="R2395" s="7" t="str">
        <f t="shared" si="114"/>
        <v>(2003,3,'2003.01.18',5,12,31,53,60),</v>
      </c>
    </row>
    <row r="2396" spans="1:18" x14ac:dyDescent="0.25">
      <c r="A2396" s="7" t="s">
        <v>4409</v>
      </c>
      <c r="B2396" s="8" t="s">
        <v>168</v>
      </c>
      <c r="C2396" s="10">
        <f t="shared" si="113"/>
        <v>37646</v>
      </c>
      <c r="D2396" t="s">
        <v>11</v>
      </c>
      <c r="E2396" t="s">
        <v>12</v>
      </c>
      <c r="F2396" t="s">
        <v>163</v>
      </c>
      <c r="G2396" t="s">
        <v>4632</v>
      </c>
      <c r="H2396" t="s">
        <v>4633</v>
      </c>
      <c r="I2396" t="s">
        <v>4634</v>
      </c>
      <c r="J2396" t="s">
        <v>4635</v>
      </c>
      <c r="K2396" t="s">
        <v>4636</v>
      </c>
      <c r="L2396" s="12" t="s">
        <v>108</v>
      </c>
      <c r="M2396" s="12" t="s">
        <v>126</v>
      </c>
      <c r="N2396" s="12" t="s">
        <v>81</v>
      </c>
      <c r="O2396" s="12" t="s">
        <v>134</v>
      </c>
      <c r="P2396" s="12" t="s">
        <v>200</v>
      </c>
      <c r="Q2396" s="7" t="str">
        <f t="shared" si="112"/>
        <v>(2003,4,'2003.01.25',1,28,47,56,70,0),</v>
      </c>
      <c r="R2396" s="7" t="str">
        <f t="shared" si="114"/>
        <v>(2003,4,'2003.01.25',1,28,47,56,70),</v>
      </c>
    </row>
    <row r="2397" spans="1:18" x14ac:dyDescent="0.25">
      <c r="A2397" s="7" t="s">
        <v>4409</v>
      </c>
      <c r="B2397" s="8" t="s">
        <v>89</v>
      </c>
      <c r="C2397" s="10">
        <f t="shared" si="113"/>
        <v>37653</v>
      </c>
      <c r="D2397" t="s">
        <v>11</v>
      </c>
      <c r="E2397" t="s">
        <v>12</v>
      </c>
      <c r="F2397" t="s">
        <v>115</v>
      </c>
      <c r="G2397" t="s">
        <v>4628</v>
      </c>
      <c r="H2397" t="s">
        <v>4629</v>
      </c>
      <c r="I2397" t="s">
        <v>4630</v>
      </c>
      <c r="J2397" t="s">
        <v>4631</v>
      </c>
      <c r="K2397" t="s">
        <v>3217</v>
      </c>
      <c r="L2397" s="12" t="s">
        <v>123</v>
      </c>
      <c r="M2397" s="12" t="s">
        <v>134</v>
      </c>
      <c r="N2397" s="12" t="s">
        <v>150</v>
      </c>
      <c r="O2397" s="12" t="s">
        <v>82</v>
      </c>
      <c r="P2397" s="12" t="s">
        <v>56</v>
      </c>
      <c r="Q2397" s="7" t="str">
        <f t="shared" si="112"/>
        <v>(2003,5,'2003.02.01',54,56,57,59,71,0),</v>
      </c>
      <c r="R2397" s="7" t="str">
        <f t="shared" si="114"/>
        <v>(2003,5,'2003.02.01',54,56,57,59,71),</v>
      </c>
    </row>
    <row r="2398" spans="1:18" x14ac:dyDescent="0.25">
      <c r="A2398" s="7" t="s">
        <v>4409</v>
      </c>
      <c r="B2398" s="8" t="s">
        <v>270</v>
      </c>
      <c r="C2398" s="10">
        <f t="shared" si="113"/>
        <v>37660</v>
      </c>
      <c r="D2398" t="s">
        <v>11</v>
      </c>
      <c r="E2398" t="s">
        <v>12</v>
      </c>
      <c r="F2398" t="s">
        <v>4622</v>
      </c>
      <c r="G2398" t="s">
        <v>4623</v>
      </c>
      <c r="H2398" t="s">
        <v>4624</v>
      </c>
      <c r="I2398" t="s">
        <v>4625</v>
      </c>
      <c r="J2398" t="s">
        <v>4626</v>
      </c>
      <c r="K2398" t="s">
        <v>4627</v>
      </c>
      <c r="L2398" s="12" t="s">
        <v>53</v>
      </c>
      <c r="M2398" s="12" t="s">
        <v>44</v>
      </c>
      <c r="N2398" s="12" t="s">
        <v>20</v>
      </c>
      <c r="O2398" s="12" t="s">
        <v>24</v>
      </c>
      <c r="P2398" s="12" t="s">
        <v>308</v>
      </c>
      <c r="Q2398" s="7" t="str">
        <f t="shared" si="112"/>
        <v>(2003,6,'2003.02.08',7,21,33,39,86,0),</v>
      </c>
      <c r="R2398" s="7" t="str">
        <f t="shared" si="114"/>
        <v>(2003,6,'2003.02.08',7,21,33,39,86),</v>
      </c>
    </row>
    <row r="2399" spans="1:18" x14ac:dyDescent="0.25">
      <c r="A2399" s="7" t="s">
        <v>4409</v>
      </c>
      <c r="B2399" s="8" t="s">
        <v>53</v>
      </c>
      <c r="C2399" s="10">
        <f t="shared" si="113"/>
        <v>37667</v>
      </c>
      <c r="D2399" t="s">
        <v>108</v>
      </c>
      <c r="E2399" t="s">
        <v>4616</v>
      </c>
      <c r="F2399" t="s">
        <v>1016</v>
      </c>
      <c r="G2399" t="s">
        <v>4617</v>
      </c>
      <c r="H2399" t="s">
        <v>4618</v>
      </c>
      <c r="I2399" t="s">
        <v>4619</v>
      </c>
      <c r="J2399" t="s">
        <v>4620</v>
      </c>
      <c r="K2399" t="s">
        <v>4621</v>
      </c>
      <c r="L2399" s="12" t="s">
        <v>44</v>
      </c>
      <c r="M2399" s="12" t="s">
        <v>116</v>
      </c>
      <c r="N2399" s="12" t="s">
        <v>46</v>
      </c>
      <c r="O2399" s="12" t="s">
        <v>22</v>
      </c>
      <c r="P2399" s="12" t="s">
        <v>92</v>
      </c>
      <c r="Q2399" s="7" t="str">
        <f t="shared" si="112"/>
        <v>(2003,7,'2003.02.15',21,29,37,48,68,0),</v>
      </c>
      <c r="R2399" s="7" t="str">
        <f t="shared" si="114"/>
        <v>(2003,7,'2003.02.15',21,29,37,48,68),</v>
      </c>
    </row>
    <row r="2400" spans="1:18" x14ac:dyDescent="0.25">
      <c r="A2400" s="7" t="s">
        <v>4409</v>
      </c>
      <c r="B2400" s="8" t="s">
        <v>232</v>
      </c>
      <c r="C2400" s="10">
        <f t="shared" si="113"/>
        <v>37674</v>
      </c>
      <c r="D2400" t="s">
        <v>11</v>
      </c>
      <c r="E2400" t="s">
        <v>12</v>
      </c>
      <c r="F2400" t="s">
        <v>36</v>
      </c>
      <c r="G2400" t="s">
        <v>4611</v>
      </c>
      <c r="H2400" t="s">
        <v>4612</v>
      </c>
      <c r="I2400" t="s">
        <v>4613</v>
      </c>
      <c r="J2400" t="s">
        <v>4614</v>
      </c>
      <c r="K2400" t="s">
        <v>4615</v>
      </c>
      <c r="L2400" s="12" t="s">
        <v>62</v>
      </c>
      <c r="M2400" s="12" t="s">
        <v>44</v>
      </c>
      <c r="N2400" s="12" t="s">
        <v>116</v>
      </c>
      <c r="O2400" s="12" t="s">
        <v>10</v>
      </c>
      <c r="P2400" s="12" t="s">
        <v>269</v>
      </c>
      <c r="Q2400" s="7" t="str">
        <f t="shared" si="112"/>
        <v>(2003,8,'2003.02.22',10,21,29,40,87,0),</v>
      </c>
      <c r="R2400" s="7" t="str">
        <f t="shared" si="114"/>
        <v>(2003,8,'2003.02.22',10,21,29,40,87),</v>
      </c>
    </row>
    <row r="2401" spans="1:18" x14ac:dyDescent="0.25">
      <c r="A2401" s="7" t="s">
        <v>4409</v>
      </c>
      <c r="B2401" s="8" t="s">
        <v>198</v>
      </c>
      <c r="C2401" s="10">
        <f t="shared" si="113"/>
        <v>37681</v>
      </c>
      <c r="D2401" t="s">
        <v>108</v>
      </c>
      <c r="E2401" t="s">
        <v>4605</v>
      </c>
      <c r="F2401" t="s">
        <v>98</v>
      </c>
      <c r="G2401" t="s">
        <v>4606</v>
      </c>
      <c r="H2401" t="s">
        <v>4607</v>
      </c>
      <c r="I2401" t="s">
        <v>4608</v>
      </c>
      <c r="J2401" t="s">
        <v>4609</v>
      </c>
      <c r="K2401" t="s">
        <v>4610</v>
      </c>
      <c r="L2401" s="12" t="s">
        <v>65</v>
      </c>
      <c r="M2401" s="12" t="s">
        <v>20</v>
      </c>
      <c r="N2401" s="12" t="s">
        <v>239</v>
      </c>
      <c r="O2401" s="12" t="s">
        <v>143</v>
      </c>
      <c r="P2401" s="12" t="s">
        <v>63</v>
      </c>
      <c r="Q2401" s="7" t="str">
        <f t="shared" si="112"/>
        <v>(2003,9,'2003.03.01',13,33,73,77,78,0),</v>
      </c>
      <c r="R2401" s="7" t="str">
        <f t="shared" si="114"/>
        <v>(2003,9,'2003.03.01',13,33,73,77,78),</v>
      </c>
    </row>
    <row r="2402" spans="1:18" x14ac:dyDescent="0.25">
      <c r="A2402" s="7" t="s">
        <v>4409</v>
      </c>
      <c r="B2402" s="8" t="s">
        <v>62</v>
      </c>
      <c r="C2402" s="10">
        <f t="shared" si="113"/>
        <v>37688</v>
      </c>
      <c r="D2402" t="s">
        <v>11</v>
      </c>
      <c r="E2402" t="s">
        <v>12</v>
      </c>
      <c r="F2402" t="s">
        <v>81</v>
      </c>
      <c r="G2402" t="s">
        <v>4601</v>
      </c>
      <c r="H2402" t="s">
        <v>4602</v>
      </c>
      <c r="I2402" t="s">
        <v>4603</v>
      </c>
      <c r="J2402" t="s">
        <v>4604</v>
      </c>
      <c r="K2402" t="s">
        <v>3630</v>
      </c>
      <c r="L2402" s="12" t="s">
        <v>207</v>
      </c>
      <c r="M2402" s="12" t="s">
        <v>163</v>
      </c>
      <c r="N2402" s="12" t="s">
        <v>35</v>
      </c>
      <c r="O2402" s="12" t="s">
        <v>56</v>
      </c>
      <c r="P2402" s="12" t="s">
        <v>246</v>
      </c>
      <c r="Q2402" s="7" t="str">
        <f t="shared" si="112"/>
        <v>(2003,10,'2003.03.08',2,23,65,71,84,0),</v>
      </c>
      <c r="R2402" s="7" t="str">
        <f t="shared" si="114"/>
        <v>(2003,10,'2003.03.08',2,23,65,71,84),</v>
      </c>
    </row>
    <row r="2403" spans="1:18" x14ac:dyDescent="0.25">
      <c r="A2403" s="7" t="s">
        <v>4409</v>
      </c>
      <c r="B2403" s="8" t="s">
        <v>83</v>
      </c>
      <c r="C2403" s="10">
        <f t="shared" si="113"/>
        <v>37695</v>
      </c>
      <c r="D2403" t="s">
        <v>11</v>
      </c>
      <c r="E2403" t="s">
        <v>12</v>
      </c>
      <c r="F2403" t="s">
        <v>63</v>
      </c>
      <c r="G2403" t="s">
        <v>4596</v>
      </c>
      <c r="H2403" t="s">
        <v>4597</v>
      </c>
      <c r="I2403" t="s">
        <v>4598</v>
      </c>
      <c r="J2403" t="s">
        <v>4599</v>
      </c>
      <c r="K2403" t="s">
        <v>4600</v>
      </c>
      <c r="L2403" s="12" t="s">
        <v>42</v>
      </c>
      <c r="M2403" s="12" t="s">
        <v>44</v>
      </c>
      <c r="N2403" s="12" t="s">
        <v>126</v>
      </c>
      <c r="O2403" s="12" t="s">
        <v>107</v>
      </c>
      <c r="P2403" s="12" t="s">
        <v>20</v>
      </c>
      <c r="Q2403" s="7" t="str">
        <f t="shared" si="112"/>
        <v>(2003,11,'2003.03.15',3,21,28,30,33,0),</v>
      </c>
      <c r="R2403" s="7" t="str">
        <f t="shared" si="114"/>
        <v>(2003,11,'2003.03.15',3,21,28,30,33),</v>
      </c>
    </row>
    <row r="2404" spans="1:18" x14ac:dyDescent="0.25">
      <c r="A2404" s="7" t="s">
        <v>4409</v>
      </c>
      <c r="B2404" s="8" t="s">
        <v>31</v>
      </c>
      <c r="C2404" s="10">
        <f t="shared" si="113"/>
        <v>37702</v>
      </c>
      <c r="D2404" t="s">
        <v>11</v>
      </c>
      <c r="E2404" t="s">
        <v>12</v>
      </c>
      <c r="F2404" t="s">
        <v>46</v>
      </c>
      <c r="G2404" t="s">
        <v>4592</v>
      </c>
      <c r="H2404" t="s">
        <v>2960</v>
      </c>
      <c r="I2404" t="s">
        <v>4593</v>
      </c>
      <c r="J2404" t="s">
        <v>4594</v>
      </c>
      <c r="K2404" t="s">
        <v>4595</v>
      </c>
      <c r="L2404" s="12" t="s">
        <v>163</v>
      </c>
      <c r="M2404" s="12" t="s">
        <v>71</v>
      </c>
      <c r="N2404" s="12" t="s">
        <v>98</v>
      </c>
      <c r="O2404" s="12" t="s">
        <v>239</v>
      </c>
      <c r="P2404" s="12" t="s">
        <v>468</v>
      </c>
      <c r="Q2404" s="7" t="str">
        <f t="shared" si="112"/>
        <v>(2003,12,'2003.03.22',23,31,42,73,85,0),</v>
      </c>
      <c r="R2404" s="7" t="str">
        <f t="shared" si="114"/>
        <v>(2003,12,'2003.03.22',23,31,42,73,85),</v>
      </c>
    </row>
    <row r="2405" spans="1:18" x14ac:dyDescent="0.25">
      <c r="A2405" s="7" t="s">
        <v>4409</v>
      </c>
      <c r="B2405" s="8" t="s">
        <v>65</v>
      </c>
      <c r="C2405" s="10">
        <f t="shared" si="113"/>
        <v>37709</v>
      </c>
      <c r="D2405" t="s">
        <v>11</v>
      </c>
      <c r="E2405" t="s">
        <v>12</v>
      </c>
      <c r="F2405" t="s">
        <v>248</v>
      </c>
      <c r="G2405" t="s">
        <v>4587</v>
      </c>
      <c r="H2405" t="s">
        <v>4588</v>
      </c>
      <c r="I2405" t="s">
        <v>4589</v>
      </c>
      <c r="J2405" t="s">
        <v>4590</v>
      </c>
      <c r="K2405" t="s">
        <v>4591</v>
      </c>
      <c r="L2405" s="12" t="s">
        <v>168</v>
      </c>
      <c r="M2405" s="12" t="s">
        <v>163</v>
      </c>
      <c r="N2405" s="12" t="s">
        <v>98</v>
      </c>
      <c r="O2405" s="12" t="s">
        <v>91</v>
      </c>
      <c r="P2405" s="12" t="s">
        <v>214</v>
      </c>
      <c r="Q2405" s="7" t="str">
        <f t="shared" si="112"/>
        <v>(2003,13,'2003.03.29',4,23,42,61,64,0),</v>
      </c>
      <c r="R2405" s="7" t="str">
        <f t="shared" si="114"/>
        <v>(2003,13,'2003.03.29',4,23,42,61,64),</v>
      </c>
    </row>
    <row r="2406" spans="1:18" x14ac:dyDescent="0.25">
      <c r="A2406" s="7" t="s">
        <v>4409</v>
      </c>
      <c r="B2406" s="8" t="s">
        <v>127</v>
      </c>
      <c r="C2406" s="10">
        <f t="shared" si="113"/>
        <v>37716</v>
      </c>
      <c r="D2406" t="s">
        <v>11</v>
      </c>
      <c r="E2406" t="s">
        <v>12</v>
      </c>
      <c r="F2406" t="s">
        <v>127</v>
      </c>
      <c r="G2406" t="s">
        <v>4583</v>
      </c>
      <c r="H2406" t="s">
        <v>1451</v>
      </c>
      <c r="I2406" t="s">
        <v>4584</v>
      </c>
      <c r="J2406" t="s">
        <v>4585</v>
      </c>
      <c r="K2406" t="s">
        <v>4586</v>
      </c>
      <c r="L2406" s="12" t="s">
        <v>90</v>
      </c>
      <c r="M2406" s="12" t="s">
        <v>23</v>
      </c>
      <c r="N2406" s="12" t="s">
        <v>233</v>
      </c>
      <c r="O2406" s="12" t="s">
        <v>56</v>
      </c>
      <c r="P2406" s="12" t="s">
        <v>468</v>
      </c>
      <c r="Q2406" s="7" t="str">
        <f t="shared" si="112"/>
        <v>(2003,14,'2003.04.05',17,60,66,71,85,0),</v>
      </c>
      <c r="R2406" s="7" t="str">
        <f t="shared" si="114"/>
        <v>(2003,14,'2003.04.05',17,60,66,71,85),</v>
      </c>
    </row>
    <row r="2407" spans="1:18" x14ac:dyDescent="0.25">
      <c r="A2407" s="7" t="s">
        <v>4409</v>
      </c>
      <c r="B2407" s="8" t="s">
        <v>54</v>
      </c>
      <c r="C2407" s="10">
        <f t="shared" si="113"/>
        <v>37723</v>
      </c>
      <c r="D2407" t="s">
        <v>11</v>
      </c>
      <c r="E2407" t="s">
        <v>12</v>
      </c>
      <c r="F2407" t="s">
        <v>43</v>
      </c>
      <c r="G2407" t="s">
        <v>4578</v>
      </c>
      <c r="H2407" t="s">
        <v>4579</v>
      </c>
      <c r="I2407" t="s">
        <v>4580</v>
      </c>
      <c r="J2407" t="s">
        <v>4581</v>
      </c>
      <c r="K2407" t="s">
        <v>4582</v>
      </c>
      <c r="L2407" s="12" t="s">
        <v>31</v>
      </c>
      <c r="M2407" s="12" t="s">
        <v>23</v>
      </c>
      <c r="N2407" s="12" t="s">
        <v>233</v>
      </c>
      <c r="O2407" s="12" t="s">
        <v>72</v>
      </c>
      <c r="P2407" s="12" t="s">
        <v>201</v>
      </c>
      <c r="Q2407" s="7" t="str">
        <f t="shared" si="112"/>
        <v>(2003,15,'2003.04.12',12,60,66,67,72,0),</v>
      </c>
      <c r="R2407" s="7" t="str">
        <f t="shared" si="114"/>
        <v>(2003,15,'2003.04.12',12,60,66,67,72),</v>
      </c>
    </row>
    <row r="2408" spans="1:18" x14ac:dyDescent="0.25">
      <c r="A2408" s="7" t="s">
        <v>4409</v>
      </c>
      <c r="B2408" s="8" t="s">
        <v>43</v>
      </c>
      <c r="C2408" s="10">
        <f t="shared" si="113"/>
        <v>37730</v>
      </c>
      <c r="D2408" t="s">
        <v>11</v>
      </c>
      <c r="E2408" t="s">
        <v>12</v>
      </c>
      <c r="F2408" t="s">
        <v>198</v>
      </c>
      <c r="G2408" t="s">
        <v>4573</v>
      </c>
      <c r="H2408" t="s">
        <v>4574</v>
      </c>
      <c r="I2408" t="s">
        <v>4575</v>
      </c>
      <c r="J2408" t="s">
        <v>4576</v>
      </c>
      <c r="K2408" t="s">
        <v>4577</v>
      </c>
      <c r="L2408" s="12" t="s">
        <v>192</v>
      </c>
      <c r="M2408" s="12" t="s">
        <v>105</v>
      </c>
      <c r="N2408" s="12" t="s">
        <v>169</v>
      </c>
      <c r="O2408" s="12" t="s">
        <v>124</v>
      </c>
      <c r="P2408" s="12" t="s">
        <v>73</v>
      </c>
      <c r="Q2408" s="7" t="str">
        <f t="shared" si="112"/>
        <v>(2003,16,'2003.04.19',46,50,58,62,76,0),</v>
      </c>
      <c r="R2408" s="7" t="str">
        <f t="shared" si="114"/>
        <v>(2003,16,'2003.04.19',46,50,58,62,76),</v>
      </c>
    </row>
    <row r="2409" spans="1:18" x14ac:dyDescent="0.25">
      <c r="A2409" s="7" t="s">
        <v>4409</v>
      </c>
      <c r="B2409" s="8" t="s">
        <v>90</v>
      </c>
      <c r="C2409" s="10">
        <f t="shared" si="113"/>
        <v>37737</v>
      </c>
      <c r="D2409" t="s">
        <v>11</v>
      </c>
      <c r="E2409" t="s">
        <v>12</v>
      </c>
      <c r="F2409" t="s">
        <v>81</v>
      </c>
      <c r="G2409" t="s">
        <v>4568</v>
      </c>
      <c r="H2409" t="s">
        <v>4569</v>
      </c>
      <c r="I2409" t="s">
        <v>4570</v>
      </c>
      <c r="J2409" t="s">
        <v>4571</v>
      </c>
      <c r="K2409" t="s">
        <v>4572</v>
      </c>
      <c r="L2409" s="12" t="s">
        <v>115</v>
      </c>
      <c r="M2409" s="12" t="s">
        <v>80</v>
      </c>
      <c r="N2409" s="12" t="s">
        <v>45</v>
      </c>
      <c r="O2409" s="12" t="s">
        <v>35</v>
      </c>
      <c r="P2409" s="12" t="s">
        <v>239</v>
      </c>
      <c r="Q2409" s="7" t="str">
        <f t="shared" si="112"/>
        <v>(2003,17,'2003.04.26',20,32,43,65,73,0),</v>
      </c>
      <c r="R2409" s="7" t="str">
        <f t="shared" si="114"/>
        <v>(2003,17,'2003.04.26',20,32,43,65,73),</v>
      </c>
    </row>
    <row r="2410" spans="1:18" x14ac:dyDescent="0.25">
      <c r="A2410" s="7" t="s">
        <v>4409</v>
      </c>
      <c r="B2410" s="8" t="s">
        <v>19</v>
      </c>
      <c r="C2410" s="10">
        <f t="shared" si="113"/>
        <v>37744</v>
      </c>
      <c r="D2410" t="s">
        <v>11</v>
      </c>
      <c r="E2410" t="s">
        <v>12</v>
      </c>
      <c r="F2410" t="s">
        <v>270</v>
      </c>
      <c r="G2410" t="s">
        <v>4565</v>
      </c>
      <c r="H2410" t="s">
        <v>2804</v>
      </c>
      <c r="I2410" t="s">
        <v>4566</v>
      </c>
      <c r="J2410" t="s">
        <v>4567</v>
      </c>
      <c r="K2410" t="s">
        <v>1003</v>
      </c>
      <c r="L2410" s="12" t="s">
        <v>175</v>
      </c>
      <c r="M2410" s="12" t="s">
        <v>134</v>
      </c>
      <c r="N2410" s="12" t="s">
        <v>169</v>
      </c>
      <c r="O2410" s="12" t="s">
        <v>91</v>
      </c>
      <c r="P2410" s="12" t="s">
        <v>56</v>
      </c>
      <c r="Q2410" s="7" t="str">
        <f t="shared" si="112"/>
        <v>(2003,18,'2003.05.03',55,56,58,61,71,0),</v>
      </c>
      <c r="R2410" s="7" t="str">
        <f t="shared" si="114"/>
        <v>(2003,18,'2003.05.03',55,56,58,61,71),</v>
      </c>
    </row>
    <row r="2411" spans="1:18" x14ac:dyDescent="0.25">
      <c r="A2411" s="7" t="s">
        <v>4409</v>
      </c>
      <c r="B2411" s="8" t="s">
        <v>55</v>
      </c>
      <c r="C2411" s="10">
        <f t="shared" si="113"/>
        <v>37751</v>
      </c>
      <c r="D2411" t="s">
        <v>11</v>
      </c>
      <c r="E2411" t="s">
        <v>12</v>
      </c>
      <c r="F2411" t="s">
        <v>151</v>
      </c>
      <c r="G2411" t="s">
        <v>4560</v>
      </c>
      <c r="H2411" t="s">
        <v>4561</v>
      </c>
      <c r="I2411" t="s">
        <v>4562</v>
      </c>
      <c r="J2411" t="s">
        <v>4563</v>
      </c>
      <c r="K2411" t="s">
        <v>4564</v>
      </c>
      <c r="L2411" s="12" t="s">
        <v>19</v>
      </c>
      <c r="M2411" s="12" t="s">
        <v>36</v>
      </c>
      <c r="N2411" s="12" t="s">
        <v>13</v>
      </c>
      <c r="O2411" s="12" t="s">
        <v>72</v>
      </c>
      <c r="P2411" s="12" t="s">
        <v>379</v>
      </c>
      <c r="Q2411" s="7" t="str">
        <f t="shared" si="112"/>
        <v>(2003,19,'2003.05.10',18,38,41,67,89,0),</v>
      </c>
      <c r="R2411" s="7" t="str">
        <f t="shared" si="114"/>
        <v>(2003,19,'2003.05.10',18,38,41,67,89),</v>
      </c>
    </row>
    <row r="2412" spans="1:18" x14ac:dyDescent="0.25">
      <c r="A2412" s="7" t="s">
        <v>4409</v>
      </c>
      <c r="B2412" s="8" t="s">
        <v>115</v>
      </c>
      <c r="C2412" s="10">
        <f t="shared" si="113"/>
        <v>37758</v>
      </c>
      <c r="D2412" t="s">
        <v>11</v>
      </c>
      <c r="E2412" t="s">
        <v>12</v>
      </c>
      <c r="F2412" t="s">
        <v>71</v>
      </c>
      <c r="G2412" t="s">
        <v>4555</v>
      </c>
      <c r="H2412" t="s">
        <v>4556</v>
      </c>
      <c r="I2412" t="s">
        <v>4557</v>
      </c>
      <c r="J2412" t="s">
        <v>4558</v>
      </c>
      <c r="K2412" t="s">
        <v>4559</v>
      </c>
      <c r="L2412" s="12" t="s">
        <v>80</v>
      </c>
      <c r="M2412" s="12" t="s">
        <v>13</v>
      </c>
      <c r="N2412" s="12" t="s">
        <v>82</v>
      </c>
      <c r="O2412" s="12" t="s">
        <v>233</v>
      </c>
      <c r="P2412" s="12" t="s">
        <v>151</v>
      </c>
      <c r="Q2412" s="7" t="str">
        <f t="shared" si="112"/>
        <v>(2003,20,'2003.05.17',32,41,59,66,79,0),</v>
      </c>
      <c r="R2412" s="7" t="str">
        <f t="shared" si="114"/>
        <v>(2003,20,'2003.05.17',32,41,59,66,79),</v>
      </c>
    </row>
    <row r="2413" spans="1:18" x14ac:dyDescent="0.25">
      <c r="A2413" s="7" t="s">
        <v>4409</v>
      </c>
      <c r="B2413" s="8" t="s">
        <v>44</v>
      </c>
      <c r="C2413" s="10">
        <f t="shared" si="113"/>
        <v>37765</v>
      </c>
      <c r="D2413" t="s">
        <v>11</v>
      </c>
      <c r="E2413" t="s">
        <v>12</v>
      </c>
      <c r="F2413" t="s">
        <v>32</v>
      </c>
      <c r="G2413" t="s">
        <v>4550</v>
      </c>
      <c r="H2413" t="s">
        <v>4551</v>
      </c>
      <c r="I2413" t="s">
        <v>4552</v>
      </c>
      <c r="J2413" t="s">
        <v>4553</v>
      </c>
      <c r="K2413" t="s">
        <v>4554</v>
      </c>
      <c r="L2413" s="12" t="s">
        <v>152</v>
      </c>
      <c r="M2413" s="12" t="s">
        <v>64</v>
      </c>
      <c r="N2413" s="12" t="s">
        <v>46</v>
      </c>
      <c r="O2413" s="12" t="s">
        <v>245</v>
      </c>
      <c r="P2413" s="12" t="s">
        <v>308</v>
      </c>
      <c r="Q2413" s="7" t="str">
        <f t="shared" si="112"/>
        <v>(2003,21,'2003.05.24',25,35,37,74,86,0),</v>
      </c>
      <c r="R2413" s="7" t="str">
        <f t="shared" si="114"/>
        <v>(2003,21,'2003.05.24',25,35,37,74,86),</v>
      </c>
    </row>
    <row r="2414" spans="1:18" x14ac:dyDescent="0.25">
      <c r="A2414" s="7" t="s">
        <v>4409</v>
      </c>
      <c r="B2414" s="8" t="s">
        <v>32</v>
      </c>
      <c r="C2414" s="10">
        <f t="shared" si="113"/>
        <v>37772</v>
      </c>
      <c r="D2414" t="s">
        <v>11</v>
      </c>
      <c r="E2414" t="s">
        <v>12</v>
      </c>
      <c r="F2414" t="s">
        <v>127</v>
      </c>
      <c r="G2414" t="s">
        <v>4546</v>
      </c>
      <c r="H2414" t="s">
        <v>4547</v>
      </c>
      <c r="I2414" t="s">
        <v>2513</v>
      </c>
      <c r="J2414" t="s">
        <v>4548</v>
      </c>
      <c r="K2414" t="s">
        <v>4549</v>
      </c>
      <c r="L2414" s="12" t="s">
        <v>108</v>
      </c>
      <c r="M2414" s="12" t="s">
        <v>133</v>
      </c>
      <c r="N2414" s="12" t="s">
        <v>23</v>
      </c>
      <c r="O2414" s="12" t="s">
        <v>91</v>
      </c>
      <c r="P2414" s="12" t="s">
        <v>622</v>
      </c>
      <c r="Q2414" s="7" t="str">
        <f t="shared" si="112"/>
        <v>(2003,22,'2003.05.31',1,45,60,61,82,0),</v>
      </c>
      <c r="R2414" s="7" t="str">
        <f t="shared" si="114"/>
        <v>(2003,22,'2003.05.31',1,45,60,61,82),</v>
      </c>
    </row>
    <row r="2415" spans="1:18" x14ac:dyDescent="0.25">
      <c r="A2415" s="7" t="s">
        <v>4409</v>
      </c>
      <c r="B2415" s="8" t="s">
        <v>163</v>
      </c>
      <c r="C2415" s="10">
        <f t="shared" si="113"/>
        <v>37779</v>
      </c>
      <c r="D2415" t="s">
        <v>11</v>
      </c>
      <c r="E2415" t="s">
        <v>12</v>
      </c>
      <c r="F2415" t="s">
        <v>169</v>
      </c>
      <c r="G2415" t="s">
        <v>4541</v>
      </c>
      <c r="H2415" t="s">
        <v>4542</v>
      </c>
      <c r="I2415" t="s">
        <v>4543</v>
      </c>
      <c r="J2415" t="s">
        <v>4544</v>
      </c>
      <c r="K2415" t="s">
        <v>4545</v>
      </c>
      <c r="L2415" s="12" t="s">
        <v>53</v>
      </c>
      <c r="M2415" s="12" t="s">
        <v>115</v>
      </c>
      <c r="N2415" s="12" t="s">
        <v>64</v>
      </c>
      <c r="O2415" s="12" t="s">
        <v>169</v>
      </c>
      <c r="P2415" s="12" t="s">
        <v>125</v>
      </c>
      <c r="Q2415" s="7" t="str">
        <f t="shared" si="112"/>
        <v>(2003,23,'2003.06.07',7,20,35,58,83,0),</v>
      </c>
      <c r="R2415" s="7" t="str">
        <f t="shared" si="114"/>
        <v>(2003,23,'2003.06.07',7,20,35,58,83),</v>
      </c>
    </row>
    <row r="2416" spans="1:18" x14ac:dyDescent="0.25">
      <c r="A2416" s="7" t="s">
        <v>4409</v>
      </c>
      <c r="B2416" s="8" t="s">
        <v>33</v>
      </c>
      <c r="C2416" s="10">
        <f t="shared" si="113"/>
        <v>37786</v>
      </c>
      <c r="D2416" t="s">
        <v>11</v>
      </c>
      <c r="E2416" t="s">
        <v>12</v>
      </c>
      <c r="F2416" t="s">
        <v>175</v>
      </c>
      <c r="G2416" t="s">
        <v>4537</v>
      </c>
      <c r="H2416" t="s">
        <v>4538</v>
      </c>
      <c r="I2416" t="s">
        <v>4539</v>
      </c>
      <c r="J2416" t="s">
        <v>4540</v>
      </c>
      <c r="K2416" t="s">
        <v>1933</v>
      </c>
      <c r="L2416" s="12" t="s">
        <v>53</v>
      </c>
      <c r="M2416" s="12" t="s">
        <v>46</v>
      </c>
      <c r="N2416" s="12" t="s">
        <v>10</v>
      </c>
      <c r="O2416" s="12" t="s">
        <v>192</v>
      </c>
      <c r="P2416" s="12" t="s">
        <v>122</v>
      </c>
      <c r="Q2416" s="7" t="str">
        <f t="shared" si="112"/>
        <v>(2003,24,'2003.06.14',7,37,40,46,51,0),</v>
      </c>
      <c r="R2416" s="7" t="str">
        <f t="shared" si="114"/>
        <v>(2003,24,'2003.06.14',7,37,40,46,51),</v>
      </c>
    </row>
    <row r="2417" spans="1:18" x14ac:dyDescent="0.25">
      <c r="A2417" s="7" t="s">
        <v>4409</v>
      </c>
      <c r="B2417" s="8" t="s">
        <v>152</v>
      </c>
      <c r="C2417" s="10">
        <f t="shared" si="113"/>
        <v>37793</v>
      </c>
      <c r="D2417" t="s">
        <v>11</v>
      </c>
      <c r="E2417" t="s">
        <v>12</v>
      </c>
      <c r="F2417" t="s">
        <v>80</v>
      </c>
      <c r="G2417" t="s">
        <v>4532</v>
      </c>
      <c r="H2417" t="s">
        <v>4533</v>
      </c>
      <c r="I2417" t="s">
        <v>4534</v>
      </c>
      <c r="J2417" t="s">
        <v>4535</v>
      </c>
      <c r="K2417" t="s">
        <v>4536</v>
      </c>
      <c r="L2417" s="12" t="s">
        <v>207</v>
      </c>
      <c r="M2417" s="12" t="s">
        <v>270</v>
      </c>
      <c r="N2417" s="12" t="s">
        <v>81</v>
      </c>
      <c r="O2417" s="12" t="s">
        <v>245</v>
      </c>
      <c r="P2417" s="12" t="s">
        <v>301</v>
      </c>
      <c r="Q2417" s="7" t="str">
        <f t="shared" si="112"/>
        <v>(2003,25,'2003.06.21',2,6,47,74,80,0),</v>
      </c>
      <c r="R2417" s="7" t="str">
        <f t="shared" si="114"/>
        <v>(2003,25,'2003.06.21',2,6,47,74,80),</v>
      </c>
    </row>
    <row r="2418" spans="1:18" x14ac:dyDescent="0.25">
      <c r="A2418" s="7" t="s">
        <v>4409</v>
      </c>
      <c r="B2418" s="8" t="s">
        <v>74</v>
      </c>
      <c r="C2418" s="10">
        <f t="shared" si="113"/>
        <v>37800</v>
      </c>
      <c r="D2418" t="s">
        <v>11</v>
      </c>
      <c r="E2418" t="s">
        <v>12</v>
      </c>
      <c r="F2418" t="s">
        <v>308</v>
      </c>
      <c r="G2418" t="s">
        <v>4527</v>
      </c>
      <c r="H2418" t="s">
        <v>4528</v>
      </c>
      <c r="I2418" t="s">
        <v>4529</v>
      </c>
      <c r="J2418" t="s">
        <v>4530</v>
      </c>
      <c r="K2418" t="s">
        <v>4531</v>
      </c>
      <c r="L2418" s="12" t="s">
        <v>108</v>
      </c>
      <c r="M2418" s="12" t="s">
        <v>89</v>
      </c>
      <c r="N2418" s="12" t="s">
        <v>32</v>
      </c>
      <c r="O2418" s="12" t="s">
        <v>142</v>
      </c>
      <c r="P2418" s="12" t="s">
        <v>208</v>
      </c>
      <c r="Q2418" s="7" t="str">
        <f t="shared" si="112"/>
        <v>(2003,26,'2003.06.28',1,5,22,44,88,0),</v>
      </c>
      <c r="R2418" s="7" t="str">
        <f t="shared" si="114"/>
        <v>(2003,26,'2003.06.28',1,5,22,44,88),</v>
      </c>
    </row>
    <row r="2419" spans="1:18" x14ac:dyDescent="0.25">
      <c r="A2419" s="7" t="s">
        <v>4409</v>
      </c>
      <c r="B2419" s="8" t="s">
        <v>135</v>
      </c>
      <c r="C2419" s="10">
        <f t="shared" si="113"/>
        <v>37807</v>
      </c>
      <c r="D2419" t="s">
        <v>11</v>
      </c>
      <c r="E2419" t="s">
        <v>12</v>
      </c>
      <c r="F2419" t="s">
        <v>35</v>
      </c>
      <c r="G2419" t="s">
        <v>4523</v>
      </c>
      <c r="H2419" t="s">
        <v>4524</v>
      </c>
      <c r="I2419" t="s">
        <v>4525</v>
      </c>
      <c r="J2419" t="s">
        <v>4526</v>
      </c>
      <c r="K2419" t="s">
        <v>3608</v>
      </c>
      <c r="L2419" s="12" t="s">
        <v>163</v>
      </c>
      <c r="M2419" s="12" t="s">
        <v>20</v>
      </c>
      <c r="N2419" s="12" t="s">
        <v>25</v>
      </c>
      <c r="O2419" s="12" t="s">
        <v>56</v>
      </c>
      <c r="P2419" s="12" t="s">
        <v>379</v>
      </c>
      <c r="Q2419" s="7" t="str">
        <f t="shared" si="112"/>
        <v>(2003,27,'2003.07.05',23,33,34,71,89,0),</v>
      </c>
      <c r="R2419" s="7" t="str">
        <f t="shared" si="114"/>
        <v>(2003,27,'2003.07.05',23,33,34,71,89),</v>
      </c>
    </row>
    <row r="2420" spans="1:18" x14ac:dyDescent="0.25">
      <c r="A2420" s="7" t="s">
        <v>4409</v>
      </c>
      <c r="B2420" s="8" t="s">
        <v>126</v>
      </c>
      <c r="C2420" s="10">
        <f t="shared" si="113"/>
        <v>37814</v>
      </c>
      <c r="D2420" t="s">
        <v>11</v>
      </c>
      <c r="E2420" t="s">
        <v>12</v>
      </c>
      <c r="F2420" t="s">
        <v>82</v>
      </c>
      <c r="G2420" t="s">
        <v>4519</v>
      </c>
      <c r="H2420" t="s">
        <v>4520</v>
      </c>
      <c r="I2420" t="s">
        <v>4521</v>
      </c>
      <c r="J2420" t="s">
        <v>4522</v>
      </c>
      <c r="K2420" t="s">
        <v>2918</v>
      </c>
      <c r="L2420" s="12" t="s">
        <v>168</v>
      </c>
      <c r="M2420" s="12" t="s">
        <v>134</v>
      </c>
      <c r="N2420" s="12" t="s">
        <v>245</v>
      </c>
      <c r="O2420" s="12" t="s">
        <v>143</v>
      </c>
      <c r="P2420" s="12" t="s">
        <v>379</v>
      </c>
      <c r="Q2420" s="7" t="str">
        <f t="shared" si="112"/>
        <v>(2003,28,'2003.07.12',4,56,74,77,89,0),</v>
      </c>
      <c r="R2420" s="7" t="str">
        <f t="shared" si="114"/>
        <v>(2003,28,'2003.07.12',4,56,74,77,89),</v>
      </c>
    </row>
    <row r="2421" spans="1:18" x14ac:dyDescent="0.25">
      <c r="A2421" s="7" t="s">
        <v>4409</v>
      </c>
      <c r="B2421" s="8" t="s">
        <v>116</v>
      </c>
      <c r="C2421" s="10">
        <f t="shared" si="113"/>
        <v>37821</v>
      </c>
      <c r="D2421" t="s">
        <v>11</v>
      </c>
      <c r="E2421" t="s">
        <v>12</v>
      </c>
      <c r="F2421" t="s">
        <v>134</v>
      </c>
      <c r="G2421" t="s">
        <v>4515</v>
      </c>
      <c r="H2421" t="s">
        <v>4516</v>
      </c>
      <c r="I2421" t="s">
        <v>4517</v>
      </c>
      <c r="J2421" t="s">
        <v>4518</v>
      </c>
      <c r="K2421" t="s">
        <v>4116</v>
      </c>
      <c r="L2421" s="12" t="s">
        <v>90</v>
      </c>
      <c r="M2421" s="12" t="s">
        <v>19</v>
      </c>
      <c r="N2421" s="12" t="s">
        <v>122</v>
      </c>
      <c r="O2421" s="12" t="s">
        <v>99</v>
      </c>
      <c r="P2421" s="12" t="s">
        <v>106</v>
      </c>
      <c r="Q2421" s="7" t="str">
        <f t="shared" si="112"/>
        <v>(2003,29,'2003.07.19',17,18,51,52,75,0),</v>
      </c>
      <c r="R2421" s="7" t="str">
        <f t="shared" si="114"/>
        <v>(2003,29,'2003.07.19',17,18,51,52,75),</v>
      </c>
    </row>
    <row r="2422" spans="1:18" x14ac:dyDescent="0.25">
      <c r="A2422" s="7" t="s">
        <v>4409</v>
      </c>
      <c r="B2422" s="8" t="s">
        <v>107</v>
      </c>
      <c r="C2422" s="10">
        <f t="shared" si="113"/>
        <v>37828</v>
      </c>
      <c r="D2422" t="s">
        <v>11</v>
      </c>
      <c r="E2422" t="s">
        <v>12</v>
      </c>
      <c r="F2422" t="s">
        <v>105</v>
      </c>
      <c r="G2422" t="s">
        <v>4510</v>
      </c>
      <c r="H2422" t="s">
        <v>4511</v>
      </c>
      <c r="I2422" t="s">
        <v>4512</v>
      </c>
      <c r="J2422" t="s">
        <v>4513</v>
      </c>
      <c r="K2422" t="s">
        <v>4514</v>
      </c>
      <c r="L2422" s="12" t="s">
        <v>53</v>
      </c>
      <c r="M2422" s="12" t="s">
        <v>116</v>
      </c>
      <c r="N2422" s="12" t="s">
        <v>107</v>
      </c>
      <c r="O2422" s="12" t="s">
        <v>143</v>
      </c>
      <c r="P2422" s="12" t="s">
        <v>301</v>
      </c>
      <c r="Q2422" s="7" t="str">
        <f t="shared" si="112"/>
        <v>(2003,30,'2003.07.26',7,29,30,77,80,0),</v>
      </c>
      <c r="R2422" s="7" t="str">
        <f t="shared" si="114"/>
        <v>(2003,30,'2003.07.26',7,29,30,77,80),</v>
      </c>
    </row>
    <row r="2423" spans="1:18" x14ac:dyDescent="0.25">
      <c r="A2423" s="7" t="s">
        <v>4409</v>
      </c>
      <c r="B2423" s="8" t="s">
        <v>71</v>
      </c>
      <c r="C2423" s="10">
        <f t="shared" si="113"/>
        <v>37835</v>
      </c>
      <c r="D2423" t="s">
        <v>11</v>
      </c>
      <c r="E2423" t="s">
        <v>12</v>
      </c>
      <c r="F2423" t="s">
        <v>36</v>
      </c>
      <c r="G2423" t="s">
        <v>4507</v>
      </c>
      <c r="H2423" t="s">
        <v>3486</v>
      </c>
      <c r="I2423" t="s">
        <v>4508</v>
      </c>
      <c r="J2423" t="s">
        <v>4509</v>
      </c>
      <c r="K2423" t="s">
        <v>4164</v>
      </c>
      <c r="L2423" s="12" t="s">
        <v>90</v>
      </c>
      <c r="M2423" s="12" t="s">
        <v>19</v>
      </c>
      <c r="N2423" s="12" t="s">
        <v>126</v>
      </c>
      <c r="O2423" s="12" t="s">
        <v>64</v>
      </c>
      <c r="P2423" s="12" t="s">
        <v>186</v>
      </c>
      <c r="Q2423" s="7" t="str">
        <f t="shared" si="112"/>
        <v>(2003,31,'2003.08.02',17,18,28,35,90,0),</v>
      </c>
      <c r="R2423" s="7" t="str">
        <f t="shared" si="114"/>
        <v>(2003,31,'2003.08.02',17,18,28,35,90),</v>
      </c>
    </row>
    <row r="2424" spans="1:18" x14ac:dyDescent="0.25">
      <c r="A2424" s="7" t="s">
        <v>4409</v>
      </c>
      <c r="B2424" s="8" t="s">
        <v>80</v>
      </c>
      <c r="C2424" s="10">
        <f t="shared" si="113"/>
        <v>37842</v>
      </c>
      <c r="D2424" t="s">
        <v>11</v>
      </c>
      <c r="E2424" t="s">
        <v>12</v>
      </c>
      <c r="F2424" t="s">
        <v>4453</v>
      </c>
      <c r="G2424" t="s">
        <v>4502</v>
      </c>
      <c r="H2424" t="s">
        <v>4503</v>
      </c>
      <c r="I2424" t="s">
        <v>4504</v>
      </c>
      <c r="J2424" t="s">
        <v>4505</v>
      </c>
      <c r="K2424" t="s">
        <v>4506</v>
      </c>
      <c r="L2424" s="12" t="s">
        <v>270</v>
      </c>
      <c r="M2424" s="12" t="s">
        <v>33</v>
      </c>
      <c r="N2424" s="12" t="s">
        <v>152</v>
      </c>
      <c r="O2424" s="12" t="s">
        <v>199</v>
      </c>
      <c r="P2424" s="12" t="s">
        <v>151</v>
      </c>
      <c r="Q2424" s="7" t="str">
        <f t="shared" si="112"/>
        <v>(2003,32,'2003.08.09',6,24,25,53,79,0),</v>
      </c>
      <c r="R2424" s="7" t="str">
        <f t="shared" si="114"/>
        <v>(2003,32,'2003.08.09',6,24,25,53,79),</v>
      </c>
    </row>
    <row r="2425" spans="1:18" x14ac:dyDescent="0.25">
      <c r="A2425" s="7" t="s">
        <v>4409</v>
      </c>
      <c r="B2425" s="8" t="s">
        <v>20</v>
      </c>
      <c r="C2425" s="10">
        <f t="shared" si="113"/>
        <v>37849</v>
      </c>
      <c r="D2425" t="s">
        <v>11</v>
      </c>
      <c r="E2425" t="s">
        <v>12</v>
      </c>
      <c r="F2425" t="s">
        <v>4496</v>
      </c>
      <c r="G2425" t="s">
        <v>4497</v>
      </c>
      <c r="H2425" t="s">
        <v>4498</v>
      </c>
      <c r="I2425" t="s">
        <v>4499</v>
      </c>
      <c r="J2425" t="s">
        <v>4500</v>
      </c>
      <c r="K2425" t="s">
        <v>4501</v>
      </c>
      <c r="L2425" s="12" t="s">
        <v>53</v>
      </c>
      <c r="M2425" s="12" t="s">
        <v>31</v>
      </c>
      <c r="N2425" s="12" t="s">
        <v>19</v>
      </c>
      <c r="O2425" s="12" t="s">
        <v>36</v>
      </c>
      <c r="P2425" s="12" t="s">
        <v>186</v>
      </c>
      <c r="Q2425" s="7" t="str">
        <f t="shared" si="112"/>
        <v>(2003,33,'2003.08.16',7,12,18,38,90,0),</v>
      </c>
      <c r="R2425" s="7" t="str">
        <f t="shared" si="114"/>
        <v>(2003,33,'2003.08.16',7,12,18,38,90),</v>
      </c>
    </row>
    <row r="2426" spans="1:18" x14ac:dyDescent="0.25">
      <c r="A2426" s="7" t="s">
        <v>4409</v>
      </c>
      <c r="B2426" s="8" t="s">
        <v>25</v>
      </c>
      <c r="C2426" s="10">
        <f t="shared" si="113"/>
        <v>37856</v>
      </c>
      <c r="D2426" t="s">
        <v>11</v>
      </c>
      <c r="E2426" t="s">
        <v>12</v>
      </c>
      <c r="F2426" t="s">
        <v>45</v>
      </c>
      <c r="G2426" t="s">
        <v>4492</v>
      </c>
      <c r="H2426" t="s">
        <v>4493</v>
      </c>
      <c r="I2426" t="s">
        <v>4494</v>
      </c>
      <c r="J2426" t="s">
        <v>4495</v>
      </c>
      <c r="K2426" t="s">
        <v>2848</v>
      </c>
      <c r="L2426" s="12" t="s">
        <v>152</v>
      </c>
      <c r="M2426" s="12" t="s">
        <v>126</v>
      </c>
      <c r="N2426" s="12" t="s">
        <v>133</v>
      </c>
      <c r="O2426" s="12" t="s">
        <v>175</v>
      </c>
      <c r="P2426" s="12" t="s">
        <v>245</v>
      </c>
      <c r="Q2426" s="7" t="str">
        <f t="shared" si="112"/>
        <v>(2003,34,'2003.08.23',25,28,45,55,74,0),</v>
      </c>
      <c r="R2426" s="7" t="str">
        <f t="shared" si="114"/>
        <v>(2003,34,'2003.08.23',25,28,45,55,74),</v>
      </c>
    </row>
    <row r="2427" spans="1:18" x14ac:dyDescent="0.25">
      <c r="A2427" s="7" t="s">
        <v>4409</v>
      </c>
      <c r="B2427" s="8" t="s">
        <v>64</v>
      </c>
      <c r="C2427" s="10">
        <f t="shared" si="113"/>
        <v>37863</v>
      </c>
      <c r="D2427" t="s">
        <v>11</v>
      </c>
      <c r="E2427" t="s">
        <v>12</v>
      </c>
      <c r="F2427" t="s">
        <v>24</v>
      </c>
      <c r="G2427" t="s">
        <v>4489</v>
      </c>
      <c r="H2427" t="s">
        <v>320</v>
      </c>
      <c r="I2427" t="s">
        <v>4490</v>
      </c>
      <c r="J2427" t="s">
        <v>4491</v>
      </c>
      <c r="K2427" t="s">
        <v>3936</v>
      </c>
      <c r="L2427" s="12" t="s">
        <v>62</v>
      </c>
      <c r="M2427" s="12" t="s">
        <v>116</v>
      </c>
      <c r="N2427" s="12" t="s">
        <v>23</v>
      </c>
      <c r="O2427" s="12" t="s">
        <v>245</v>
      </c>
      <c r="P2427" s="12" t="s">
        <v>308</v>
      </c>
      <c r="Q2427" s="7" t="str">
        <f t="shared" si="112"/>
        <v>(2003,35,'2003.08.30',10,29,60,74,86,0),</v>
      </c>
      <c r="R2427" s="7" t="str">
        <f t="shared" si="114"/>
        <v>(2003,35,'2003.08.30',10,29,60,74,86),</v>
      </c>
    </row>
    <row r="2428" spans="1:18" x14ac:dyDescent="0.25">
      <c r="A2428" s="7" t="s">
        <v>4409</v>
      </c>
      <c r="B2428" s="8" t="s">
        <v>21</v>
      </c>
      <c r="C2428" s="10">
        <f t="shared" si="113"/>
        <v>37870</v>
      </c>
      <c r="D2428" t="s">
        <v>11</v>
      </c>
      <c r="E2428" t="s">
        <v>12</v>
      </c>
      <c r="F2428" t="s">
        <v>3093</v>
      </c>
      <c r="G2428" t="s">
        <v>4484</v>
      </c>
      <c r="H2428" t="s">
        <v>4485</v>
      </c>
      <c r="I2428" t="s">
        <v>4486</v>
      </c>
      <c r="J2428" t="s">
        <v>4487</v>
      </c>
      <c r="K2428" t="s">
        <v>4488</v>
      </c>
      <c r="L2428" s="12" t="s">
        <v>53</v>
      </c>
      <c r="M2428" s="12" t="s">
        <v>33</v>
      </c>
      <c r="N2428" s="12" t="s">
        <v>152</v>
      </c>
      <c r="O2428" s="12" t="s">
        <v>105</v>
      </c>
      <c r="P2428" s="12" t="s">
        <v>73</v>
      </c>
      <c r="Q2428" s="7" t="str">
        <f t="shared" si="112"/>
        <v>(2003,36,'2003.09.06',7,24,25,50,76,0),</v>
      </c>
      <c r="R2428" s="7" t="str">
        <f t="shared" si="114"/>
        <v>(2003,36,'2003.09.06',7,24,25,50,76),</v>
      </c>
    </row>
    <row r="2429" spans="1:18" x14ac:dyDescent="0.25">
      <c r="A2429" s="7" t="s">
        <v>4409</v>
      </c>
      <c r="B2429" s="8" t="s">
        <v>46</v>
      </c>
      <c r="C2429" s="10">
        <f t="shared" si="113"/>
        <v>37877</v>
      </c>
      <c r="D2429" t="s">
        <v>11</v>
      </c>
      <c r="E2429" t="s">
        <v>12</v>
      </c>
      <c r="F2429" t="s">
        <v>239</v>
      </c>
      <c r="G2429" t="s">
        <v>4480</v>
      </c>
      <c r="H2429" t="s">
        <v>4481</v>
      </c>
      <c r="I2429" t="s">
        <v>4482</v>
      </c>
      <c r="J2429" t="s">
        <v>4483</v>
      </c>
      <c r="K2429" t="s">
        <v>4323</v>
      </c>
      <c r="L2429" s="12" t="s">
        <v>115</v>
      </c>
      <c r="M2429" s="12" t="s">
        <v>10</v>
      </c>
      <c r="N2429" s="12" t="s">
        <v>99</v>
      </c>
      <c r="O2429" s="12" t="s">
        <v>123</v>
      </c>
      <c r="P2429" s="12" t="s">
        <v>186</v>
      </c>
      <c r="Q2429" s="7" t="str">
        <f t="shared" si="112"/>
        <v>(2003,37,'2003.09.13',20,40,52,54,90,0),</v>
      </c>
      <c r="R2429" s="7" t="str">
        <f t="shared" si="114"/>
        <v>(2003,37,'2003.09.13',20,40,52,54,90),</v>
      </c>
    </row>
    <row r="2430" spans="1:18" x14ac:dyDescent="0.25">
      <c r="A2430" s="7" t="s">
        <v>4409</v>
      </c>
      <c r="B2430" s="8" t="s">
        <v>36</v>
      </c>
      <c r="C2430" s="10">
        <f t="shared" si="113"/>
        <v>37884</v>
      </c>
      <c r="D2430" t="s">
        <v>11</v>
      </c>
      <c r="E2430" t="s">
        <v>12</v>
      </c>
      <c r="F2430" t="s">
        <v>152</v>
      </c>
      <c r="G2430" t="s">
        <v>4476</v>
      </c>
      <c r="H2430" t="s">
        <v>4477</v>
      </c>
      <c r="I2430" t="s">
        <v>4478</v>
      </c>
      <c r="J2430" t="s">
        <v>4479</v>
      </c>
      <c r="K2430" t="s">
        <v>114</v>
      </c>
      <c r="L2430" s="12" t="s">
        <v>43</v>
      </c>
      <c r="M2430" s="12" t="s">
        <v>107</v>
      </c>
      <c r="N2430" s="12" t="s">
        <v>215</v>
      </c>
      <c r="O2430" s="12" t="s">
        <v>125</v>
      </c>
      <c r="P2430" s="12" t="s">
        <v>269</v>
      </c>
      <c r="Q2430" s="7" t="str">
        <f t="shared" si="112"/>
        <v>(2003,38,'2003.09.20',16,30,81,83,87,0),</v>
      </c>
      <c r="R2430" s="7" t="str">
        <f t="shared" si="114"/>
        <v>(2003,38,'2003.09.20',16,30,81,83,87),</v>
      </c>
    </row>
    <row r="2431" spans="1:18" x14ac:dyDescent="0.25">
      <c r="A2431" s="7" t="s">
        <v>4409</v>
      </c>
      <c r="B2431" s="8" t="s">
        <v>24</v>
      </c>
      <c r="C2431" s="10">
        <f t="shared" si="113"/>
        <v>37891</v>
      </c>
      <c r="D2431" t="s">
        <v>11</v>
      </c>
      <c r="E2431" t="s">
        <v>12</v>
      </c>
      <c r="F2431" t="s">
        <v>4471</v>
      </c>
      <c r="G2431" t="s">
        <v>4472</v>
      </c>
      <c r="H2431" t="s">
        <v>4473</v>
      </c>
      <c r="I2431" t="s">
        <v>4474</v>
      </c>
      <c r="J2431" t="s">
        <v>4475</v>
      </c>
      <c r="K2431" t="s">
        <v>3245</v>
      </c>
      <c r="L2431" s="12" t="s">
        <v>115</v>
      </c>
      <c r="M2431" s="12" t="s">
        <v>32</v>
      </c>
      <c r="N2431" s="12" t="s">
        <v>163</v>
      </c>
      <c r="O2431" s="12" t="s">
        <v>105</v>
      </c>
      <c r="P2431" s="12" t="s">
        <v>72</v>
      </c>
      <c r="Q2431" s="7" t="str">
        <f t="shared" si="112"/>
        <v>(2003,39,'2003.09.27',20,22,23,50,67,0),</v>
      </c>
      <c r="R2431" s="7" t="str">
        <f t="shared" si="114"/>
        <v>(2003,39,'2003.09.27',20,22,23,50,67),</v>
      </c>
    </row>
    <row r="2432" spans="1:18" x14ac:dyDescent="0.25">
      <c r="A2432" s="7" t="s">
        <v>4409</v>
      </c>
      <c r="B2432" s="8" t="s">
        <v>10</v>
      </c>
      <c r="C2432" s="10">
        <f t="shared" si="113"/>
        <v>37898</v>
      </c>
      <c r="D2432" t="s">
        <v>11</v>
      </c>
      <c r="E2432" t="s">
        <v>12</v>
      </c>
      <c r="F2432" t="s">
        <v>98</v>
      </c>
      <c r="G2432" t="s">
        <v>4466</v>
      </c>
      <c r="H2432" t="s">
        <v>4467</v>
      </c>
      <c r="I2432" t="s">
        <v>4468</v>
      </c>
      <c r="J2432" t="s">
        <v>4469</v>
      </c>
      <c r="K2432" t="s">
        <v>4470</v>
      </c>
      <c r="L2432" s="12" t="s">
        <v>82</v>
      </c>
      <c r="M2432" s="12" t="s">
        <v>92</v>
      </c>
      <c r="N2432" s="12" t="s">
        <v>106</v>
      </c>
      <c r="O2432" s="12" t="s">
        <v>301</v>
      </c>
      <c r="P2432" s="12" t="s">
        <v>468</v>
      </c>
      <c r="Q2432" s="7" t="str">
        <f t="shared" si="112"/>
        <v>(2003,40,'2003.10.04',59,68,75,80,85,0),</v>
      </c>
      <c r="R2432" s="7" t="str">
        <f t="shared" si="114"/>
        <v>(2003,40,'2003.10.04',59,68,75,80,85),</v>
      </c>
    </row>
    <row r="2433" spans="1:18" x14ac:dyDescent="0.25">
      <c r="A2433" s="7" t="s">
        <v>4409</v>
      </c>
      <c r="B2433" s="8" t="s">
        <v>13</v>
      </c>
      <c r="C2433" s="10">
        <f t="shared" si="113"/>
        <v>37905</v>
      </c>
      <c r="D2433" t="s">
        <v>11</v>
      </c>
      <c r="E2433" t="s">
        <v>12</v>
      </c>
      <c r="F2433" t="s">
        <v>151</v>
      </c>
      <c r="G2433" t="s">
        <v>4462</v>
      </c>
      <c r="H2433" t="s">
        <v>4463</v>
      </c>
      <c r="I2433" t="s">
        <v>4464</v>
      </c>
      <c r="J2433" t="s">
        <v>4465</v>
      </c>
      <c r="K2433" t="s">
        <v>2339</v>
      </c>
      <c r="L2433" s="12" t="s">
        <v>80</v>
      </c>
      <c r="M2433" s="12" t="s">
        <v>133</v>
      </c>
      <c r="N2433" s="12" t="s">
        <v>175</v>
      </c>
      <c r="O2433" s="12" t="s">
        <v>200</v>
      </c>
      <c r="P2433" s="12" t="s">
        <v>63</v>
      </c>
      <c r="Q2433" s="7" t="str">
        <f t="shared" si="112"/>
        <v>(2003,41,'2003.10.11',32,45,55,70,78,0),</v>
      </c>
      <c r="R2433" s="7" t="str">
        <f t="shared" si="114"/>
        <v>(2003,41,'2003.10.11',32,45,55,70,78),</v>
      </c>
    </row>
    <row r="2434" spans="1:18" x14ac:dyDescent="0.25">
      <c r="A2434" s="7" t="s">
        <v>4409</v>
      </c>
      <c r="B2434" s="8" t="s">
        <v>98</v>
      </c>
      <c r="C2434" s="10">
        <f t="shared" si="113"/>
        <v>37912</v>
      </c>
      <c r="D2434" t="s">
        <v>11</v>
      </c>
      <c r="E2434" t="s">
        <v>12</v>
      </c>
      <c r="F2434" t="s">
        <v>47</v>
      </c>
      <c r="G2434" t="s">
        <v>4458</v>
      </c>
      <c r="H2434" t="s">
        <v>4459</v>
      </c>
      <c r="I2434" t="s">
        <v>4460</v>
      </c>
      <c r="J2434" t="s">
        <v>4461</v>
      </c>
      <c r="K2434" t="s">
        <v>2997</v>
      </c>
      <c r="L2434" s="12" t="s">
        <v>65</v>
      </c>
      <c r="M2434" s="12" t="s">
        <v>10</v>
      </c>
      <c r="N2434" s="12" t="s">
        <v>175</v>
      </c>
      <c r="O2434" s="12" t="s">
        <v>134</v>
      </c>
      <c r="P2434" s="12" t="s">
        <v>73</v>
      </c>
      <c r="Q2434" s="7" t="str">
        <f t="shared" ref="Q2434:Q2497" si="115">"("&amp;A2434&amp;","&amp;B2434&amp;",'"&amp;TEXT(C2434,"éééé.hh.nn")&amp;"',"&amp;L2434&amp;","&amp;M2434&amp;","&amp;N2434&amp;","&amp;O2434&amp;","&amp;P2434&amp;",0)"&amp;IF(P2435&lt;&gt;0,",","")</f>
        <v>(2003,42,'2003.10.18',13,40,55,56,76,0),</v>
      </c>
      <c r="R2434" s="7" t="str">
        <f t="shared" si="114"/>
        <v>(2003,42,'2003.10.18',13,40,55,56,76),</v>
      </c>
    </row>
    <row r="2435" spans="1:18" x14ac:dyDescent="0.25">
      <c r="A2435" s="7" t="s">
        <v>4409</v>
      </c>
      <c r="B2435" s="8" t="s">
        <v>45</v>
      </c>
      <c r="C2435" s="10">
        <f t="shared" ref="C2435:C2498" si="116">+C2434+7</f>
        <v>37919</v>
      </c>
      <c r="D2435" t="s">
        <v>11</v>
      </c>
      <c r="E2435" t="s">
        <v>12</v>
      </c>
      <c r="F2435" t="s">
        <v>4453</v>
      </c>
      <c r="G2435" t="s">
        <v>4454</v>
      </c>
      <c r="H2435" t="s">
        <v>4455</v>
      </c>
      <c r="I2435" t="s">
        <v>4456</v>
      </c>
      <c r="J2435" t="s">
        <v>4457</v>
      </c>
      <c r="K2435" t="s">
        <v>3321</v>
      </c>
      <c r="L2435" s="12" t="s">
        <v>42</v>
      </c>
      <c r="M2435" s="12" t="s">
        <v>127</v>
      </c>
      <c r="N2435" s="12" t="s">
        <v>33</v>
      </c>
      <c r="O2435" s="12" t="s">
        <v>239</v>
      </c>
      <c r="P2435" s="12" t="s">
        <v>125</v>
      </c>
      <c r="Q2435" s="7" t="str">
        <f t="shared" si="115"/>
        <v>(2003,43,'2003.10.25',3,14,24,73,83,0),</v>
      </c>
      <c r="R2435" s="7" t="str">
        <f t="shared" ref="R2435:R2498" si="117">IF(TRIM(P2435)="","","("&amp;A2435&amp;","&amp;B2435&amp;",'"&amp;TEXT(C2435,"éééé.hh.nn")&amp;"',"&amp;L2435&amp;","&amp;M2435&amp;","&amp;N2435&amp;","&amp;O2435&amp;","&amp;P2435&amp;")"&amp;IF(P2436=0,";",","))</f>
        <v>(2003,43,'2003.10.25',3,14,24,73,83),</v>
      </c>
    </row>
    <row r="2436" spans="1:18" x14ac:dyDescent="0.25">
      <c r="A2436" s="7" t="s">
        <v>4409</v>
      </c>
      <c r="B2436" s="8" t="s">
        <v>142</v>
      </c>
      <c r="C2436" s="10">
        <f t="shared" si="116"/>
        <v>37926</v>
      </c>
      <c r="D2436" t="s">
        <v>11</v>
      </c>
      <c r="E2436" t="s">
        <v>12</v>
      </c>
      <c r="F2436" t="s">
        <v>301</v>
      </c>
      <c r="G2436" t="s">
        <v>4448</v>
      </c>
      <c r="H2436" t="s">
        <v>4449</v>
      </c>
      <c r="I2436" t="s">
        <v>4450</v>
      </c>
      <c r="J2436" t="s">
        <v>4451</v>
      </c>
      <c r="K2436" t="s">
        <v>4452</v>
      </c>
      <c r="L2436" s="12" t="s">
        <v>163</v>
      </c>
      <c r="M2436" s="12" t="s">
        <v>152</v>
      </c>
      <c r="N2436" s="12" t="s">
        <v>126</v>
      </c>
      <c r="O2436" s="12" t="s">
        <v>233</v>
      </c>
      <c r="P2436" s="12" t="s">
        <v>73</v>
      </c>
      <c r="Q2436" s="7" t="str">
        <f t="shared" si="115"/>
        <v>(2003,44,'2003.11.01',23,25,28,66,76,0),</v>
      </c>
      <c r="R2436" s="7" t="str">
        <f t="shared" si="117"/>
        <v>(2003,44,'2003.11.01',23,25,28,66,76),</v>
      </c>
    </row>
    <row r="2437" spans="1:18" x14ac:dyDescent="0.25">
      <c r="A2437" s="7" t="s">
        <v>4409</v>
      </c>
      <c r="B2437" s="8" t="s">
        <v>133</v>
      </c>
      <c r="C2437" s="10">
        <f t="shared" si="116"/>
        <v>37933</v>
      </c>
      <c r="D2437" t="s">
        <v>11</v>
      </c>
      <c r="E2437" t="s">
        <v>12</v>
      </c>
      <c r="F2437" t="s">
        <v>4443</v>
      </c>
      <c r="G2437" t="s">
        <v>4444</v>
      </c>
      <c r="H2437" t="s">
        <v>4445</v>
      </c>
      <c r="I2437" t="s">
        <v>4446</v>
      </c>
      <c r="J2437" t="s">
        <v>4447</v>
      </c>
      <c r="K2437" t="s">
        <v>4340</v>
      </c>
      <c r="L2437" s="12" t="s">
        <v>33</v>
      </c>
      <c r="M2437" s="12" t="s">
        <v>20</v>
      </c>
      <c r="N2437" s="12" t="s">
        <v>25</v>
      </c>
      <c r="O2437" s="12" t="s">
        <v>24</v>
      </c>
      <c r="P2437" s="12" t="s">
        <v>123</v>
      </c>
      <c r="Q2437" s="7" t="str">
        <f t="shared" si="115"/>
        <v>(2003,45,'2003.11.08',24,33,34,39,54,0),</v>
      </c>
      <c r="R2437" s="7" t="str">
        <f t="shared" si="117"/>
        <v>(2003,45,'2003.11.08',24,33,34,39,54),</v>
      </c>
    </row>
    <row r="2438" spans="1:18" x14ac:dyDescent="0.25">
      <c r="A2438" s="7" t="s">
        <v>4409</v>
      </c>
      <c r="B2438" s="8" t="s">
        <v>192</v>
      </c>
      <c r="C2438" s="10">
        <f t="shared" si="116"/>
        <v>37940</v>
      </c>
      <c r="D2438" t="s">
        <v>11</v>
      </c>
      <c r="E2438" t="s">
        <v>12</v>
      </c>
      <c r="F2438" t="s">
        <v>4438</v>
      </c>
      <c r="G2438" t="s">
        <v>4439</v>
      </c>
      <c r="H2438" t="s">
        <v>4440</v>
      </c>
      <c r="I2438" t="s">
        <v>4441</v>
      </c>
      <c r="J2438" t="s">
        <v>4442</v>
      </c>
      <c r="K2438" t="s">
        <v>2004</v>
      </c>
      <c r="L2438" s="12" t="s">
        <v>31</v>
      </c>
      <c r="M2438" s="12" t="s">
        <v>126</v>
      </c>
      <c r="N2438" s="12" t="s">
        <v>25</v>
      </c>
      <c r="O2438" s="12" t="s">
        <v>91</v>
      </c>
      <c r="P2438" s="12" t="s">
        <v>200</v>
      </c>
      <c r="Q2438" s="7" t="str">
        <f t="shared" si="115"/>
        <v>(2003,46,'2003.11.15',12,28,34,61,70,0),</v>
      </c>
      <c r="R2438" s="7" t="str">
        <f t="shared" si="117"/>
        <v>(2003,46,'2003.11.15',12,28,34,61,70),</v>
      </c>
    </row>
    <row r="2439" spans="1:18" x14ac:dyDescent="0.25">
      <c r="A2439" s="7" t="s">
        <v>4409</v>
      </c>
      <c r="B2439" s="8" t="s">
        <v>81</v>
      </c>
      <c r="C2439" s="10">
        <f t="shared" si="116"/>
        <v>37947</v>
      </c>
      <c r="D2439" t="s">
        <v>11</v>
      </c>
      <c r="E2439" t="s">
        <v>12</v>
      </c>
      <c r="F2439" t="s">
        <v>4432</v>
      </c>
      <c r="G2439" t="s">
        <v>4433</v>
      </c>
      <c r="H2439" t="s">
        <v>4434</v>
      </c>
      <c r="I2439" t="s">
        <v>4435</v>
      </c>
      <c r="J2439" t="s">
        <v>4436</v>
      </c>
      <c r="K2439" t="s">
        <v>4437</v>
      </c>
      <c r="L2439" s="12" t="s">
        <v>108</v>
      </c>
      <c r="M2439" s="12" t="s">
        <v>168</v>
      </c>
      <c r="N2439" s="12" t="s">
        <v>232</v>
      </c>
      <c r="O2439" s="12" t="s">
        <v>47</v>
      </c>
      <c r="P2439" s="12" t="s">
        <v>245</v>
      </c>
      <c r="Q2439" s="7" t="str">
        <f t="shared" si="115"/>
        <v>(2003,47,'2003.11.22',1,4,8,69,74,0),</v>
      </c>
      <c r="R2439" s="7" t="str">
        <f t="shared" si="117"/>
        <v>(2003,47,'2003.11.22',1,4,8,69,74),</v>
      </c>
    </row>
    <row r="2440" spans="1:18" x14ac:dyDescent="0.25">
      <c r="A2440" s="7" t="s">
        <v>4409</v>
      </c>
      <c r="B2440" s="8" t="s">
        <v>22</v>
      </c>
      <c r="C2440" s="10">
        <f t="shared" si="116"/>
        <v>37954</v>
      </c>
      <c r="D2440" t="s">
        <v>108</v>
      </c>
      <c r="E2440" t="s">
        <v>4427</v>
      </c>
      <c r="F2440" t="s">
        <v>214</v>
      </c>
      <c r="G2440" t="s">
        <v>4428</v>
      </c>
      <c r="H2440" t="s">
        <v>4429</v>
      </c>
      <c r="I2440" t="s">
        <v>4430</v>
      </c>
      <c r="J2440" t="s">
        <v>4431</v>
      </c>
      <c r="K2440" t="s">
        <v>3673</v>
      </c>
      <c r="L2440" s="12" t="s">
        <v>168</v>
      </c>
      <c r="M2440" s="12" t="s">
        <v>54</v>
      </c>
      <c r="N2440" s="12" t="s">
        <v>192</v>
      </c>
      <c r="O2440" s="12" t="s">
        <v>34</v>
      </c>
      <c r="P2440" s="12" t="s">
        <v>82</v>
      </c>
      <c r="Q2440" s="7" t="str">
        <f t="shared" si="115"/>
        <v>(2003,48,'2003.11.29',4,15,46,49,59,0),</v>
      </c>
      <c r="R2440" s="7" t="str">
        <f t="shared" si="117"/>
        <v>(2003,48,'2003.11.29',4,15,46,49,59),</v>
      </c>
    </row>
    <row r="2441" spans="1:18" x14ac:dyDescent="0.25">
      <c r="A2441" s="7" t="s">
        <v>4409</v>
      </c>
      <c r="B2441" s="8" t="s">
        <v>34</v>
      </c>
      <c r="C2441" s="10">
        <f t="shared" si="116"/>
        <v>37961</v>
      </c>
      <c r="D2441" t="s">
        <v>11</v>
      </c>
      <c r="E2441" t="s">
        <v>12</v>
      </c>
      <c r="F2441" t="s">
        <v>169</v>
      </c>
      <c r="G2441" t="s">
        <v>4423</v>
      </c>
      <c r="H2441" t="s">
        <v>4424</v>
      </c>
      <c r="I2441" t="s">
        <v>4425</v>
      </c>
      <c r="J2441" t="s">
        <v>4426</v>
      </c>
      <c r="K2441" t="s">
        <v>1614</v>
      </c>
      <c r="L2441" s="12" t="s">
        <v>33</v>
      </c>
      <c r="M2441" s="12" t="s">
        <v>71</v>
      </c>
      <c r="N2441" s="12" t="s">
        <v>72</v>
      </c>
      <c r="O2441" s="12" t="s">
        <v>56</v>
      </c>
      <c r="P2441" s="12" t="s">
        <v>239</v>
      </c>
      <c r="Q2441" s="7" t="str">
        <f t="shared" si="115"/>
        <v>(2003,49,'2003.12.06',24,31,67,71,73,0),</v>
      </c>
      <c r="R2441" s="7" t="str">
        <f t="shared" si="117"/>
        <v>(2003,49,'2003.12.06',24,31,67,71,73),</v>
      </c>
    </row>
    <row r="2442" spans="1:18" x14ac:dyDescent="0.25">
      <c r="A2442" s="7" t="s">
        <v>4409</v>
      </c>
      <c r="B2442" s="8" t="s">
        <v>105</v>
      </c>
      <c r="C2442" s="10">
        <f t="shared" si="116"/>
        <v>37968</v>
      </c>
      <c r="D2442" t="s">
        <v>11</v>
      </c>
      <c r="E2442" t="s">
        <v>12</v>
      </c>
      <c r="F2442" t="s">
        <v>192</v>
      </c>
      <c r="G2442" t="s">
        <v>4419</v>
      </c>
      <c r="H2442" t="s">
        <v>4420</v>
      </c>
      <c r="I2442" t="s">
        <v>4421</v>
      </c>
      <c r="J2442" t="s">
        <v>4422</v>
      </c>
      <c r="K2442" t="s">
        <v>4126</v>
      </c>
      <c r="L2442" s="12" t="s">
        <v>31</v>
      </c>
      <c r="M2442" s="12" t="s">
        <v>74</v>
      </c>
      <c r="N2442" s="12" t="s">
        <v>21</v>
      </c>
      <c r="O2442" s="12" t="s">
        <v>192</v>
      </c>
      <c r="P2442" s="12" t="s">
        <v>34</v>
      </c>
      <c r="Q2442" s="7" t="str">
        <f t="shared" si="115"/>
        <v>(2003,50,'2003.12.13',12,26,36,46,49,0),</v>
      </c>
      <c r="R2442" s="7" t="str">
        <f t="shared" si="117"/>
        <v>(2003,50,'2003.12.13',12,26,36,46,49),</v>
      </c>
    </row>
    <row r="2443" spans="1:18" x14ac:dyDescent="0.25">
      <c r="A2443" s="7" t="s">
        <v>4409</v>
      </c>
      <c r="B2443" s="8" t="s">
        <v>122</v>
      </c>
      <c r="C2443" s="10">
        <f t="shared" si="116"/>
        <v>37975</v>
      </c>
      <c r="D2443" t="s">
        <v>11</v>
      </c>
      <c r="E2443" t="s">
        <v>12</v>
      </c>
      <c r="F2443" t="s">
        <v>169</v>
      </c>
      <c r="G2443" t="s">
        <v>4415</v>
      </c>
      <c r="H2443" t="s">
        <v>2900</v>
      </c>
      <c r="I2443" t="s">
        <v>4416</v>
      </c>
      <c r="J2443" t="s">
        <v>4417</v>
      </c>
      <c r="K2443" t="s">
        <v>4418</v>
      </c>
      <c r="L2443" s="12" t="s">
        <v>198</v>
      </c>
      <c r="M2443" s="12" t="s">
        <v>115</v>
      </c>
      <c r="N2443" s="12" t="s">
        <v>44</v>
      </c>
      <c r="O2443" s="12" t="s">
        <v>82</v>
      </c>
      <c r="P2443" s="12" t="s">
        <v>92</v>
      </c>
      <c r="Q2443" s="7" t="str">
        <f t="shared" si="115"/>
        <v>(2003,51,'2003.12.20',9,20,21,59,68,0),</v>
      </c>
      <c r="R2443" s="7" t="str">
        <f t="shared" si="117"/>
        <v>(2003,51,'2003.12.20',9,20,21,59,68),</v>
      </c>
    </row>
    <row r="2444" spans="1:18" x14ac:dyDescent="0.25">
      <c r="A2444" s="7" t="s">
        <v>4409</v>
      </c>
      <c r="B2444" s="8" t="s">
        <v>99</v>
      </c>
      <c r="C2444" s="10">
        <f t="shared" si="116"/>
        <v>37982</v>
      </c>
      <c r="D2444" t="s">
        <v>11</v>
      </c>
      <c r="E2444" t="s">
        <v>12</v>
      </c>
      <c r="F2444" t="s">
        <v>99</v>
      </c>
      <c r="G2444" t="s">
        <v>4410</v>
      </c>
      <c r="H2444" t="s">
        <v>4411</v>
      </c>
      <c r="I2444" t="s">
        <v>4412</v>
      </c>
      <c r="J2444" t="s">
        <v>4413</v>
      </c>
      <c r="K2444" t="s">
        <v>4414</v>
      </c>
      <c r="L2444" s="12" t="s">
        <v>83</v>
      </c>
      <c r="M2444" s="12" t="s">
        <v>33</v>
      </c>
      <c r="N2444" s="12" t="s">
        <v>25</v>
      </c>
      <c r="O2444" s="12" t="s">
        <v>214</v>
      </c>
      <c r="P2444" s="12" t="s">
        <v>379</v>
      </c>
      <c r="Q2444" s="7" t="str">
        <f t="shared" si="115"/>
        <v>(2003,52,'2003.12.27',11,24,34,64,89,0),</v>
      </c>
      <c r="R2444" s="7" t="str">
        <f t="shared" si="117"/>
        <v>(2003,52,'2003.12.27',11,24,34,64,89),</v>
      </c>
    </row>
    <row r="2445" spans="1:18" x14ac:dyDescent="0.25">
      <c r="A2445" s="7" t="s">
        <v>4155</v>
      </c>
      <c r="B2445" s="8" t="s">
        <v>108</v>
      </c>
      <c r="C2445" s="10">
        <f t="shared" si="116"/>
        <v>37989</v>
      </c>
      <c r="D2445" t="s">
        <v>207</v>
      </c>
      <c r="E2445" t="s">
        <v>4404</v>
      </c>
      <c r="F2445" t="s">
        <v>175</v>
      </c>
      <c r="G2445" t="s">
        <v>4405</v>
      </c>
      <c r="H2445" t="s">
        <v>4406</v>
      </c>
      <c r="I2445" t="s">
        <v>4407</v>
      </c>
      <c r="J2445" t="s">
        <v>4408</v>
      </c>
      <c r="K2445" t="s">
        <v>4270</v>
      </c>
      <c r="L2445" s="12" t="s">
        <v>83</v>
      </c>
      <c r="M2445" s="12" t="s">
        <v>115</v>
      </c>
      <c r="N2445" s="12" t="s">
        <v>135</v>
      </c>
      <c r="O2445" s="12" t="s">
        <v>80</v>
      </c>
      <c r="P2445" s="12" t="s">
        <v>175</v>
      </c>
      <c r="Q2445" s="7" t="str">
        <f t="shared" si="115"/>
        <v>(2004,1,'2004.01.03',11,20,27,32,55,0),</v>
      </c>
      <c r="R2445" s="7" t="str">
        <f t="shared" si="117"/>
        <v>(2004,1,'2004.01.03',11,20,27,32,55),</v>
      </c>
    </row>
    <row r="2446" spans="1:18" x14ac:dyDescent="0.25">
      <c r="A2446" s="7" t="s">
        <v>4155</v>
      </c>
      <c r="B2446" s="8" t="s">
        <v>207</v>
      </c>
      <c r="C2446" s="10">
        <f t="shared" si="116"/>
        <v>37996</v>
      </c>
      <c r="D2446" t="s">
        <v>11</v>
      </c>
      <c r="E2446" t="s">
        <v>12</v>
      </c>
      <c r="F2446" t="s">
        <v>4398</v>
      </c>
      <c r="G2446" t="s">
        <v>4399</v>
      </c>
      <c r="H2446" t="s">
        <v>4400</v>
      </c>
      <c r="I2446" t="s">
        <v>4401</v>
      </c>
      <c r="J2446" t="s">
        <v>4402</v>
      </c>
      <c r="K2446" t="s">
        <v>4403</v>
      </c>
      <c r="L2446" s="12" t="s">
        <v>232</v>
      </c>
      <c r="M2446" s="12" t="s">
        <v>65</v>
      </c>
      <c r="N2446" s="12" t="s">
        <v>81</v>
      </c>
      <c r="O2446" s="12" t="s">
        <v>134</v>
      </c>
      <c r="P2446" s="12" t="s">
        <v>468</v>
      </c>
      <c r="Q2446" s="7" t="str">
        <f t="shared" si="115"/>
        <v>(2004,2,'2004.01.10',8,13,47,56,85,0),</v>
      </c>
      <c r="R2446" s="7" t="str">
        <f t="shared" si="117"/>
        <v>(2004,2,'2004.01.10',8,13,47,56,85),</v>
      </c>
    </row>
    <row r="2447" spans="1:18" x14ac:dyDescent="0.25">
      <c r="A2447" s="7" t="s">
        <v>4155</v>
      </c>
      <c r="B2447" s="8" t="s">
        <v>42</v>
      </c>
      <c r="C2447" s="10">
        <f t="shared" si="116"/>
        <v>38003</v>
      </c>
      <c r="D2447" t="s">
        <v>108</v>
      </c>
      <c r="E2447" t="s">
        <v>4393</v>
      </c>
      <c r="F2447" t="s">
        <v>175</v>
      </c>
      <c r="G2447" t="s">
        <v>4394</v>
      </c>
      <c r="H2447" t="s">
        <v>4395</v>
      </c>
      <c r="I2447" t="s">
        <v>4396</v>
      </c>
      <c r="J2447" t="s">
        <v>4397</v>
      </c>
      <c r="K2447" t="s">
        <v>4392</v>
      </c>
      <c r="L2447" s="12" t="s">
        <v>115</v>
      </c>
      <c r="M2447" s="12" t="s">
        <v>20</v>
      </c>
      <c r="N2447" s="12" t="s">
        <v>122</v>
      </c>
      <c r="O2447" s="12" t="s">
        <v>73</v>
      </c>
      <c r="P2447" s="12" t="s">
        <v>151</v>
      </c>
      <c r="Q2447" s="7" t="str">
        <f t="shared" si="115"/>
        <v>(2004,3,'2004.01.17',20,33,51,76,79,0),</v>
      </c>
      <c r="R2447" s="7" t="str">
        <f t="shared" si="117"/>
        <v>(2004,3,'2004.01.17',20,33,51,76,79),</v>
      </c>
    </row>
    <row r="2448" spans="1:18" x14ac:dyDescent="0.25">
      <c r="A2448" s="7" t="s">
        <v>4155</v>
      </c>
      <c r="B2448" s="8" t="s">
        <v>168</v>
      </c>
      <c r="C2448" s="10">
        <f t="shared" si="116"/>
        <v>38010</v>
      </c>
      <c r="D2448" t="s">
        <v>108</v>
      </c>
      <c r="E2448" t="s">
        <v>4387</v>
      </c>
      <c r="F2448" t="s">
        <v>13</v>
      </c>
      <c r="G2448" t="s">
        <v>4388</v>
      </c>
      <c r="H2448" t="s">
        <v>4389</v>
      </c>
      <c r="I2448" t="s">
        <v>4390</v>
      </c>
      <c r="J2448" t="s">
        <v>4391</v>
      </c>
      <c r="K2448" t="s">
        <v>4392</v>
      </c>
      <c r="L2448" s="12" t="s">
        <v>32</v>
      </c>
      <c r="M2448" s="12" t="s">
        <v>21</v>
      </c>
      <c r="N2448" s="12" t="s">
        <v>10</v>
      </c>
      <c r="O2448" s="12" t="s">
        <v>175</v>
      </c>
      <c r="P2448" s="12" t="s">
        <v>91</v>
      </c>
      <c r="Q2448" s="7" t="str">
        <f t="shared" si="115"/>
        <v>(2004,4,'2004.01.24',22,36,40,55,61,0),</v>
      </c>
      <c r="R2448" s="7" t="str">
        <f t="shared" si="117"/>
        <v>(2004,4,'2004.01.24',22,36,40,55,61),</v>
      </c>
    </row>
    <row r="2449" spans="1:18" x14ac:dyDescent="0.25">
      <c r="A2449" s="7" t="s">
        <v>4155</v>
      </c>
      <c r="B2449" s="8" t="s">
        <v>89</v>
      </c>
      <c r="C2449" s="10">
        <f t="shared" si="116"/>
        <v>38017</v>
      </c>
      <c r="D2449" t="s">
        <v>11</v>
      </c>
      <c r="E2449" t="s">
        <v>12</v>
      </c>
      <c r="F2449" t="s">
        <v>43</v>
      </c>
      <c r="G2449" t="s">
        <v>4382</v>
      </c>
      <c r="H2449" t="s">
        <v>4383</v>
      </c>
      <c r="I2449" t="s">
        <v>4384</v>
      </c>
      <c r="J2449" t="s">
        <v>4385</v>
      </c>
      <c r="K2449" t="s">
        <v>4386</v>
      </c>
      <c r="L2449" s="12" t="s">
        <v>107</v>
      </c>
      <c r="M2449" s="12" t="s">
        <v>98</v>
      </c>
      <c r="N2449" s="12" t="s">
        <v>91</v>
      </c>
      <c r="O2449" s="12" t="s">
        <v>35</v>
      </c>
      <c r="P2449" s="12" t="s">
        <v>233</v>
      </c>
      <c r="Q2449" s="7" t="str">
        <f t="shared" si="115"/>
        <v>(2004,5,'2004.01.31',30,42,61,65,66,0),</v>
      </c>
      <c r="R2449" s="7" t="str">
        <f t="shared" si="117"/>
        <v>(2004,5,'2004.01.31',30,42,61,65,66),</v>
      </c>
    </row>
    <row r="2450" spans="1:18" x14ac:dyDescent="0.25">
      <c r="A2450" s="7" t="s">
        <v>4155</v>
      </c>
      <c r="B2450" s="8" t="s">
        <v>270</v>
      </c>
      <c r="C2450" s="10">
        <f t="shared" si="116"/>
        <v>38024</v>
      </c>
      <c r="D2450" t="s">
        <v>11</v>
      </c>
      <c r="E2450" t="s">
        <v>12</v>
      </c>
      <c r="F2450" t="s">
        <v>19</v>
      </c>
      <c r="G2450" t="s">
        <v>4377</v>
      </c>
      <c r="H2450" t="s">
        <v>4378</v>
      </c>
      <c r="I2450" t="s">
        <v>4379</v>
      </c>
      <c r="J2450" t="s">
        <v>4380</v>
      </c>
      <c r="K2450" t="s">
        <v>4381</v>
      </c>
      <c r="L2450" s="12" t="s">
        <v>65</v>
      </c>
      <c r="M2450" s="12" t="s">
        <v>200</v>
      </c>
      <c r="N2450" s="12" t="s">
        <v>201</v>
      </c>
      <c r="O2450" s="12" t="s">
        <v>73</v>
      </c>
      <c r="P2450" s="12" t="s">
        <v>63</v>
      </c>
      <c r="Q2450" s="7" t="str">
        <f t="shared" si="115"/>
        <v>(2004,6,'2004.02.07',13,70,72,76,78,0),</v>
      </c>
      <c r="R2450" s="7" t="str">
        <f t="shared" si="117"/>
        <v>(2004,6,'2004.02.07',13,70,72,76,78),</v>
      </c>
    </row>
    <row r="2451" spans="1:18" x14ac:dyDescent="0.25">
      <c r="A2451" s="7" t="s">
        <v>4155</v>
      </c>
      <c r="B2451" s="8" t="s">
        <v>53</v>
      </c>
      <c r="C2451" s="10">
        <f t="shared" si="116"/>
        <v>38031</v>
      </c>
      <c r="D2451" t="s">
        <v>11</v>
      </c>
      <c r="E2451" t="s">
        <v>12</v>
      </c>
      <c r="F2451" t="s">
        <v>192</v>
      </c>
      <c r="G2451" t="s">
        <v>4373</v>
      </c>
      <c r="H2451" t="s">
        <v>4374</v>
      </c>
      <c r="I2451" t="s">
        <v>4375</v>
      </c>
      <c r="J2451" t="s">
        <v>4376</v>
      </c>
      <c r="K2451" t="s">
        <v>3885</v>
      </c>
      <c r="L2451" s="12" t="s">
        <v>21</v>
      </c>
      <c r="M2451" s="12" t="s">
        <v>192</v>
      </c>
      <c r="N2451" s="12" t="s">
        <v>175</v>
      </c>
      <c r="O2451" s="12" t="s">
        <v>82</v>
      </c>
      <c r="P2451" s="12" t="s">
        <v>201</v>
      </c>
      <c r="Q2451" s="7" t="str">
        <f t="shared" si="115"/>
        <v>(2004,7,'2004.02.14',36,46,55,59,72,0),</v>
      </c>
      <c r="R2451" s="7" t="str">
        <f t="shared" si="117"/>
        <v>(2004,7,'2004.02.14',36,46,55,59,72),</v>
      </c>
    </row>
    <row r="2452" spans="1:18" x14ac:dyDescent="0.25">
      <c r="A2452" s="7" t="s">
        <v>4155</v>
      </c>
      <c r="B2452" s="8" t="s">
        <v>232</v>
      </c>
      <c r="C2452" s="10">
        <f t="shared" si="116"/>
        <v>38038</v>
      </c>
      <c r="D2452" t="s">
        <v>11</v>
      </c>
      <c r="E2452" t="s">
        <v>12</v>
      </c>
      <c r="F2452" t="s">
        <v>308</v>
      </c>
      <c r="G2452" t="s">
        <v>4369</v>
      </c>
      <c r="H2452" t="s">
        <v>4370</v>
      </c>
      <c r="I2452" t="s">
        <v>4371</v>
      </c>
      <c r="J2452" t="s">
        <v>4372</v>
      </c>
      <c r="K2452" t="s">
        <v>3915</v>
      </c>
      <c r="L2452" s="12" t="s">
        <v>36</v>
      </c>
      <c r="M2452" s="12" t="s">
        <v>81</v>
      </c>
      <c r="N2452" s="12" t="s">
        <v>34</v>
      </c>
      <c r="O2452" s="12" t="s">
        <v>169</v>
      </c>
      <c r="P2452" s="12" t="s">
        <v>47</v>
      </c>
      <c r="Q2452" s="7" t="str">
        <f t="shared" si="115"/>
        <v>(2004,8,'2004.02.21',38,47,49,58,69,0),</v>
      </c>
      <c r="R2452" s="7" t="str">
        <f t="shared" si="117"/>
        <v>(2004,8,'2004.02.21',38,47,49,58,69),</v>
      </c>
    </row>
    <row r="2453" spans="1:18" x14ac:dyDescent="0.25">
      <c r="A2453" s="7" t="s">
        <v>4155</v>
      </c>
      <c r="B2453" s="8" t="s">
        <v>198</v>
      </c>
      <c r="C2453" s="10">
        <f t="shared" si="116"/>
        <v>38045</v>
      </c>
      <c r="D2453" t="s">
        <v>11</v>
      </c>
      <c r="E2453" t="s">
        <v>12</v>
      </c>
      <c r="F2453" t="s">
        <v>150</v>
      </c>
      <c r="G2453" t="s">
        <v>4365</v>
      </c>
      <c r="H2453" t="s">
        <v>4366</v>
      </c>
      <c r="I2453" t="s">
        <v>4367</v>
      </c>
      <c r="J2453" t="s">
        <v>4368</v>
      </c>
      <c r="K2453" t="s">
        <v>4116</v>
      </c>
      <c r="L2453" s="12" t="s">
        <v>65</v>
      </c>
      <c r="M2453" s="12" t="s">
        <v>21</v>
      </c>
      <c r="N2453" s="12" t="s">
        <v>199</v>
      </c>
      <c r="O2453" s="12" t="s">
        <v>82</v>
      </c>
      <c r="P2453" s="12" t="s">
        <v>106</v>
      </c>
      <c r="Q2453" s="7" t="str">
        <f t="shared" si="115"/>
        <v>(2004,9,'2004.02.28',13,36,53,59,75,0),</v>
      </c>
      <c r="R2453" s="7" t="str">
        <f t="shared" si="117"/>
        <v>(2004,9,'2004.02.28',13,36,53,59,75),</v>
      </c>
    </row>
    <row r="2454" spans="1:18" x14ac:dyDescent="0.25">
      <c r="A2454" s="7" t="s">
        <v>4155</v>
      </c>
      <c r="B2454" s="8" t="s">
        <v>62</v>
      </c>
      <c r="C2454" s="10">
        <f t="shared" si="116"/>
        <v>38052</v>
      </c>
      <c r="D2454" t="s">
        <v>11</v>
      </c>
      <c r="E2454" t="s">
        <v>12</v>
      </c>
      <c r="F2454" t="s">
        <v>81</v>
      </c>
      <c r="G2454" t="s">
        <v>4360</v>
      </c>
      <c r="H2454" t="s">
        <v>4361</v>
      </c>
      <c r="I2454" t="s">
        <v>4362</v>
      </c>
      <c r="J2454" t="s">
        <v>4363</v>
      </c>
      <c r="K2454" t="s">
        <v>4364</v>
      </c>
      <c r="L2454" s="12" t="s">
        <v>108</v>
      </c>
      <c r="M2454" s="12" t="s">
        <v>270</v>
      </c>
      <c r="N2454" s="12" t="s">
        <v>135</v>
      </c>
      <c r="O2454" s="12" t="s">
        <v>10</v>
      </c>
      <c r="P2454" s="12" t="s">
        <v>169</v>
      </c>
      <c r="Q2454" s="7" t="str">
        <f t="shared" si="115"/>
        <v>(2004,10,'2004.03.06',1,6,27,40,58,0),</v>
      </c>
      <c r="R2454" s="7" t="str">
        <f t="shared" si="117"/>
        <v>(2004,10,'2004.03.06',1,6,27,40,58),</v>
      </c>
    </row>
    <row r="2455" spans="1:18" x14ac:dyDescent="0.25">
      <c r="A2455" s="7" t="s">
        <v>4155</v>
      </c>
      <c r="B2455" s="8" t="s">
        <v>83</v>
      </c>
      <c r="C2455" s="10">
        <f t="shared" si="116"/>
        <v>38059</v>
      </c>
      <c r="D2455" t="s">
        <v>11</v>
      </c>
      <c r="E2455" t="s">
        <v>12</v>
      </c>
      <c r="F2455" t="s">
        <v>21</v>
      </c>
      <c r="G2455" t="s">
        <v>4355</v>
      </c>
      <c r="H2455" t="s">
        <v>4356</v>
      </c>
      <c r="I2455" t="s">
        <v>4357</v>
      </c>
      <c r="J2455" t="s">
        <v>4358</v>
      </c>
      <c r="K2455" t="s">
        <v>4359</v>
      </c>
      <c r="L2455" s="12" t="s">
        <v>135</v>
      </c>
      <c r="M2455" s="12" t="s">
        <v>71</v>
      </c>
      <c r="N2455" s="12" t="s">
        <v>13</v>
      </c>
      <c r="O2455" s="12" t="s">
        <v>34</v>
      </c>
      <c r="P2455" s="12" t="s">
        <v>23</v>
      </c>
      <c r="Q2455" s="7" t="str">
        <f t="shared" si="115"/>
        <v>(2004,11,'2004.03.13',27,31,41,49,60,0),</v>
      </c>
      <c r="R2455" s="7" t="str">
        <f t="shared" si="117"/>
        <v>(2004,11,'2004.03.13',27,31,41,49,60),</v>
      </c>
    </row>
    <row r="2456" spans="1:18" x14ac:dyDescent="0.25">
      <c r="A2456" s="7" t="s">
        <v>4155</v>
      </c>
      <c r="B2456" s="8" t="s">
        <v>31</v>
      </c>
      <c r="C2456" s="10">
        <f t="shared" si="116"/>
        <v>38066</v>
      </c>
      <c r="D2456" t="s">
        <v>108</v>
      </c>
      <c r="E2456" t="s">
        <v>4351</v>
      </c>
      <c r="F2456" t="s">
        <v>44</v>
      </c>
      <c r="G2456" t="s">
        <v>4352</v>
      </c>
      <c r="H2456" t="s">
        <v>1097</v>
      </c>
      <c r="I2456" t="s">
        <v>2812</v>
      </c>
      <c r="J2456" t="s">
        <v>4353</v>
      </c>
      <c r="K2456" t="s">
        <v>4354</v>
      </c>
      <c r="L2456" s="12" t="s">
        <v>33</v>
      </c>
      <c r="M2456" s="12" t="s">
        <v>36</v>
      </c>
      <c r="N2456" s="12" t="s">
        <v>133</v>
      </c>
      <c r="O2456" s="12" t="s">
        <v>22</v>
      </c>
      <c r="P2456" s="12" t="s">
        <v>379</v>
      </c>
      <c r="Q2456" s="7" t="str">
        <f t="shared" si="115"/>
        <v>(2004,12,'2004.03.20',24,38,45,48,89,0),</v>
      </c>
      <c r="R2456" s="7" t="str">
        <f t="shared" si="117"/>
        <v>(2004,12,'2004.03.20',24,38,45,48,89),</v>
      </c>
    </row>
    <row r="2457" spans="1:18" x14ac:dyDescent="0.25">
      <c r="A2457" s="7" t="s">
        <v>4155</v>
      </c>
      <c r="B2457" s="8" t="s">
        <v>65</v>
      </c>
      <c r="C2457" s="10">
        <f t="shared" si="116"/>
        <v>38073</v>
      </c>
      <c r="D2457" t="s">
        <v>11</v>
      </c>
      <c r="E2457" t="s">
        <v>12</v>
      </c>
      <c r="F2457" t="s">
        <v>64</v>
      </c>
      <c r="G2457" t="s">
        <v>4346</v>
      </c>
      <c r="H2457" t="s">
        <v>4347</v>
      </c>
      <c r="I2457" t="s">
        <v>4348</v>
      </c>
      <c r="J2457" t="s">
        <v>4349</v>
      </c>
      <c r="K2457" t="s">
        <v>4350</v>
      </c>
      <c r="L2457" s="12" t="s">
        <v>89</v>
      </c>
      <c r="M2457" s="12" t="s">
        <v>10</v>
      </c>
      <c r="N2457" s="12" t="s">
        <v>233</v>
      </c>
      <c r="O2457" s="12" t="s">
        <v>215</v>
      </c>
      <c r="P2457" s="12" t="s">
        <v>269</v>
      </c>
      <c r="Q2457" s="7" t="str">
        <f t="shared" si="115"/>
        <v>(2004,13,'2004.03.27',5,40,66,81,87,0),</v>
      </c>
      <c r="R2457" s="7" t="str">
        <f t="shared" si="117"/>
        <v>(2004,13,'2004.03.27',5,40,66,81,87),</v>
      </c>
    </row>
    <row r="2458" spans="1:18" x14ac:dyDescent="0.25">
      <c r="A2458" s="7" t="s">
        <v>4155</v>
      </c>
      <c r="B2458" s="8" t="s">
        <v>127</v>
      </c>
      <c r="C2458" s="10">
        <f t="shared" si="116"/>
        <v>38080</v>
      </c>
      <c r="D2458" t="s">
        <v>11</v>
      </c>
      <c r="E2458" t="s">
        <v>12</v>
      </c>
      <c r="F2458" t="s">
        <v>150</v>
      </c>
      <c r="G2458" t="s">
        <v>4341</v>
      </c>
      <c r="H2458" t="s">
        <v>4342</v>
      </c>
      <c r="I2458" t="s">
        <v>4343</v>
      </c>
      <c r="J2458" t="s">
        <v>4344</v>
      </c>
      <c r="K2458" t="s">
        <v>4345</v>
      </c>
      <c r="L2458" s="12" t="s">
        <v>62</v>
      </c>
      <c r="M2458" s="12" t="s">
        <v>163</v>
      </c>
      <c r="N2458" s="12" t="s">
        <v>81</v>
      </c>
      <c r="O2458" s="12" t="s">
        <v>169</v>
      </c>
      <c r="P2458" s="12" t="s">
        <v>246</v>
      </c>
      <c r="Q2458" s="7" t="str">
        <f t="shared" si="115"/>
        <v>(2004,14,'2004.04.03',10,23,47,58,84,0),</v>
      </c>
      <c r="R2458" s="7" t="str">
        <f t="shared" si="117"/>
        <v>(2004,14,'2004.04.03',10,23,47,58,84),</v>
      </c>
    </row>
    <row r="2459" spans="1:18" x14ac:dyDescent="0.25">
      <c r="A2459" s="7" t="s">
        <v>4155</v>
      </c>
      <c r="B2459" s="8" t="s">
        <v>54</v>
      </c>
      <c r="C2459" s="10">
        <f t="shared" si="116"/>
        <v>38087</v>
      </c>
      <c r="D2459" t="s">
        <v>11</v>
      </c>
      <c r="E2459" t="s">
        <v>12</v>
      </c>
      <c r="F2459" t="s">
        <v>22</v>
      </c>
      <c r="G2459" t="s">
        <v>4336</v>
      </c>
      <c r="H2459" t="s">
        <v>4337</v>
      </c>
      <c r="I2459" t="s">
        <v>4338</v>
      </c>
      <c r="J2459" t="s">
        <v>4339</v>
      </c>
      <c r="K2459" t="s">
        <v>4340</v>
      </c>
      <c r="L2459" s="12" t="s">
        <v>55</v>
      </c>
      <c r="M2459" s="12" t="s">
        <v>115</v>
      </c>
      <c r="N2459" s="12" t="s">
        <v>126</v>
      </c>
      <c r="O2459" s="12" t="s">
        <v>248</v>
      </c>
      <c r="P2459" s="12" t="s">
        <v>379</v>
      </c>
      <c r="Q2459" s="7" t="str">
        <f t="shared" si="115"/>
        <v>(2004,15,'2004.04.10',19,20,28,63,89,0),</v>
      </c>
      <c r="R2459" s="7" t="str">
        <f t="shared" si="117"/>
        <v>(2004,15,'2004.04.10',19,20,28,63,89),</v>
      </c>
    </row>
    <row r="2460" spans="1:18" x14ac:dyDescent="0.25">
      <c r="A2460" s="7" t="s">
        <v>4155</v>
      </c>
      <c r="B2460" s="8" t="s">
        <v>43</v>
      </c>
      <c r="C2460" s="10">
        <f t="shared" si="116"/>
        <v>38094</v>
      </c>
      <c r="D2460" t="s">
        <v>11</v>
      </c>
      <c r="E2460" t="s">
        <v>12</v>
      </c>
      <c r="F2460" t="s">
        <v>47</v>
      </c>
      <c r="G2460" t="s">
        <v>4332</v>
      </c>
      <c r="H2460" t="s">
        <v>4333</v>
      </c>
      <c r="I2460" t="s">
        <v>4334</v>
      </c>
      <c r="J2460" t="s">
        <v>4335</v>
      </c>
      <c r="K2460" t="s">
        <v>4093</v>
      </c>
      <c r="L2460" s="12" t="s">
        <v>31</v>
      </c>
      <c r="M2460" s="12" t="s">
        <v>64</v>
      </c>
      <c r="N2460" s="12" t="s">
        <v>13</v>
      </c>
      <c r="O2460" s="12" t="s">
        <v>142</v>
      </c>
      <c r="P2460" s="12" t="s">
        <v>239</v>
      </c>
      <c r="Q2460" s="7" t="str">
        <f t="shared" si="115"/>
        <v>(2004,16,'2004.04.17',12,35,41,44,73,0),</v>
      </c>
      <c r="R2460" s="7" t="str">
        <f t="shared" si="117"/>
        <v>(2004,16,'2004.04.17',12,35,41,44,73),</v>
      </c>
    </row>
    <row r="2461" spans="1:18" x14ac:dyDescent="0.25">
      <c r="A2461" s="7" t="s">
        <v>4155</v>
      </c>
      <c r="B2461" s="8" t="s">
        <v>90</v>
      </c>
      <c r="C2461" s="10">
        <f t="shared" si="116"/>
        <v>38101</v>
      </c>
      <c r="D2461" t="s">
        <v>11</v>
      </c>
      <c r="E2461" t="s">
        <v>12</v>
      </c>
      <c r="F2461" t="s">
        <v>21</v>
      </c>
      <c r="G2461" t="s">
        <v>4328</v>
      </c>
      <c r="H2461" t="s">
        <v>4329</v>
      </c>
      <c r="I2461" t="s">
        <v>4330</v>
      </c>
      <c r="J2461" t="s">
        <v>4331</v>
      </c>
      <c r="K2461" t="s">
        <v>1360</v>
      </c>
      <c r="L2461" s="12" t="s">
        <v>270</v>
      </c>
      <c r="M2461" s="12" t="s">
        <v>116</v>
      </c>
      <c r="N2461" s="12" t="s">
        <v>169</v>
      </c>
      <c r="O2461" s="12" t="s">
        <v>56</v>
      </c>
      <c r="P2461" s="12" t="s">
        <v>215</v>
      </c>
      <c r="Q2461" s="7" t="str">
        <f t="shared" si="115"/>
        <v>(2004,17,'2004.04.24',6,29,58,71,81,0),</v>
      </c>
      <c r="R2461" s="7" t="str">
        <f t="shared" si="117"/>
        <v>(2004,17,'2004.04.24',6,29,58,71,81),</v>
      </c>
    </row>
    <row r="2462" spans="1:18" x14ac:dyDescent="0.25">
      <c r="A2462" s="7" t="s">
        <v>4155</v>
      </c>
      <c r="B2462" s="8" t="s">
        <v>19</v>
      </c>
      <c r="C2462" s="10">
        <f t="shared" si="116"/>
        <v>38108</v>
      </c>
      <c r="D2462" t="s">
        <v>11</v>
      </c>
      <c r="E2462" t="s">
        <v>12</v>
      </c>
      <c r="F2462" t="s">
        <v>64</v>
      </c>
      <c r="G2462" t="s">
        <v>4324</v>
      </c>
      <c r="H2462" t="s">
        <v>4325</v>
      </c>
      <c r="I2462" t="s">
        <v>4326</v>
      </c>
      <c r="J2462" t="s">
        <v>4327</v>
      </c>
      <c r="K2462" t="s">
        <v>3758</v>
      </c>
      <c r="L2462" s="12" t="s">
        <v>126</v>
      </c>
      <c r="M2462" s="12" t="s">
        <v>20</v>
      </c>
      <c r="N2462" s="12" t="s">
        <v>35</v>
      </c>
      <c r="O2462" s="12" t="s">
        <v>308</v>
      </c>
      <c r="P2462" s="12" t="s">
        <v>208</v>
      </c>
      <c r="Q2462" s="7" t="str">
        <f t="shared" si="115"/>
        <v>(2004,18,'2004.05.01',28,33,65,86,88,0),</v>
      </c>
      <c r="R2462" s="7" t="str">
        <f t="shared" si="117"/>
        <v>(2004,18,'2004.05.01',28,33,65,86,88),</v>
      </c>
    </row>
    <row r="2463" spans="1:18" x14ac:dyDescent="0.25">
      <c r="A2463" s="7" t="s">
        <v>4155</v>
      </c>
      <c r="B2463" s="8" t="s">
        <v>55</v>
      </c>
      <c r="C2463" s="10">
        <f t="shared" si="116"/>
        <v>38115</v>
      </c>
      <c r="D2463" t="s">
        <v>11</v>
      </c>
      <c r="E2463" t="s">
        <v>12</v>
      </c>
      <c r="F2463" t="s">
        <v>46</v>
      </c>
      <c r="G2463" t="s">
        <v>4319</v>
      </c>
      <c r="H2463" t="s">
        <v>4320</v>
      </c>
      <c r="I2463" t="s">
        <v>4321</v>
      </c>
      <c r="J2463" t="s">
        <v>4322</v>
      </c>
      <c r="K2463" t="s">
        <v>4323</v>
      </c>
      <c r="L2463" s="12" t="s">
        <v>207</v>
      </c>
      <c r="M2463" s="12" t="s">
        <v>19</v>
      </c>
      <c r="N2463" s="12" t="s">
        <v>80</v>
      </c>
      <c r="O2463" s="12" t="s">
        <v>175</v>
      </c>
      <c r="P2463" s="12" t="s">
        <v>82</v>
      </c>
      <c r="Q2463" s="7" t="str">
        <f t="shared" si="115"/>
        <v>(2004,19,'2004.05.08',2,18,32,55,59,0),</v>
      </c>
      <c r="R2463" s="7" t="str">
        <f t="shared" si="117"/>
        <v>(2004,19,'2004.05.08',2,18,32,55,59),</v>
      </c>
    </row>
    <row r="2464" spans="1:18" x14ac:dyDescent="0.25">
      <c r="A2464" s="7" t="s">
        <v>4155</v>
      </c>
      <c r="B2464" s="8" t="s">
        <v>115</v>
      </c>
      <c r="C2464" s="10">
        <f t="shared" si="116"/>
        <v>38122</v>
      </c>
      <c r="D2464" t="s">
        <v>11</v>
      </c>
      <c r="E2464" t="s">
        <v>12</v>
      </c>
      <c r="F2464" t="s">
        <v>25</v>
      </c>
      <c r="G2464" t="s">
        <v>4315</v>
      </c>
      <c r="H2464" t="s">
        <v>773</v>
      </c>
      <c r="I2464" t="s">
        <v>4316</v>
      </c>
      <c r="J2464" t="s">
        <v>4317</v>
      </c>
      <c r="K2464" t="s">
        <v>4318</v>
      </c>
      <c r="L2464" s="12" t="s">
        <v>32</v>
      </c>
      <c r="M2464" s="12" t="s">
        <v>107</v>
      </c>
      <c r="N2464" s="12" t="s">
        <v>25</v>
      </c>
      <c r="O2464" s="12" t="s">
        <v>24</v>
      </c>
      <c r="P2464" s="12" t="s">
        <v>106</v>
      </c>
      <c r="Q2464" s="7" t="str">
        <f t="shared" si="115"/>
        <v>(2004,20,'2004.05.15',22,30,34,39,75,0),</v>
      </c>
      <c r="R2464" s="7" t="str">
        <f t="shared" si="117"/>
        <v>(2004,20,'2004.05.15',22,30,34,39,75),</v>
      </c>
    </row>
    <row r="2465" spans="1:18" x14ac:dyDescent="0.25">
      <c r="A2465" s="7" t="s">
        <v>4155</v>
      </c>
      <c r="B2465" s="8" t="s">
        <v>44</v>
      </c>
      <c r="C2465" s="10">
        <f t="shared" si="116"/>
        <v>38129</v>
      </c>
      <c r="D2465" t="s">
        <v>11</v>
      </c>
      <c r="E2465" t="s">
        <v>12</v>
      </c>
      <c r="F2465" t="s">
        <v>246</v>
      </c>
      <c r="G2465" t="s">
        <v>4310</v>
      </c>
      <c r="H2465" t="s">
        <v>4311</v>
      </c>
      <c r="I2465" t="s">
        <v>4312</v>
      </c>
      <c r="J2465" t="s">
        <v>4313</v>
      </c>
      <c r="K2465" t="s">
        <v>4314</v>
      </c>
      <c r="L2465" s="12" t="s">
        <v>207</v>
      </c>
      <c r="M2465" s="12" t="s">
        <v>83</v>
      </c>
      <c r="N2465" s="12" t="s">
        <v>152</v>
      </c>
      <c r="O2465" s="12" t="s">
        <v>80</v>
      </c>
      <c r="P2465" s="12" t="s">
        <v>72</v>
      </c>
      <c r="Q2465" s="7" t="str">
        <f t="shared" si="115"/>
        <v>(2004,21,'2004.05.22',2,11,25,32,67,0),</v>
      </c>
      <c r="R2465" s="7" t="str">
        <f t="shared" si="117"/>
        <v>(2004,21,'2004.05.22',2,11,25,32,67),</v>
      </c>
    </row>
    <row r="2466" spans="1:18" x14ac:dyDescent="0.25">
      <c r="A2466" s="7" t="s">
        <v>4155</v>
      </c>
      <c r="B2466" s="8" t="s">
        <v>32</v>
      </c>
      <c r="C2466" s="10">
        <f t="shared" si="116"/>
        <v>38136</v>
      </c>
      <c r="D2466" t="s">
        <v>11</v>
      </c>
      <c r="E2466" t="s">
        <v>12</v>
      </c>
      <c r="F2466" t="s">
        <v>535</v>
      </c>
      <c r="G2466" t="s">
        <v>4305</v>
      </c>
      <c r="H2466" t="s">
        <v>4306</v>
      </c>
      <c r="I2466" t="s">
        <v>4307</v>
      </c>
      <c r="J2466" t="s">
        <v>4308</v>
      </c>
      <c r="K2466" t="s">
        <v>4309</v>
      </c>
      <c r="L2466" s="12" t="s">
        <v>108</v>
      </c>
      <c r="M2466" s="12" t="s">
        <v>33</v>
      </c>
      <c r="N2466" s="12" t="s">
        <v>34</v>
      </c>
      <c r="O2466" s="12" t="s">
        <v>72</v>
      </c>
      <c r="P2466" s="12" t="s">
        <v>56</v>
      </c>
      <c r="Q2466" s="7" t="str">
        <f t="shared" si="115"/>
        <v>(2004,22,'2004.05.29',1,24,49,67,71,0),</v>
      </c>
      <c r="R2466" s="7" t="str">
        <f t="shared" si="117"/>
        <v>(2004,22,'2004.05.29',1,24,49,67,71),</v>
      </c>
    </row>
    <row r="2467" spans="1:18" x14ac:dyDescent="0.25">
      <c r="A2467" s="7" t="s">
        <v>4155</v>
      </c>
      <c r="B2467" s="8" t="s">
        <v>163</v>
      </c>
      <c r="C2467" s="10">
        <f t="shared" si="116"/>
        <v>38143</v>
      </c>
      <c r="D2467" t="s">
        <v>168</v>
      </c>
      <c r="E2467" t="s">
        <v>4298</v>
      </c>
      <c r="F2467" t="s">
        <v>4299</v>
      </c>
      <c r="G2467" t="s">
        <v>4300</v>
      </c>
      <c r="H2467" t="s">
        <v>4301</v>
      </c>
      <c r="I2467" t="s">
        <v>4302</v>
      </c>
      <c r="J2467" t="s">
        <v>4303</v>
      </c>
      <c r="K2467" t="s">
        <v>4304</v>
      </c>
      <c r="L2467" s="12" t="s">
        <v>62</v>
      </c>
      <c r="M2467" s="12" t="s">
        <v>44</v>
      </c>
      <c r="N2467" s="12" t="s">
        <v>34</v>
      </c>
      <c r="O2467" s="12" t="s">
        <v>134</v>
      </c>
      <c r="P2467" s="12" t="s">
        <v>72</v>
      </c>
      <c r="Q2467" s="7" t="str">
        <f t="shared" si="115"/>
        <v>(2004,23,'2004.06.05',10,21,49,56,67,0),</v>
      </c>
      <c r="R2467" s="7" t="str">
        <f t="shared" si="117"/>
        <v>(2004,23,'2004.06.05',10,21,49,56,67),</v>
      </c>
    </row>
    <row r="2468" spans="1:18" x14ac:dyDescent="0.25">
      <c r="A2468" s="7" t="s">
        <v>4155</v>
      </c>
      <c r="B2468" s="8" t="s">
        <v>33</v>
      </c>
      <c r="C2468" s="10">
        <f t="shared" si="116"/>
        <v>38150</v>
      </c>
      <c r="D2468" t="s">
        <v>11</v>
      </c>
      <c r="E2468" t="s">
        <v>12</v>
      </c>
      <c r="F2468" t="s">
        <v>47</v>
      </c>
      <c r="G2468" t="s">
        <v>4293</v>
      </c>
      <c r="H2468" t="s">
        <v>4294</v>
      </c>
      <c r="I2468" t="s">
        <v>4295</v>
      </c>
      <c r="J2468" t="s">
        <v>4296</v>
      </c>
      <c r="K2468" t="s">
        <v>4297</v>
      </c>
      <c r="L2468" s="12" t="s">
        <v>168</v>
      </c>
      <c r="M2468" s="12" t="s">
        <v>55</v>
      </c>
      <c r="N2468" s="12" t="s">
        <v>36</v>
      </c>
      <c r="O2468" s="12" t="s">
        <v>10</v>
      </c>
      <c r="P2468" s="12" t="s">
        <v>23</v>
      </c>
      <c r="Q2468" s="7" t="str">
        <f t="shared" si="115"/>
        <v>(2004,24,'2004.06.12',4,19,38,40,60,0),</v>
      </c>
      <c r="R2468" s="7" t="str">
        <f t="shared" si="117"/>
        <v>(2004,24,'2004.06.12',4,19,38,40,60),</v>
      </c>
    </row>
    <row r="2469" spans="1:18" x14ac:dyDescent="0.25">
      <c r="A2469" s="7" t="s">
        <v>4155</v>
      </c>
      <c r="B2469" s="8" t="s">
        <v>152</v>
      </c>
      <c r="C2469" s="10">
        <f t="shared" si="116"/>
        <v>38157</v>
      </c>
      <c r="D2469" t="s">
        <v>11</v>
      </c>
      <c r="E2469" t="s">
        <v>12</v>
      </c>
      <c r="F2469" t="s">
        <v>142</v>
      </c>
      <c r="G2469" t="s">
        <v>4289</v>
      </c>
      <c r="H2469" t="s">
        <v>4290</v>
      </c>
      <c r="I2469" t="s">
        <v>4291</v>
      </c>
      <c r="J2469" t="s">
        <v>4292</v>
      </c>
      <c r="K2469" t="s">
        <v>3503</v>
      </c>
      <c r="L2469" s="12" t="s">
        <v>198</v>
      </c>
      <c r="M2469" s="12" t="s">
        <v>116</v>
      </c>
      <c r="N2469" s="12" t="s">
        <v>46</v>
      </c>
      <c r="O2469" s="12" t="s">
        <v>99</v>
      </c>
      <c r="P2469" s="12" t="s">
        <v>35</v>
      </c>
      <c r="Q2469" s="7" t="str">
        <f t="shared" si="115"/>
        <v>(2004,25,'2004.06.19',9,29,37,52,65,0),</v>
      </c>
      <c r="R2469" s="7" t="str">
        <f t="shared" si="117"/>
        <v>(2004,25,'2004.06.19',9,29,37,52,65),</v>
      </c>
    </row>
    <row r="2470" spans="1:18" x14ac:dyDescent="0.25">
      <c r="A2470" s="7" t="s">
        <v>4155</v>
      </c>
      <c r="B2470" s="8" t="s">
        <v>74</v>
      </c>
      <c r="C2470" s="10">
        <f t="shared" si="116"/>
        <v>38164</v>
      </c>
      <c r="D2470" t="s">
        <v>11</v>
      </c>
      <c r="E2470" t="s">
        <v>12</v>
      </c>
      <c r="F2470" t="s">
        <v>98</v>
      </c>
      <c r="G2470" t="s">
        <v>4285</v>
      </c>
      <c r="H2470" t="s">
        <v>4286</v>
      </c>
      <c r="I2470" t="s">
        <v>4287</v>
      </c>
      <c r="J2470" t="s">
        <v>4288</v>
      </c>
      <c r="K2470" t="s">
        <v>3489</v>
      </c>
      <c r="L2470" s="12" t="s">
        <v>24</v>
      </c>
      <c r="M2470" s="12" t="s">
        <v>45</v>
      </c>
      <c r="N2470" s="12" t="s">
        <v>122</v>
      </c>
      <c r="O2470" s="12" t="s">
        <v>248</v>
      </c>
      <c r="P2470" s="12" t="s">
        <v>143</v>
      </c>
      <c r="Q2470" s="7" t="str">
        <f t="shared" si="115"/>
        <v>(2004,26,'2004.06.26',39,43,51,63,77,0),</v>
      </c>
      <c r="R2470" s="7" t="str">
        <f t="shared" si="117"/>
        <v>(2004,26,'2004.06.26',39,43,51,63,77),</v>
      </c>
    </row>
    <row r="2471" spans="1:18" x14ac:dyDescent="0.25">
      <c r="A2471" s="7" t="s">
        <v>4155</v>
      </c>
      <c r="B2471" s="8" t="s">
        <v>135</v>
      </c>
      <c r="C2471" s="10">
        <f t="shared" si="116"/>
        <v>38171</v>
      </c>
      <c r="D2471" t="s">
        <v>11</v>
      </c>
      <c r="E2471" t="s">
        <v>12</v>
      </c>
      <c r="F2471" t="s">
        <v>80</v>
      </c>
      <c r="G2471" t="s">
        <v>4280</v>
      </c>
      <c r="H2471" t="s">
        <v>4281</v>
      </c>
      <c r="I2471" t="s">
        <v>4282</v>
      </c>
      <c r="J2471" t="s">
        <v>4283</v>
      </c>
      <c r="K2471" t="s">
        <v>4284</v>
      </c>
      <c r="L2471" s="12" t="s">
        <v>83</v>
      </c>
      <c r="M2471" s="12" t="s">
        <v>74</v>
      </c>
      <c r="N2471" s="12" t="s">
        <v>64</v>
      </c>
      <c r="O2471" s="12" t="s">
        <v>122</v>
      </c>
      <c r="P2471" s="12" t="s">
        <v>468</v>
      </c>
      <c r="Q2471" s="7" t="str">
        <f t="shared" si="115"/>
        <v>(2004,27,'2004.07.03',11,26,35,51,85,0),</v>
      </c>
      <c r="R2471" s="7" t="str">
        <f t="shared" si="117"/>
        <v>(2004,27,'2004.07.03',11,26,35,51,85),</v>
      </c>
    </row>
    <row r="2472" spans="1:18" x14ac:dyDescent="0.25">
      <c r="A2472" s="7" t="s">
        <v>4155</v>
      </c>
      <c r="B2472" s="8" t="s">
        <v>126</v>
      </c>
      <c r="C2472" s="10">
        <f t="shared" si="116"/>
        <v>38178</v>
      </c>
      <c r="D2472" t="s">
        <v>11</v>
      </c>
      <c r="E2472" t="s">
        <v>12</v>
      </c>
      <c r="F2472" t="s">
        <v>126</v>
      </c>
      <c r="G2472" t="s">
        <v>4275</v>
      </c>
      <c r="H2472" t="s">
        <v>4276</v>
      </c>
      <c r="I2472" t="s">
        <v>4277</v>
      </c>
      <c r="J2472" t="s">
        <v>4278</v>
      </c>
      <c r="K2472" t="s">
        <v>4279</v>
      </c>
      <c r="L2472" s="12" t="s">
        <v>20</v>
      </c>
      <c r="M2472" s="12" t="s">
        <v>175</v>
      </c>
      <c r="N2472" s="12" t="s">
        <v>124</v>
      </c>
      <c r="O2472" s="12" t="s">
        <v>308</v>
      </c>
      <c r="P2472" s="12" t="s">
        <v>208</v>
      </c>
      <c r="Q2472" s="7" t="str">
        <f t="shared" si="115"/>
        <v>(2004,28,'2004.07.10',33,55,62,86,88,0),</v>
      </c>
      <c r="R2472" s="7" t="str">
        <f t="shared" si="117"/>
        <v>(2004,28,'2004.07.10',33,55,62,86,88),</v>
      </c>
    </row>
    <row r="2473" spans="1:18" x14ac:dyDescent="0.25">
      <c r="A2473" s="7" t="s">
        <v>4155</v>
      </c>
      <c r="B2473" s="8" t="s">
        <v>116</v>
      </c>
      <c r="C2473" s="10">
        <f t="shared" si="116"/>
        <v>38185</v>
      </c>
      <c r="D2473" t="s">
        <v>11</v>
      </c>
      <c r="E2473" t="s">
        <v>12</v>
      </c>
      <c r="F2473" t="s">
        <v>22</v>
      </c>
      <c r="G2473" t="s">
        <v>4271</v>
      </c>
      <c r="H2473" t="s">
        <v>2643</v>
      </c>
      <c r="I2473" t="s">
        <v>4272</v>
      </c>
      <c r="J2473" t="s">
        <v>4273</v>
      </c>
      <c r="K2473" t="s">
        <v>4274</v>
      </c>
      <c r="L2473" s="12" t="s">
        <v>62</v>
      </c>
      <c r="M2473" s="12" t="s">
        <v>135</v>
      </c>
      <c r="N2473" s="12" t="s">
        <v>80</v>
      </c>
      <c r="O2473" s="12" t="s">
        <v>82</v>
      </c>
      <c r="P2473" s="12" t="s">
        <v>106</v>
      </c>
      <c r="Q2473" s="7" t="str">
        <f t="shared" si="115"/>
        <v>(2004,29,'2004.07.17',10,27,32,59,75,0),</v>
      </c>
      <c r="R2473" s="7" t="str">
        <f t="shared" si="117"/>
        <v>(2004,29,'2004.07.17',10,27,32,59,75),</v>
      </c>
    </row>
    <row r="2474" spans="1:18" x14ac:dyDescent="0.25">
      <c r="A2474" s="7" t="s">
        <v>4155</v>
      </c>
      <c r="B2474" s="8" t="s">
        <v>107</v>
      </c>
      <c r="C2474" s="10">
        <f t="shared" si="116"/>
        <v>38192</v>
      </c>
      <c r="D2474" t="s">
        <v>11</v>
      </c>
      <c r="E2474" t="s">
        <v>12</v>
      </c>
      <c r="F2474" t="s">
        <v>143</v>
      </c>
      <c r="G2474" t="s">
        <v>4266</v>
      </c>
      <c r="H2474" t="s">
        <v>4267</v>
      </c>
      <c r="I2474" t="s">
        <v>4268</v>
      </c>
      <c r="J2474" t="s">
        <v>4269</v>
      </c>
      <c r="K2474" t="s">
        <v>4270</v>
      </c>
      <c r="L2474" s="12" t="s">
        <v>198</v>
      </c>
      <c r="M2474" s="12" t="s">
        <v>163</v>
      </c>
      <c r="N2474" s="12" t="s">
        <v>46</v>
      </c>
      <c r="O2474" s="12" t="s">
        <v>10</v>
      </c>
      <c r="P2474" s="12" t="s">
        <v>125</v>
      </c>
      <c r="Q2474" s="7" t="str">
        <f t="shared" si="115"/>
        <v>(2004,30,'2004.07.24',9,23,37,40,83,0),</v>
      </c>
      <c r="R2474" s="7" t="str">
        <f t="shared" si="117"/>
        <v>(2004,30,'2004.07.24',9,23,37,40,83),</v>
      </c>
    </row>
    <row r="2475" spans="1:18" x14ac:dyDescent="0.25">
      <c r="A2475" s="7" t="s">
        <v>4155</v>
      </c>
      <c r="B2475" s="8" t="s">
        <v>71</v>
      </c>
      <c r="C2475" s="10">
        <f t="shared" si="116"/>
        <v>38199</v>
      </c>
      <c r="D2475" t="s">
        <v>11</v>
      </c>
      <c r="E2475" t="s">
        <v>12</v>
      </c>
      <c r="F2475" t="s">
        <v>2131</v>
      </c>
      <c r="G2475" t="s">
        <v>4261</v>
      </c>
      <c r="H2475" t="s">
        <v>4262</v>
      </c>
      <c r="I2475" t="s">
        <v>4263</v>
      </c>
      <c r="J2475" t="s">
        <v>4264</v>
      </c>
      <c r="K2475" t="s">
        <v>4265</v>
      </c>
      <c r="L2475" s="12" t="s">
        <v>19</v>
      </c>
      <c r="M2475" s="12" t="s">
        <v>74</v>
      </c>
      <c r="N2475" s="12" t="s">
        <v>34</v>
      </c>
      <c r="O2475" s="12" t="s">
        <v>92</v>
      </c>
      <c r="P2475" s="12" t="s">
        <v>73</v>
      </c>
      <c r="Q2475" s="7" t="str">
        <f t="shared" si="115"/>
        <v>(2004,31,'2004.07.31',18,26,49,68,76,0),</v>
      </c>
      <c r="R2475" s="7" t="str">
        <f t="shared" si="117"/>
        <v>(2004,31,'2004.07.31',18,26,49,68,76),</v>
      </c>
    </row>
    <row r="2476" spans="1:18" x14ac:dyDescent="0.25">
      <c r="A2476" s="7" t="s">
        <v>4155</v>
      </c>
      <c r="B2476" s="8" t="s">
        <v>80</v>
      </c>
      <c r="C2476" s="10">
        <f t="shared" si="116"/>
        <v>38206</v>
      </c>
      <c r="D2476" t="s">
        <v>11</v>
      </c>
      <c r="E2476" t="s">
        <v>12</v>
      </c>
      <c r="F2476" t="s">
        <v>36</v>
      </c>
      <c r="G2476" t="s">
        <v>4256</v>
      </c>
      <c r="H2476" t="s">
        <v>4257</v>
      </c>
      <c r="I2476" t="s">
        <v>4258</v>
      </c>
      <c r="J2476" t="s">
        <v>4259</v>
      </c>
      <c r="K2476" t="s">
        <v>4260</v>
      </c>
      <c r="L2476" s="12" t="s">
        <v>270</v>
      </c>
      <c r="M2476" s="12" t="s">
        <v>152</v>
      </c>
      <c r="N2476" s="12" t="s">
        <v>80</v>
      </c>
      <c r="O2476" s="12" t="s">
        <v>45</v>
      </c>
      <c r="P2476" s="12" t="s">
        <v>622</v>
      </c>
      <c r="Q2476" s="7" t="str">
        <f t="shared" si="115"/>
        <v>(2004,32,'2004.08.07',6,25,32,43,82,0),</v>
      </c>
      <c r="R2476" s="7" t="str">
        <f t="shared" si="117"/>
        <v>(2004,32,'2004.08.07',6,25,32,43,82),</v>
      </c>
    </row>
    <row r="2477" spans="1:18" x14ac:dyDescent="0.25">
      <c r="A2477" s="7" t="s">
        <v>4155</v>
      </c>
      <c r="B2477" s="8" t="s">
        <v>20</v>
      </c>
      <c r="C2477" s="10">
        <f t="shared" si="116"/>
        <v>38213</v>
      </c>
      <c r="D2477" t="s">
        <v>11</v>
      </c>
      <c r="E2477" t="s">
        <v>12</v>
      </c>
      <c r="F2477" t="s">
        <v>175</v>
      </c>
      <c r="G2477" t="s">
        <v>4252</v>
      </c>
      <c r="H2477" t="s">
        <v>1878</v>
      </c>
      <c r="I2477" t="s">
        <v>4253</v>
      </c>
      <c r="J2477" t="s">
        <v>4254</v>
      </c>
      <c r="K2477" t="s">
        <v>4255</v>
      </c>
      <c r="L2477" s="12" t="s">
        <v>74</v>
      </c>
      <c r="M2477" s="12" t="s">
        <v>45</v>
      </c>
      <c r="N2477" s="12" t="s">
        <v>150</v>
      </c>
      <c r="O2477" s="12" t="s">
        <v>214</v>
      </c>
      <c r="P2477" s="12" t="s">
        <v>56</v>
      </c>
      <c r="Q2477" s="7" t="str">
        <f t="shared" si="115"/>
        <v>(2004,33,'2004.08.14',26,43,57,64,71,0),</v>
      </c>
      <c r="R2477" s="7" t="str">
        <f t="shared" si="117"/>
        <v>(2004,33,'2004.08.14',26,43,57,64,71),</v>
      </c>
    </row>
    <row r="2478" spans="1:18" x14ac:dyDescent="0.25">
      <c r="A2478" s="7" t="s">
        <v>4155</v>
      </c>
      <c r="B2478" s="8" t="s">
        <v>25</v>
      </c>
      <c r="C2478" s="10">
        <f t="shared" si="116"/>
        <v>38220</v>
      </c>
      <c r="D2478" t="s">
        <v>11</v>
      </c>
      <c r="E2478" t="s">
        <v>12</v>
      </c>
      <c r="F2478" t="s">
        <v>24</v>
      </c>
      <c r="G2478" t="s">
        <v>4247</v>
      </c>
      <c r="H2478" t="s">
        <v>4248</v>
      </c>
      <c r="I2478" t="s">
        <v>4249</v>
      </c>
      <c r="J2478" t="s">
        <v>4250</v>
      </c>
      <c r="K2478" t="s">
        <v>4251</v>
      </c>
      <c r="L2478" s="12" t="s">
        <v>53</v>
      </c>
      <c r="M2478" s="12" t="s">
        <v>142</v>
      </c>
      <c r="N2478" s="12" t="s">
        <v>192</v>
      </c>
      <c r="O2478" s="12" t="s">
        <v>143</v>
      </c>
      <c r="P2478" s="12" t="s">
        <v>125</v>
      </c>
      <c r="Q2478" s="7" t="str">
        <f t="shared" si="115"/>
        <v>(2004,34,'2004.08.21',7,44,46,77,83,0),</v>
      </c>
      <c r="R2478" s="7" t="str">
        <f t="shared" si="117"/>
        <v>(2004,34,'2004.08.21',7,44,46,77,83),</v>
      </c>
    </row>
    <row r="2479" spans="1:18" x14ac:dyDescent="0.25">
      <c r="A2479" s="7" t="s">
        <v>4155</v>
      </c>
      <c r="B2479" s="8" t="s">
        <v>64</v>
      </c>
      <c r="C2479" s="10">
        <f t="shared" si="116"/>
        <v>38227</v>
      </c>
      <c r="D2479" t="s">
        <v>11</v>
      </c>
      <c r="E2479" t="s">
        <v>12</v>
      </c>
      <c r="F2479" t="s">
        <v>21</v>
      </c>
      <c r="G2479" t="s">
        <v>4242</v>
      </c>
      <c r="H2479" t="s">
        <v>4243</v>
      </c>
      <c r="I2479" t="s">
        <v>4244</v>
      </c>
      <c r="J2479" t="s">
        <v>4245</v>
      </c>
      <c r="K2479" t="s">
        <v>4246</v>
      </c>
      <c r="L2479" s="12" t="s">
        <v>43</v>
      </c>
      <c r="M2479" s="12" t="s">
        <v>36</v>
      </c>
      <c r="N2479" s="12" t="s">
        <v>22</v>
      </c>
      <c r="O2479" s="12" t="s">
        <v>134</v>
      </c>
      <c r="P2479" s="12" t="s">
        <v>23</v>
      </c>
      <c r="Q2479" s="7" t="str">
        <f t="shared" si="115"/>
        <v>(2004,35,'2004.08.28',16,38,48,56,60,0),</v>
      </c>
      <c r="R2479" s="7" t="str">
        <f t="shared" si="117"/>
        <v>(2004,35,'2004.08.28',16,38,48,56,60),</v>
      </c>
    </row>
    <row r="2480" spans="1:18" x14ac:dyDescent="0.25">
      <c r="A2480" s="7" t="s">
        <v>4155</v>
      </c>
      <c r="B2480" s="8" t="s">
        <v>21</v>
      </c>
      <c r="C2480" s="10">
        <f t="shared" si="116"/>
        <v>38234</v>
      </c>
      <c r="D2480" t="s">
        <v>11</v>
      </c>
      <c r="E2480" t="s">
        <v>12</v>
      </c>
      <c r="F2480" t="s">
        <v>25</v>
      </c>
      <c r="G2480" t="s">
        <v>4237</v>
      </c>
      <c r="H2480" t="s">
        <v>4238</v>
      </c>
      <c r="I2480" t="s">
        <v>4239</v>
      </c>
      <c r="J2480" t="s">
        <v>4240</v>
      </c>
      <c r="K2480" t="s">
        <v>4241</v>
      </c>
      <c r="L2480" s="12" t="s">
        <v>108</v>
      </c>
      <c r="M2480" s="12" t="s">
        <v>80</v>
      </c>
      <c r="N2480" s="12" t="s">
        <v>20</v>
      </c>
      <c r="O2480" s="12" t="s">
        <v>10</v>
      </c>
      <c r="P2480" s="12" t="s">
        <v>47</v>
      </c>
      <c r="Q2480" s="7" t="str">
        <f t="shared" si="115"/>
        <v>(2004,36,'2004.09.04',1,32,33,40,69,0),</v>
      </c>
      <c r="R2480" s="7" t="str">
        <f t="shared" si="117"/>
        <v>(2004,36,'2004.09.04',1,32,33,40,69),</v>
      </c>
    </row>
    <row r="2481" spans="1:18" x14ac:dyDescent="0.25">
      <c r="A2481" s="7" t="s">
        <v>4155</v>
      </c>
      <c r="B2481" s="8" t="s">
        <v>46</v>
      </c>
      <c r="C2481" s="10">
        <f t="shared" si="116"/>
        <v>38241</v>
      </c>
      <c r="D2481" t="s">
        <v>11</v>
      </c>
      <c r="E2481" t="s">
        <v>12</v>
      </c>
      <c r="F2481" t="s">
        <v>90</v>
      </c>
      <c r="G2481" t="s">
        <v>4232</v>
      </c>
      <c r="H2481" t="s">
        <v>4233</v>
      </c>
      <c r="I2481" t="s">
        <v>4234</v>
      </c>
      <c r="J2481" t="s">
        <v>4235</v>
      </c>
      <c r="K2481" t="s">
        <v>4236</v>
      </c>
      <c r="L2481" s="12" t="s">
        <v>270</v>
      </c>
      <c r="M2481" s="12" t="s">
        <v>106</v>
      </c>
      <c r="N2481" s="12" t="s">
        <v>622</v>
      </c>
      <c r="O2481" s="12" t="s">
        <v>125</v>
      </c>
      <c r="P2481" s="12" t="s">
        <v>308</v>
      </c>
      <c r="Q2481" s="7" t="str">
        <f t="shared" si="115"/>
        <v>(2004,37,'2004.09.11',6,75,82,83,86,0),</v>
      </c>
      <c r="R2481" s="7" t="str">
        <f t="shared" si="117"/>
        <v>(2004,37,'2004.09.11',6,75,82,83,86),</v>
      </c>
    </row>
    <row r="2482" spans="1:18" x14ac:dyDescent="0.25">
      <c r="A2482" s="7" t="s">
        <v>4155</v>
      </c>
      <c r="B2482" s="8" t="s">
        <v>36</v>
      </c>
      <c r="C2482" s="10">
        <f t="shared" si="116"/>
        <v>38248</v>
      </c>
      <c r="D2482" t="s">
        <v>11</v>
      </c>
      <c r="E2482" t="s">
        <v>12</v>
      </c>
      <c r="F2482" t="s">
        <v>98</v>
      </c>
      <c r="G2482" t="s">
        <v>4228</v>
      </c>
      <c r="H2482" t="s">
        <v>4229</v>
      </c>
      <c r="I2482" t="s">
        <v>4230</v>
      </c>
      <c r="J2482" t="s">
        <v>4231</v>
      </c>
      <c r="K2482" t="s">
        <v>2997</v>
      </c>
      <c r="L2482" s="12" t="s">
        <v>31</v>
      </c>
      <c r="M2482" s="12" t="s">
        <v>74</v>
      </c>
      <c r="N2482" s="12" t="s">
        <v>47</v>
      </c>
      <c r="O2482" s="12" t="s">
        <v>200</v>
      </c>
      <c r="P2482" s="12" t="s">
        <v>56</v>
      </c>
      <c r="Q2482" s="7" t="str">
        <f t="shared" si="115"/>
        <v>(2004,38,'2004.09.18',12,26,69,70,71,0),</v>
      </c>
      <c r="R2482" s="7" t="str">
        <f t="shared" si="117"/>
        <v>(2004,38,'2004.09.18',12,26,69,70,71),</v>
      </c>
    </row>
    <row r="2483" spans="1:18" x14ac:dyDescent="0.25">
      <c r="A2483" s="7" t="s">
        <v>4155</v>
      </c>
      <c r="B2483" s="8" t="s">
        <v>24</v>
      </c>
      <c r="C2483" s="10">
        <f t="shared" si="116"/>
        <v>38255</v>
      </c>
      <c r="D2483" t="s">
        <v>11</v>
      </c>
      <c r="E2483" t="s">
        <v>12</v>
      </c>
      <c r="F2483" t="s">
        <v>169</v>
      </c>
      <c r="G2483" t="s">
        <v>4224</v>
      </c>
      <c r="H2483" t="s">
        <v>4225</v>
      </c>
      <c r="I2483" t="s">
        <v>4226</v>
      </c>
      <c r="J2483" t="s">
        <v>4227</v>
      </c>
      <c r="K2483" t="s">
        <v>1614</v>
      </c>
      <c r="L2483" s="12" t="s">
        <v>19</v>
      </c>
      <c r="M2483" s="12" t="s">
        <v>135</v>
      </c>
      <c r="N2483" s="12" t="s">
        <v>71</v>
      </c>
      <c r="O2483" s="12" t="s">
        <v>36</v>
      </c>
      <c r="P2483" s="12" t="s">
        <v>142</v>
      </c>
      <c r="Q2483" s="7" t="str">
        <f t="shared" si="115"/>
        <v>(2004,39,'2004.09.25',18,27,31,38,44,0),</v>
      </c>
      <c r="R2483" s="7" t="str">
        <f t="shared" si="117"/>
        <v>(2004,39,'2004.09.25',18,27,31,38,44),</v>
      </c>
    </row>
    <row r="2484" spans="1:18" x14ac:dyDescent="0.25">
      <c r="A2484" s="7" t="s">
        <v>4155</v>
      </c>
      <c r="B2484" s="8" t="s">
        <v>10</v>
      </c>
      <c r="C2484" s="10">
        <f t="shared" si="116"/>
        <v>38262</v>
      </c>
      <c r="D2484" t="s">
        <v>11</v>
      </c>
      <c r="E2484" t="s">
        <v>12</v>
      </c>
      <c r="F2484" t="s">
        <v>152</v>
      </c>
      <c r="G2484" t="s">
        <v>4220</v>
      </c>
      <c r="H2484" t="s">
        <v>4221</v>
      </c>
      <c r="I2484" t="s">
        <v>4222</v>
      </c>
      <c r="J2484" t="s">
        <v>4223</v>
      </c>
      <c r="K2484" t="s">
        <v>3650</v>
      </c>
      <c r="L2484" s="12" t="s">
        <v>71</v>
      </c>
      <c r="M2484" s="12" t="s">
        <v>80</v>
      </c>
      <c r="N2484" s="12" t="s">
        <v>142</v>
      </c>
      <c r="O2484" s="12" t="s">
        <v>92</v>
      </c>
      <c r="P2484" s="12" t="s">
        <v>106</v>
      </c>
      <c r="Q2484" s="7" t="str">
        <f t="shared" si="115"/>
        <v>(2004,40,'2004.10.02',31,32,44,68,75,0),</v>
      </c>
      <c r="R2484" s="7" t="str">
        <f t="shared" si="117"/>
        <v>(2004,40,'2004.10.02',31,32,44,68,75),</v>
      </c>
    </row>
    <row r="2485" spans="1:18" x14ac:dyDescent="0.25">
      <c r="A2485" s="7" t="s">
        <v>4155</v>
      </c>
      <c r="B2485" s="8" t="s">
        <v>13</v>
      </c>
      <c r="C2485" s="10">
        <f t="shared" si="116"/>
        <v>38269</v>
      </c>
      <c r="D2485" t="s">
        <v>108</v>
      </c>
      <c r="E2485" t="s">
        <v>4213</v>
      </c>
      <c r="F2485" t="s">
        <v>4214</v>
      </c>
      <c r="G2485" t="s">
        <v>4215</v>
      </c>
      <c r="H2485" t="s">
        <v>4216</v>
      </c>
      <c r="I2485" t="s">
        <v>4217</v>
      </c>
      <c r="J2485" t="s">
        <v>4218</v>
      </c>
      <c r="K2485" t="s">
        <v>4219</v>
      </c>
      <c r="L2485" s="12" t="s">
        <v>207</v>
      </c>
      <c r="M2485" s="12" t="s">
        <v>89</v>
      </c>
      <c r="N2485" s="12" t="s">
        <v>90</v>
      </c>
      <c r="O2485" s="12" t="s">
        <v>21</v>
      </c>
      <c r="P2485" s="12" t="s">
        <v>239</v>
      </c>
      <c r="Q2485" s="7" t="str">
        <f t="shared" si="115"/>
        <v>(2004,41,'2004.10.09',2,5,17,36,73,0),</v>
      </c>
      <c r="R2485" s="7" t="str">
        <f t="shared" si="117"/>
        <v>(2004,41,'2004.10.09',2,5,17,36,73),</v>
      </c>
    </row>
    <row r="2486" spans="1:18" x14ac:dyDescent="0.25">
      <c r="A2486" s="7" t="s">
        <v>4155</v>
      </c>
      <c r="B2486" s="8" t="s">
        <v>98</v>
      </c>
      <c r="C2486" s="10">
        <f t="shared" si="116"/>
        <v>38276</v>
      </c>
      <c r="D2486" t="s">
        <v>11</v>
      </c>
      <c r="E2486" t="s">
        <v>12</v>
      </c>
      <c r="F2486" t="s">
        <v>175</v>
      </c>
      <c r="G2486" t="s">
        <v>4208</v>
      </c>
      <c r="H2486" t="s">
        <v>4209</v>
      </c>
      <c r="I2486" t="s">
        <v>4210</v>
      </c>
      <c r="J2486" t="s">
        <v>4211</v>
      </c>
      <c r="K2486" t="s">
        <v>4212</v>
      </c>
      <c r="L2486" s="12" t="s">
        <v>53</v>
      </c>
      <c r="M2486" s="12" t="s">
        <v>62</v>
      </c>
      <c r="N2486" s="12" t="s">
        <v>199</v>
      </c>
      <c r="O2486" s="12" t="s">
        <v>134</v>
      </c>
      <c r="P2486" s="12" t="s">
        <v>91</v>
      </c>
      <c r="Q2486" s="7" t="str">
        <f t="shared" si="115"/>
        <v>(2004,42,'2004.10.16',7,10,53,56,61,0),</v>
      </c>
      <c r="R2486" s="7" t="str">
        <f t="shared" si="117"/>
        <v>(2004,42,'2004.10.16',7,10,53,56,61),</v>
      </c>
    </row>
    <row r="2487" spans="1:18" x14ac:dyDescent="0.25">
      <c r="A2487" s="7" t="s">
        <v>4155</v>
      </c>
      <c r="B2487" s="8" t="s">
        <v>45</v>
      </c>
      <c r="C2487" s="10">
        <f t="shared" si="116"/>
        <v>38283</v>
      </c>
      <c r="D2487" t="s">
        <v>108</v>
      </c>
      <c r="E2487" t="s">
        <v>4203</v>
      </c>
      <c r="F2487" t="s">
        <v>32</v>
      </c>
      <c r="G2487" t="s">
        <v>4204</v>
      </c>
      <c r="H2487" t="s">
        <v>4205</v>
      </c>
      <c r="I2487" t="s">
        <v>4206</v>
      </c>
      <c r="J2487" t="s">
        <v>4207</v>
      </c>
      <c r="K2487" t="s">
        <v>3715</v>
      </c>
      <c r="L2487" s="12" t="s">
        <v>108</v>
      </c>
      <c r="M2487" s="12" t="s">
        <v>135</v>
      </c>
      <c r="N2487" s="12" t="s">
        <v>116</v>
      </c>
      <c r="O2487" s="12" t="s">
        <v>245</v>
      </c>
      <c r="P2487" s="12" t="s">
        <v>63</v>
      </c>
      <c r="Q2487" s="7" t="str">
        <f t="shared" si="115"/>
        <v>(2004,43,'2004.10.23',1,27,29,74,78,0),</v>
      </c>
      <c r="R2487" s="7" t="str">
        <f t="shared" si="117"/>
        <v>(2004,43,'2004.10.23',1,27,29,74,78),</v>
      </c>
    </row>
    <row r="2488" spans="1:18" x14ac:dyDescent="0.25">
      <c r="A2488" s="7" t="s">
        <v>4155</v>
      </c>
      <c r="B2488" s="8" t="s">
        <v>142</v>
      </c>
      <c r="C2488" s="10">
        <f t="shared" si="116"/>
        <v>38290</v>
      </c>
      <c r="D2488" t="s">
        <v>11</v>
      </c>
      <c r="E2488" t="s">
        <v>12</v>
      </c>
      <c r="F2488" t="s">
        <v>135</v>
      </c>
      <c r="G2488" t="s">
        <v>4198</v>
      </c>
      <c r="H2488" t="s">
        <v>4199</v>
      </c>
      <c r="I2488" t="s">
        <v>4200</v>
      </c>
      <c r="J2488" t="s">
        <v>4201</v>
      </c>
      <c r="K2488" t="s">
        <v>4202</v>
      </c>
      <c r="L2488" s="12" t="s">
        <v>134</v>
      </c>
      <c r="M2488" s="12" t="s">
        <v>72</v>
      </c>
      <c r="N2488" s="12" t="s">
        <v>201</v>
      </c>
      <c r="O2488" s="12" t="s">
        <v>106</v>
      </c>
      <c r="P2488" s="12" t="s">
        <v>301</v>
      </c>
      <c r="Q2488" s="7" t="str">
        <f t="shared" si="115"/>
        <v>(2004,44,'2004.10.30',56,67,72,75,80,0),</v>
      </c>
      <c r="R2488" s="7" t="str">
        <f t="shared" si="117"/>
        <v>(2004,44,'2004.10.30',56,67,72,75,80),</v>
      </c>
    </row>
    <row r="2489" spans="1:18" x14ac:dyDescent="0.25">
      <c r="A2489" s="7" t="s">
        <v>4155</v>
      </c>
      <c r="B2489" s="8" t="s">
        <v>133</v>
      </c>
      <c r="C2489" s="10">
        <f t="shared" si="116"/>
        <v>38297</v>
      </c>
      <c r="D2489" t="s">
        <v>11</v>
      </c>
      <c r="E2489" t="s">
        <v>12</v>
      </c>
      <c r="F2489" t="s">
        <v>135</v>
      </c>
      <c r="G2489" t="s">
        <v>4193</v>
      </c>
      <c r="H2489" t="s">
        <v>4194</v>
      </c>
      <c r="I2489" t="s">
        <v>4195</v>
      </c>
      <c r="J2489" t="s">
        <v>4196</v>
      </c>
      <c r="K2489" t="s">
        <v>4197</v>
      </c>
      <c r="L2489" s="12" t="s">
        <v>126</v>
      </c>
      <c r="M2489" s="12" t="s">
        <v>36</v>
      </c>
      <c r="N2489" s="12" t="s">
        <v>81</v>
      </c>
      <c r="O2489" s="12" t="s">
        <v>124</v>
      </c>
      <c r="P2489" s="12" t="s">
        <v>151</v>
      </c>
      <c r="Q2489" s="7" t="str">
        <f t="shared" si="115"/>
        <v>(2004,45,'2004.11.06',28,38,47,62,79,0),</v>
      </c>
      <c r="R2489" s="7" t="str">
        <f t="shared" si="117"/>
        <v>(2004,45,'2004.11.06',28,38,47,62,79),</v>
      </c>
    </row>
    <row r="2490" spans="1:18" x14ac:dyDescent="0.25">
      <c r="A2490" s="7" t="s">
        <v>4155</v>
      </c>
      <c r="B2490" s="8" t="s">
        <v>192</v>
      </c>
      <c r="C2490" s="10">
        <f t="shared" si="116"/>
        <v>38304</v>
      </c>
      <c r="D2490" t="s">
        <v>11</v>
      </c>
      <c r="E2490" t="s">
        <v>12</v>
      </c>
      <c r="F2490" t="s">
        <v>13</v>
      </c>
      <c r="G2490" t="s">
        <v>4189</v>
      </c>
      <c r="H2490" t="s">
        <v>3039</v>
      </c>
      <c r="I2490" t="s">
        <v>4190</v>
      </c>
      <c r="J2490" t="s">
        <v>4191</v>
      </c>
      <c r="K2490" t="s">
        <v>4192</v>
      </c>
      <c r="L2490" s="12" t="s">
        <v>163</v>
      </c>
      <c r="M2490" s="12" t="s">
        <v>81</v>
      </c>
      <c r="N2490" s="12" t="s">
        <v>91</v>
      </c>
      <c r="O2490" s="12" t="s">
        <v>47</v>
      </c>
      <c r="P2490" s="12" t="s">
        <v>622</v>
      </c>
      <c r="Q2490" s="7" t="str">
        <f t="shared" si="115"/>
        <v>(2004,46,'2004.11.13',23,47,61,69,82,0),</v>
      </c>
      <c r="R2490" s="7" t="str">
        <f t="shared" si="117"/>
        <v>(2004,46,'2004.11.13',23,47,61,69,82),</v>
      </c>
    </row>
    <row r="2491" spans="1:18" x14ac:dyDescent="0.25">
      <c r="A2491" s="7" t="s">
        <v>4155</v>
      </c>
      <c r="B2491" s="8" t="s">
        <v>81</v>
      </c>
      <c r="C2491" s="10">
        <f t="shared" si="116"/>
        <v>38311</v>
      </c>
      <c r="D2491" t="s">
        <v>11</v>
      </c>
      <c r="E2491" t="s">
        <v>12</v>
      </c>
      <c r="F2491" t="s">
        <v>34</v>
      </c>
      <c r="G2491" t="s">
        <v>4184</v>
      </c>
      <c r="H2491" t="s">
        <v>4185</v>
      </c>
      <c r="I2491" t="s">
        <v>4186</v>
      </c>
      <c r="J2491" t="s">
        <v>4187</v>
      </c>
      <c r="K2491" t="s">
        <v>4188</v>
      </c>
      <c r="L2491" s="12" t="s">
        <v>135</v>
      </c>
      <c r="M2491" s="12" t="s">
        <v>116</v>
      </c>
      <c r="N2491" s="12" t="s">
        <v>25</v>
      </c>
      <c r="O2491" s="12" t="s">
        <v>46</v>
      </c>
      <c r="P2491" s="12" t="s">
        <v>82</v>
      </c>
      <c r="Q2491" s="7" t="str">
        <f t="shared" si="115"/>
        <v>(2004,47,'2004.11.20',27,29,34,37,59,0),</v>
      </c>
      <c r="R2491" s="7" t="str">
        <f t="shared" si="117"/>
        <v>(2004,47,'2004.11.20',27,29,34,37,59),</v>
      </c>
    </row>
    <row r="2492" spans="1:18" x14ac:dyDescent="0.25">
      <c r="A2492" s="7" t="s">
        <v>4155</v>
      </c>
      <c r="B2492" s="8" t="s">
        <v>22</v>
      </c>
      <c r="C2492" s="10">
        <f t="shared" si="116"/>
        <v>38318</v>
      </c>
      <c r="D2492" t="s">
        <v>11</v>
      </c>
      <c r="E2492" t="s">
        <v>12</v>
      </c>
      <c r="F2492" t="s">
        <v>74</v>
      </c>
      <c r="G2492" t="s">
        <v>4180</v>
      </c>
      <c r="H2492" t="s">
        <v>4181</v>
      </c>
      <c r="I2492" t="s">
        <v>4182</v>
      </c>
      <c r="J2492" t="s">
        <v>4183</v>
      </c>
      <c r="K2492" t="s">
        <v>3758</v>
      </c>
      <c r="L2492" s="12" t="s">
        <v>34</v>
      </c>
      <c r="M2492" s="12" t="s">
        <v>91</v>
      </c>
      <c r="N2492" s="12" t="s">
        <v>233</v>
      </c>
      <c r="O2492" s="12" t="s">
        <v>47</v>
      </c>
      <c r="P2492" s="12" t="s">
        <v>106</v>
      </c>
      <c r="Q2492" s="7" t="str">
        <f t="shared" si="115"/>
        <v>(2004,48,'2004.11.27',49,61,66,69,75,0),</v>
      </c>
      <c r="R2492" s="7" t="str">
        <f t="shared" si="117"/>
        <v>(2004,48,'2004.11.27',49,61,66,69,75),</v>
      </c>
    </row>
    <row r="2493" spans="1:18" x14ac:dyDescent="0.25">
      <c r="A2493" s="7" t="s">
        <v>4155</v>
      </c>
      <c r="B2493" s="8" t="s">
        <v>34</v>
      </c>
      <c r="C2493" s="10">
        <f t="shared" si="116"/>
        <v>38325</v>
      </c>
      <c r="D2493" t="s">
        <v>11</v>
      </c>
      <c r="E2493" t="s">
        <v>12</v>
      </c>
      <c r="F2493" t="s">
        <v>246</v>
      </c>
      <c r="G2493" t="s">
        <v>4175</v>
      </c>
      <c r="H2493" t="s">
        <v>4176</v>
      </c>
      <c r="I2493" t="s">
        <v>4177</v>
      </c>
      <c r="J2493" t="s">
        <v>4178</v>
      </c>
      <c r="K2493" t="s">
        <v>4179</v>
      </c>
      <c r="L2493" s="12" t="s">
        <v>83</v>
      </c>
      <c r="M2493" s="12" t="s">
        <v>65</v>
      </c>
      <c r="N2493" s="12" t="s">
        <v>32</v>
      </c>
      <c r="O2493" s="12" t="s">
        <v>36</v>
      </c>
      <c r="P2493" s="12" t="s">
        <v>81</v>
      </c>
      <c r="Q2493" s="7" t="str">
        <f t="shared" si="115"/>
        <v>(2004,49,'2004.12.04',11,13,22,38,47,0),</v>
      </c>
      <c r="R2493" s="7" t="str">
        <f t="shared" si="117"/>
        <v>(2004,49,'2004.12.04',11,13,22,38,47),</v>
      </c>
    </row>
    <row r="2494" spans="1:18" x14ac:dyDescent="0.25">
      <c r="A2494" s="7" t="s">
        <v>4155</v>
      </c>
      <c r="B2494" s="8" t="s">
        <v>105</v>
      </c>
      <c r="C2494" s="10">
        <f t="shared" si="116"/>
        <v>38332</v>
      </c>
      <c r="D2494" t="s">
        <v>11</v>
      </c>
      <c r="E2494" t="s">
        <v>12</v>
      </c>
      <c r="F2494" t="s">
        <v>43</v>
      </c>
      <c r="G2494" t="s">
        <v>4170</v>
      </c>
      <c r="H2494" t="s">
        <v>4171</v>
      </c>
      <c r="I2494" t="s">
        <v>4172</v>
      </c>
      <c r="J2494" t="s">
        <v>4173</v>
      </c>
      <c r="K2494" t="s">
        <v>4174</v>
      </c>
      <c r="L2494" s="12" t="s">
        <v>43</v>
      </c>
      <c r="M2494" s="12" t="s">
        <v>23</v>
      </c>
      <c r="N2494" s="12" t="s">
        <v>35</v>
      </c>
      <c r="O2494" s="12" t="s">
        <v>143</v>
      </c>
      <c r="P2494" s="12" t="s">
        <v>63</v>
      </c>
      <c r="Q2494" s="7" t="str">
        <f t="shared" si="115"/>
        <v>(2004,50,'2004.12.11',16,60,65,77,78,0),</v>
      </c>
      <c r="R2494" s="7" t="str">
        <f t="shared" si="117"/>
        <v>(2004,50,'2004.12.11',16,60,65,77,78),</v>
      </c>
    </row>
    <row r="2495" spans="1:18" x14ac:dyDescent="0.25">
      <c r="A2495" s="7" t="s">
        <v>4155</v>
      </c>
      <c r="B2495" s="8" t="s">
        <v>122</v>
      </c>
      <c r="C2495" s="10">
        <f t="shared" si="116"/>
        <v>38339</v>
      </c>
      <c r="D2495" t="s">
        <v>11</v>
      </c>
      <c r="E2495" t="s">
        <v>12</v>
      </c>
      <c r="F2495" t="s">
        <v>99</v>
      </c>
      <c r="G2495" t="s">
        <v>4165</v>
      </c>
      <c r="H2495" t="s">
        <v>4166</v>
      </c>
      <c r="I2495" t="s">
        <v>4167</v>
      </c>
      <c r="J2495" t="s">
        <v>4168</v>
      </c>
      <c r="K2495" t="s">
        <v>4169</v>
      </c>
      <c r="L2495" s="12" t="s">
        <v>232</v>
      </c>
      <c r="M2495" s="12" t="s">
        <v>83</v>
      </c>
      <c r="N2495" s="12" t="s">
        <v>90</v>
      </c>
      <c r="O2495" s="12" t="s">
        <v>133</v>
      </c>
      <c r="P2495" s="12" t="s">
        <v>215</v>
      </c>
      <c r="Q2495" s="7" t="str">
        <f t="shared" si="115"/>
        <v>(2004,51,'2004.12.18',8,11,17,45,81,0),</v>
      </c>
      <c r="R2495" s="7" t="str">
        <f t="shared" si="117"/>
        <v>(2004,51,'2004.12.18',8,11,17,45,81),</v>
      </c>
    </row>
    <row r="2496" spans="1:18" x14ac:dyDescent="0.25">
      <c r="A2496" s="7" t="s">
        <v>4155</v>
      </c>
      <c r="B2496" s="8" t="s">
        <v>99</v>
      </c>
      <c r="C2496" s="10">
        <f t="shared" si="116"/>
        <v>38346</v>
      </c>
      <c r="D2496" t="s">
        <v>11</v>
      </c>
      <c r="E2496" t="s">
        <v>12</v>
      </c>
      <c r="F2496" t="s">
        <v>35</v>
      </c>
      <c r="G2496" t="s">
        <v>4160</v>
      </c>
      <c r="H2496" t="s">
        <v>4161</v>
      </c>
      <c r="I2496" t="s">
        <v>4162</v>
      </c>
      <c r="J2496" t="s">
        <v>4163</v>
      </c>
      <c r="K2496" t="s">
        <v>4164</v>
      </c>
      <c r="L2496" s="12" t="s">
        <v>33</v>
      </c>
      <c r="M2496" s="12" t="s">
        <v>22</v>
      </c>
      <c r="N2496" s="12" t="s">
        <v>105</v>
      </c>
      <c r="O2496" s="12" t="s">
        <v>175</v>
      </c>
      <c r="P2496" s="12" t="s">
        <v>301</v>
      </c>
      <c r="Q2496" s="7" t="str">
        <f t="shared" si="115"/>
        <v>(2004,52,'2004.12.25',24,48,50,55,80,0),</v>
      </c>
      <c r="R2496" s="7" t="str">
        <f t="shared" si="117"/>
        <v>(2004,52,'2004.12.25',24,48,50,55,80),</v>
      </c>
    </row>
    <row r="2497" spans="1:18" x14ac:dyDescent="0.25">
      <c r="A2497" s="7" t="s">
        <v>4155</v>
      </c>
      <c r="B2497" s="8" t="s">
        <v>199</v>
      </c>
      <c r="C2497" s="10">
        <f t="shared" si="116"/>
        <v>38353</v>
      </c>
      <c r="D2497" t="s">
        <v>11</v>
      </c>
      <c r="E2497" t="s">
        <v>12</v>
      </c>
      <c r="F2497" t="s">
        <v>107</v>
      </c>
      <c r="G2497" t="s">
        <v>4156</v>
      </c>
      <c r="H2497" t="s">
        <v>4157</v>
      </c>
      <c r="I2497" t="s">
        <v>4158</v>
      </c>
      <c r="J2497" t="s">
        <v>4159</v>
      </c>
      <c r="K2497" t="s">
        <v>3593</v>
      </c>
      <c r="L2497" s="12" t="s">
        <v>36</v>
      </c>
      <c r="M2497" s="12" t="s">
        <v>175</v>
      </c>
      <c r="N2497" s="12" t="s">
        <v>35</v>
      </c>
      <c r="O2497" s="12" t="s">
        <v>233</v>
      </c>
      <c r="P2497" s="12" t="s">
        <v>72</v>
      </c>
      <c r="Q2497" s="7" t="str">
        <f t="shared" si="115"/>
        <v>(2004,53,'2005.01.01',38,55,65,66,67,0),</v>
      </c>
      <c r="R2497" s="7" t="str">
        <f t="shared" si="117"/>
        <v>(2004,53,'2005.01.01',38,55,65,66,67),</v>
      </c>
    </row>
    <row r="2498" spans="1:18" x14ac:dyDescent="0.25">
      <c r="A2498" s="7" t="s">
        <v>3910</v>
      </c>
      <c r="B2498" s="8" t="s">
        <v>108</v>
      </c>
      <c r="C2498" s="10">
        <f t="shared" si="116"/>
        <v>38360</v>
      </c>
      <c r="D2498" t="s">
        <v>11</v>
      </c>
      <c r="E2498" t="s">
        <v>12</v>
      </c>
      <c r="F2498" t="s">
        <v>64</v>
      </c>
      <c r="G2498" t="s">
        <v>4151</v>
      </c>
      <c r="H2498" t="s">
        <v>4152</v>
      </c>
      <c r="I2498" t="s">
        <v>4153</v>
      </c>
      <c r="J2498" t="s">
        <v>4154</v>
      </c>
      <c r="K2498" t="s">
        <v>1998</v>
      </c>
      <c r="L2498" s="12" t="s">
        <v>107</v>
      </c>
      <c r="M2498" s="12" t="s">
        <v>98</v>
      </c>
      <c r="N2498" s="12" t="s">
        <v>23</v>
      </c>
      <c r="O2498" s="12" t="s">
        <v>106</v>
      </c>
      <c r="P2498" s="12" t="s">
        <v>301</v>
      </c>
      <c r="Q2498" s="7" t="str">
        <f t="shared" ref="Q2498:Q2561" si="118">"("&amp;A2498&amp;","&amp;B2498&amp;",'"&amp;TEXT(C2498,"éééé.hh.nn")&amp;"',"&amp;L2498&amp;","&amp;M2498&amp;","&amp;N2498&amp;","&amp;O2498&amp;","&amp;P2498&amp;",0)"&amp;IF(P2499&lt;&gt;0,",","")</f>
        <v>(2005,1,'2005.01.08',30,42,60,75,80,0),</v>
      </c>
      <c r="R2498" s="7" t="str">
        <f t="shared" si="117"/>
        <v>(2005,1,'2005.01.08',30,42,60,75,80),</v>
      </c>
    </row>
    <row r="2499" spans="1:18" x14ac:dyDescent="0.25">
      <c r="A2499" s="7" t="s">
        <v>3910</v>
      </c>
      <c r="B2499" s="8" t="s">
        <v>207</v>
      </c>
      <c r="C2499" s="10">
        <f t="shared" ref="C2499:C2562" si="119">+C2498+7</f>
        <v>38367</v>
      </c>
      <c r="D2499" t="s">
        <v>11</v>
      </c>
      <c r="E2499" t="s">
        <v>12</v>
      </c>
      <c r="F2499" t="s">
        <v>46</v>
      </c>
      <c r="G2499" t="s">
        <v>4146</v>
      </c>
      <c r="H2499" t="s">
        <v>4147</v>
      </c>
      <c r="I2499" t="s">
        <v>4148</v>
      </c>
      <c r="J2499" t="s">
        <v>4149</v>
      </c>
      <c r="K2499" t="s">
        <v>4150</v>
      </c>
      <c r="L2499" s="12" t="s">
        <v>32</v>
      </c>
      <c r="M2499" s="12" t="s">
        <v>233</v>
      </c>
      <c r="N2499" s="12" t="s">
        <v>72</v>
      </c>
      <c r="O2499" s="12" t="s">
        <v>269</v>
      </c>
      <c r="P2499" s="12" t="s">
        <v>379</v>
      </c>
      <c r="Q2499" s="7" t="str">
        <f t="shared" si="118"/>
        <v>(2005,2,'2005.01.15',22,66,67,87,89,0),</v>
      </c>
      <c r="R2499" s="7" t="str">
        <f t="shared" ref="R2499:R2562" si="120">IF(TRIM(P2499)="","","("&amp;A2499&amp;","&amp;B2499&amp;",'"&amp;TEXT(C2499,"éééé.hh.nn")&amp;"',"&amp;L2499&amp;","&amp;M2499&amp;","&amp;N2499&amp;","&amp;O2499&amp;","&amp;P2499&amp;")"&amp;IF(P2500=0,";",","))</f>
        <v>(2005,2,'2005.01.15',22,66,67,87,89),</v>
      </c>
    </row>
    <row r="2500" spans="1:18" x14ac:dyDescent="0.25">
      <c r="A2500" s="7" t="s">
        <v>3910</v>
      </c>
      <c r="B2500" s="8" t="s">
        <v>42</v>
      </c>
      <c r="C2500" s="10">
        <f t="shared" si="119"/>
        <v>38374</v>
      </c>
      <c r="D2500" t="s">
        <v>11</v>
      </c>
      <c r="E2500" t="s">
        <v>12</v>
      </c>
      <c r="F2500" t="s">
        <v>13</v>
      </c>
      <c r="G2500" t="s">
        <v>4141</v>
      </c>
      <c r="H2500" t="s">
        <v>4142</v>
      </c>
      <c r="I2500" t="s">
        <v>4143</v>
      </c>
      <c r="J2500" t="s">
        <v>4144</v>
      </c>
      <c r="K2500" t="s">
        <v>4145</v>
      </c>
      <c r="L2500" s="12" t="s">
        <v>107</v>
      </c>
      <c r="M2500" s="12" t="s">
        <v>20</v>
      </c>
      <c r="N2500" s="12" t="s">
        <v>10</v>
      </c>
      <c r="O2500" s="12" t="s">
        <v>175</v>
      </c>
      <c r="P2500" s="12" t="s">
        <v>208</v>
      </c>
      <c r="Q2500" s="7" t="str">
        <f t="shared" si="118"/>
        <v>(2005,3,'2005.01.22',30,33,40,55,88,0),</v>
      </c>
      <c r="R2500" s="7" t="str">
        <f t="shared" si="120"/>
        <v>(2005,3,'2005.01.22',30,33,40,55,88),</v>
      </c>
    </row>
    <row r="2501" spans="1:18" x14ac:dyDescent="0.25">
      <c r="A2501" s="7" t="s">
        <v>3910</v>
      </c>
      <c r="B2501" s="8" t="s">
        <v>168</v>
      </c>
      <c r="C2501" s="10">
        <f t="shared" si="119"/>
        <v>38381</v>
      </c>
      <c r="D2501" t="s">
        <v>108</v>
      </c>
      <c r="E2501" t="s">
        <v>4136</v>
      </c>
      <c r="F2501" t="s">
        <v>239</v>
      </c>
      <c r="G2501" t="s">
        <v>4137</v>
      </c>
      <c r="H2501" t="s">
        <v>4138</v>
      </c>
      <c r="I2501" t="s">
        <v>4139</v>
      </c>
      <c r="J2501" t="s">
        <v>4140</v>
      </c>
      <c r="K2501" t="s">
        <v>2867</v>
      </c>
      <c r="L2501" s="12" t="s">
        <v>207</v>
      </c>
      <c r="M2501" s="12" t="s">
        <v>232</v>
      </c>
      <c r="N2501" s="12" t="s">
        <v>46</v>
      </c>
      <c r="O2501" s="12" t="s">
        <v>36</v>
      </c>
      <c r="P2501" s="12" t="s">
        <v>123</v>
      </c>
      <c r="Q2501" s="7" t="str">
        <f t="shared" si="118"/>
        <v>(2005,4,'2005.01.29',2,8,37,38,54,0),</v>
      </c>
      <c r="R2501" s="7" t="str">
        <f t="shared" si="120"/>
        <v>(2005,4,'2005.01.29',2,8,37,38,54),</v>
      </c>
    </row>
    <row r="2502" spans="1:18" x14ac:dyDescent="0.25">
      <c r="A2502" s="7" t="s">
        <v>3910</v>
      </c>
      <c r="B2502" s="8" t="s">
        <v>89</v>
      </c>
      <c r="C2502" s="10">
        <f t="shared" si="119"/>
        <v>38388</v>
      </c>
      <c r="D2502" t="s">
        <v>11</v>
      </c>
      <c r="E2502" t="s">
        <v>12</v>
      </c>
      <c r="F2502" t="s">
        <v>71</v>
      </c>
      <c r="G2502" t="s">
        <v>4132</v>
      </c>
      <c r="H2502" t="s">
        <v>1316</v>
      </c>
      <c r="I2502" t="s">
        <v>4133</v>
      </c>
      <c r="J2502" t="s">
        <v>4134</v>
      </c>
      <c r="K2502" t="s">
        <v>4135</v>
      </c>
      <c r="L2502" s="12" t="s">
        <v>71</v>
      </c>
      <c r="M2502" s="12" t="s">
        <v>80</v>
      </c>
      <c r="N2502" s="12" t="s">
        <v>123</v>
      </c>
      <c r="O2502" s="12" t="s">
        <v>73</v>
      </c>
      <c r="P2502" s="12" t="s">
        <v>379</v>
      </c>
      <c r="Q2502" s="7" t="str">
        <f t="shared" si="118"/>
        <v>(2005,5,'2005.02.05',31,32,54,76,89,0),</v>
      </c>
      <c r="R2502" s="7" t="str">
        <f t="shared" si="120"/>
        <v>(2005,5,'2005.02.05',31,32,54,76,89),</v>
      </c>
    </row>
    <row r="2503" spans="1:18" x14ac:dyDescent="0.25">
      <c r="A2503" s="7" t="s">
        <v>3910</v>
      </c>
      <c r="B2503" s="8" t="s">
        <v>270</v>
      </c>
      <c r="C2503" s="10">
        <f t="shared" si="119"/>
        <v>38395</v>
      </c>
      <c r="D2503" t="s">
        <v>11</v>
      </c>
      <c r="E2503" t="s">
        <v>12</v>
      </c>
      <c r="F2503" t="s">
        <v>98</v>
      </c>
      <c r="G2503" t="s">
        <v>4127</v>
      </c>
      <c r="H2503" t="s">
        <v>4128</v>
      </c>
      <c r="I2503" t="s">
        <v>4129</v>
      </c>
      <c r="J2503" t="s">
        <v>4130</v>
      </c>
      <c r="K2503" t="s">
        <v>4131</v>
      </c>
      <c r="L2503" s="12" t="s">
        <v>127</v>
      </c>
      <c r="M2503" s="12" t="s">
        <v>107</v>
      </c>
      <c r="N2503" s="12" t="s">
        <v>80</v>
      </c>
      <c r="O2503" s="12" t="s">
        <v>46</v>
      </c>
      <c r="P2503" s="12" t="s">
        <v>72</v>
      </c>
      <c r="Q2503" s="7" t="str">
        <f t="shared" si="118"/>
        <v>(2005,6,'2005.02.12',14,30,32,37,67,0),</v>
      </c>
      <c r="R2503" s="7" t="str">
        <f t="shared" si="120"/>
        <v>(2005,6,'2005.02.12',14,30,32,37,67),</v>
      </c>
    </row>
    <row r="2504" spans="1:18" x14ac:dyDescent="0.25">
      <c r="A2504" s="7" t="s">
        <v>3910</v>
      </c>
      <c r="B2504" s="8" t="s">
        <v>53</v>
      </c>
      <c r="C2504" s="10">
        <f t="shared" si="119"/>
        <v>38402</v>
      </c>
      <c r="D2504" t="s">
        <v>11</v>
      </c>
      <c r="E2504" t="s">
        <v>12</v>
      </c>
      <c r="F2504" t="s">
        <v>200</v>
      </c>
      <c r="G2504" t="s">
        <v>4122</v>
      </c>
      <c r="H2504" t="s">
        <v>4123</v>
      </c>
      <c r="I2504" t="s">
        <v>4124</v>
      </c>
      <c r="J2504" t="s">
        <v>4125</v>
      </c>
      <c r="K2504" t="s">
        <v>4126</v>
      </c>
      <c r="L2504" s="12" t="s">
        <v>198</v>
      </c>
      <c r="M2504" s="12" t="s">
        <v>115</v>
      </c>
      <c r="N2504" s="12" t="s">
        <v>81</v>
      </c>
      <c r="O2504" s="12" t="s">
        <v>105</v>
      </c>
      <c r="P2504" s="12" t="s">
        <v>63</v>
      </c>
      <c r="Q2504" s="7" t="str">
        <f t="shared" si="118"/>
        <v>(2005,7,'2005.02.19',9,20,47,50,78,0),</v>
      </c>
      <c r="R2504" s="7" t="str">
        <f t="shared" si="120"/>
        <v>(2005,7,'2005.02.19',9,20,47,50,78),</v>
      </c>
    </row>
    <row r="2505" spans="1:18" x14ac:dyDescent="0.25">
      <c r="A2505" s="7" t="s">
        <v>3910</v>
      </c>
      <c r="B2505" s="8" t="s">
        <v>232</v>
      </c>
      <c r="C2505" s="10">
        <f t="shared" si="119"/>
        <v>38409</v>
      </c>
      <c r="D2505" t="s">
        <v>11</v>
      </c>
      <c r="E2505" t="s">
        <v>12</v>
      </c>
      <c r="F2505" t="s">
        <v>82</v>
      </c>
      <c r="G2505" t="s">
        <v>4117</v>
      </c>
      <c r="H2505" t="s">
        <v>4118</v>
      </c>
      <c r="I2505" t="s">
        <v>4119</v>
      </c>
      <c r="J2505" t="s">
        <v>4120</v>
      </c>
      <c r="K2505" t="s">
        <v>4121</v>
      </c>
      <c r="L2505" s="12" t="s">
        <v>232</v>
      </c>
      <c r="M2505" s="12" t="s">
        <v>135</v>
      </c>
      <c r="N2505" s="12" t="s">
        <v>126</v>
      </c>
      <c r="O2505" s="12" t="s">
        <v>20</v>
      </c>
      <c r="P2505" s="12" t="s">
        <v>169</v>
      </c>
      <c r="Q2505" s="7" t="str">
        <f t="shared" si="118"/>
        <v>(2005,8,'2005.02.26',8,27,28,33,58,0),</v>
      </c>
      <c r="R2505" s="7" t="str">
        <f t="shared" si="120"/>
        <v>(2005,8,'2005.02.26',8,27,28,33,58),</v>
      </c>
    </row>
    <row r="2506" spans="1:18" x14ac:dyDescent="0.25">
      <c r="A2506" s="7" t="s">
        <v>3910</v>
      </c>
      <c r="B2506" s="8" t="s">
        <v>198</v>
      </c>
      <c r="C2506" s="10">
        <f t="shared" si="119"/>
        <v>38416</v>
      </c>
      <c r="D2506" t="s">
        <v>11</v>
      </c>
      <c r="E2506" t="s">
        <v>12</v>
      </c>
      <c r="F2506" t="s">
        <v>214</v>
      </c>
      <c r="G2506" t="s">
        <v>4112</v>
      </c>
      <c r="H2506" t="s">
        <v>4113</v>
      </c>
      <c r="I2506" t="s">
        <v>4114</v>
      </c>
      <c r="J2506" t="s">
        <v>4115</v>
      </c>
      <c r="K2506" t="s">
        <v>4116</v>
      </c>
      <c r="L2506" s="12" t="s">
        <v>55</v>
      </c>
      <c r="M2506" s="12" t="s">
        <v>46</v>
      </c>
      <c r="N2506" s="12" t="s">
        <v>34</v>
      </c>
      <c r="O2506" s="12" t="s">
        <v>308</v>
      </c>
      <c r="P2506" s="12" t="s">
        <v>379</v>
      </c>
      <c r="Q2506" s="7" t="str">
        <f t="shared" si="118"/>
        <v>(2005,9,'2005.03.05',19,37,49,86,89,0),</v>
      </c>
      <c r="R2506" s="7" t="str">
        <f t="shared" si="120"/>
        <v>(2005,9,'2005.03.05',19,37,49,86,89),</v>
      </c>
    </row>
    <row r="2507" spans="1:18" x14ac:dyDescent="0.25">
      <c r="A2507" s="7" t="s">
        <v>3910</v>
      </c>
      <c r="B2507" s="8" t="s">
        <v>62</v>
      </c>
      <c r="C2507" s="10">
        <f t="shared" si="119"/>
        <v>38423</v>
      </c>
      <c r="D2507" t="s">
        <v>11</v>
      </c>
      <c r="E2507" t="s">
        <v>12</v>
      </c>
      <c r="F2507" t="s">
        <v>134</v>
      </c>
      <c r="G2507" t="s">
        <v>4108</v>
      </c>
      <c r="H2507" t="s">
        <v>2878</v>
      </c>
      <c r="I2507" t="s">
        <v>4109</v>
      </c>
      <c r="J2507" t="s">
        <v>4110</v>
      </c>
      <c r="K2507" t="s">
        <v>4111</v>
      </c>
      <c r="L2507" s="12" t="s">
        <v>207</v>
      </c>
      <c r="M2507" s="12" t="s">
        <v>43</v>
      </c>
      <c r="N2507" s="12" t="s">
        <v>21</v>
      </c>
      <c r="O2507" s="12" t="s">
        <v>46</v>
      </c>
      <c r="P2507" s="12" t="s">
        <v>201</v>
      </c>
      <c r="Q2507" s="7" t="str">
        <f t="shared" si="118"/>
        <v>(2005,10,'2005.03.12',2,16,36,37,72,0),</v>
      </c>
      <c r="R2507" s="7" t="str">
        <f t="shared" si="120"/>
        <v>(2005,10,'2005.03.12',2,16,36,37,72),</v>
      </c>
    </row>
    <row r="2508" spans="1:18" x14ac:dyDescent="0.25">
      <c r="A2508" s="7" t="s">
        <v>3910</v>
      </c>
      <c r="B2508" s="8" t="s">
        <v>83</v>
      </c>
      <c r="C2508" s="10">
        <f t="shared" si="119"/>
        <v>38430</v>
      </c>
      <c r="D2508" t="s">
        <v>11</v>
      </c>
      <c r="E2508" t="s">
        <v>12</v>
      </c>
      <c r="F2508" t="s">
        <v>150</v>
      </c>
      <c r="G2508" t="s">
        <v>4103</v>
      </c>
      <c r="H2508" t="s">
        <v>4104</v>
      </c>
      <c r="I2508" t="s">
        <v>4105</v>
      </c>
      <c r="J2508" t="s">
        <v>4106</v>
      </c>
      <c r="K2508" t="s">
        <v>4107</v>
      </c>
      <c r="L2508" s="12" t="s">
        <v>44</v>
      </c>
      <c r="M2508" s="12" t="s">
        <v>116</v>
      </c>
      <c r="N2508" s="12" t="s">
        <v>169</v>
      </c>
      <c r="O2508" s="12" t="s">
        <v>124</v>
      </c>
      <c r="P2508" s="12" t="s">
        <v>56</v>
      </c>
      <c r="Q2508" s="7" t="str">
        <f t="shared" si="118"/>
        <v>(2005,11,'2005.03.19',21,29,58,62,71,0),</v>
      </c>
      <c r="R2508" s="7" t="str">
        <f t="shared" si="120"/>
        <v>(2005,11,'2005.03.19',21,29,58,62,71),</v>
      </c>
    </row>
    <row r="2509" spans="1:18" x14ac:dyDescent="0.25">
      <c r="A2509" s="7" t="s">
        <v>3910</v>
      </c>
      <c r="B2509" s="8" t="s">
        <v>31</v>
      </c>
      <c r="C2509" s="10">
        <f t="shared" si="119"/>
        <v>38437</v>
      </c>
      <c r="D2509" t="s">
        <v>11</v>
      </c>
      <c r="E2509" t="s">
        <v>12</v>
      </c>
      <c r="F2509" t="s">
        <v>308</v>
      </c>
      <c r="G2509" t="s">
        <v>4098</v>
      </c>
      <c r="H2509" t="s">
        <v>4099</v>
      </c>
      <c r="I2509" t="s">
        <v>4100</v>
      </c>
      <c r="J2509" t="s">
        <v>4101</v>
      </c>
      <c r="K2509" t="s">
        <v>4102</v>
      </c>
      <c r="L2509" s="12" t="s">
        <v>207</v>
      </c>
      <c r="M2509" s="12" t="s">
        <v>55</v>
      </c>
      <c r="N2509" s="12" t="s">
        <v>248</v>
      </c>
      <c r="O2509" s="12" t="s">
        <v>201</v>
      </c>
      <c r="P2509" s="12" t="s">
        <v>622</v>
      </c>
      <c r="Q2509" s="7" t="str">
        <f t="shared" si="118"/>
        <v>(2005,12,'2005.03.26',2,19,63,72,82,0),</v>
      </c>
      <c r="R2509" s="7" t="str">
        <f t="shared" si="120"/>
        <v>(2005,12,'2005.03.26',2,19,63,72,82),</v>
      </c>
    </row>
    <row r="2510" spans="1:18" x14ac:dyDescent="0.25">
      <c r="A2510" s="7" t="s">
        <v>3910</v>
      </c>
      <c r="B2510" s="8" t="s">
        <v>65</v>
      </c>
      <c r="C2510" s="10">
        <f t="shared" si="119"/>
        <v>38444</v>
      </c>
      <c r="D2510" t="s">
        <v>11</v>
      </c>
      <c r="E2510" t="s">
        <v>12</v>
      </c>
      <c r="F2510" t="s">
        <v>80</v>
      </c>
      <c r="G2510" t="s">
        <v>4094</v>
      </c>
      <c r="H2510" t="s">
        <v>2281</v>
      </c>
      <c r="I2510" t="s">
        <v>4095</v>
      </c>
      <c r="J2510" t="s">
        <v>4096</v>
      </c>
      <c r="K2510" t="s">
        <v>4097</v>
      </c>
      <c r="L2510" s="12" t="s">
        <v>43</v>
      </c>
      <c r="M2510" s="12" t="s">
        <v>115</v>
      </c>
      <c r="N2510" s="12" t="s">
        <v>13</v>
      </c>
      <c r="O2510" s="12" t="s">
        <v>82</v>
      </c>
      <c r="P2510" s="12" t="s">
        <v>23</v>
      </c>
      <c r="Q2510" s="7" t="str">
        <f t="shared" si="118"/>
        <v>(2005,13,'2005.04.02',16,20,41,59,60,0),</v>
      </c>
      <c r="R2510" s="7" t="str">
        <f t="shared" si="120"/>
        <v>(2005,13,'2005.04.02',16,20,41,59,60),</v>
      </c>
    </row>
    <row r="2511" spans="1:18" x14ac:dyDescent="0.25">
      <c r="A2511" s="7" t="s">
        <v>3910</v>
      </c>
      <c r="B2511" s="8" t="s">
        <v>127</v>
      </c>
      <c r="C2511" s="10">
        <f t="shared" si="119"/>
        <v>38451</v>
      </c>
      <c r="D2511" t="s">
        <v>11</v>
      </c>
      <c r="E2511" t="s">
        <v>12</v>
      </c>
      <c r="F2511" t="s">
        <v>622</v>
      </c>
      <c r="G2511" t="s">
        <v>4089</v>
      </c>
      <c r="H2511" t="s">
        <v>4090</v>
      </c>
      <c r="I2511" t="s">
        <v>4091</v>
      </c>
      <c r="J2511" t="s">
        <v>4092</v>
      </c>
      <c r="K2511" t="s">
        <v>4093</v>
      </c>
      <c r="L2511" s="12" t="s">
        <v>198</v>
      </c>
      <c r="M2511" s="12" t="s">
        <v>135</v>
      </c>
      <c r="N2511" s="12" t="s">
        <v>82</v>
      </c>
      <c r="O2511" s="12" t="s">
        <v>201</v>
      </c>
      <c r="P2511" s="12" t="s">
        <v>245</v>
      </c>
      <c r="Q2511" s="7" t="str">
        <f t="shared" si="118"/>
        <v>(2005,14,'2005.04.09',9,27,59,72,74,0),</v>
      </c>
      <c r="R2511" s="7" t="str">
        <f t="shared" si="120"/>
        <v>(2005,14,'2005.04.09',9,27,59,72,74),</v>
      </c>
    </row>
    <row r="2512" spans="1:18" x14ac:dyDescent="0.25">
      <c r="A2512" s="7" t="s">
        <v>3910</v>
      </c>
      <c r="B2512" s="8" t="s">
        <v>54</v>
      </c>
      <c r="C2512" s="10">
        <f t="shared" si="119"/>
        <v>38458</v>
      </c>
      <c r="D2512" t="s">
        <v>11</v>
      </c>
      <c r="E2512" t="s">
        <v>12</v>
      </c>
      <c r="F2512" t="s">
        <v>142</v>
      </c>
      <c r="G2512" t="s">
        <v>4086</v>
      </c>
      <c r="H2512" t="s">
        <v>2336</v>
      </c>
      <c r="I2512" t="s">
        <v>4087</v>
      </c>
      <c r="J2512" t="s">
        <v>4088</v>
      </c>
      <c r="K2512" t="s">
        <v>3389</v>
      </c>
      <c r="L2512" s="12" t="s">
        <v>46</v>
      </c>
      <c r="M2512" s="12" t="s">
        <v>105</v>
      </c>
      <c r="N2512" s="12" t="s">
        <v>47</v>
      </c>
      <c r="O2512" s="12" t="s">
        <v>143</v>
      </c>
      <c r="P2512" s="12" t="s">
        <v>215</v>
      </c>
      <c r="Q2512" s="7" t="str">
        <f t="shared" si="118"/>
        <v>(2005,15,'2005.04.16',37,50,69,77,81,0),</v>
      </c>
      <c r="R2512" s="7" t="str">
        <f t="shared" si="120"/>
        <v>(2005,15,'2005.04.16',37,50,69,77,81),</v>
      </c>
    </row>
    <row r="2513" spans="1:18" x14ac:dyDescent="0.25">
      <c r="A2513" s="7" t="s">
        <v>3910</v>
      </c>
      <c r="B2513" s="8" t="s">
        <v>43</v>
      </c>
      <c r="C2513" s="10">
        <f t="shared" si="119"/>
        <v>38465</v>
      </c>
      <c r="D2513" t="s">
        <v>11</v>
      </c>
      <c r="E2513" t="s">
        <v>12</v>
      </c>
      <c r="F2513" t="s">
        <v>73</v>
      </c>
      <c r="G2513" t="s">
        <v>4082</v>
      </c>
      <c r="H2513" t="s">
        <v>4083</v>
      </c>
      <c r="I2513" t="s">
        <v>4084</v>
      </c>
      <c r="J2513" t="s">
        <v>4085</v>
      </c>
      <c r="K2513" t="s">
        <v>1933</v>
      </c>
      <c r="L2513" s="12" t="s">
        <v>42</v>
      </c>
      <c r="M2513" s="12" t="s">
        <v>168</v>
      </c>
      <c r="N2513" s="12" t="s">
        <v>152</v>
      </c>
      <c r="O2513" s="12" t="s">
        <v>116</v>
      </c>
      <c r="P2513" s="12" t="s">
        <v>35</v>
      </c>
      <c r="Q2513" s="7" t="str">
        <f t="shared" si="118"/>
        <v>(2005,16,'2005.04.23',3,4,25,29,65,0),</v>
      </c>
      <c r="R2513" s="7" t="str">
        <f t="shared" si="120"/>
        <v>(2005,16,'2005.04.23',3,4,25,29,65),</v>
      </c>
    </row>
    <row r="2514" spans="1:18" x14ac:dyDescent="0.25">
      <c r="A2514" s="7" t="s">
        <v>3910</v>
      </c>
      <c r="B2514" s="8" t="s">
        <v>90</v>
      </c>
      <c r="C2514" s="10">
        <f t="shared" si="119"/>
        <v>38472</v>
      </c>
      <c r="D2514" t="s">
        <v>11</v>
      </c>
      <c r="E2514" t="s">
        <v>12</v>
      </c>
      <c r="F2514" t="s">
        <v>116</v>
      </c>
      <c r="G2514" t="s">
        <v>4077</v>
      </c>
      <c r="H2514" t="s">
        <v>4078</v>
      </c>
      <c r="I2514" t="s">
        <v>4079</v>
      </c>
      <c r="J2514" t="s">
        <v>4080</v>
      </c>
      <c r="K2514" t="s">
        <v>4081</v>
      </c>
      <c r="L2514" s="12" t="s">
        <v>13</v>
      </c>
      <c r="M2514" s="12" t="s">
        <v>81</v>
      </c>
      <c r="N2514" s="12" t="s">
        <v>143</v>
      </c>
      <c r="O2514" s="12" t="s">
        <v>622</v>
      </c>
      <c r="P2514" s="12" t="s">
        <v>246</v>
      </c>
      <c r="Q2514" s="7" t="str">
        <f t="shared" si="118"/>
        <v>(2005,17,'2005.04.30',41,47,77,82,84,0),</v>
      </c>
      <c r="R2514" s="7" t="str">
        <f t="shared" si="120"/>
        <v>(2005,17,'2005.04.30',41,47,77,82,84),</v>
      </c>
    </row>
    <row r="2515" spans="1:18" x14ac:dyDescent="0.25">
      <c r="A2515" s="7" t="s">
        <v>3910</v>
      </c>
      <c r="B2515" s="8" t="s">
        <v>19</v>
      </c>
      <c r="C2515" s="10">
        <f t="shared" si="119"/>
        <v>38479</v>
      </c>
      <c r="D2515" t="s">
        <v>11</v>
      </c>
      <c r="E2515" t="s">
        <v>12</v>
      </c>
      <c r="F2515" t="s">
        <v>20</v>
      </c>
      <c r="G2515" t="s">
        <v>4073</v>
      </c>
      <c r="H2515" t="s">
        <v>1217</v>
      </c>
      <c r="I2515" t="s">
        <v>4074</v>
      </c>
      <c r="J2515" t="s">
        <v>4075</v>
      </c>
      <c r="K2515" t="s">
        <v>4076</v>
      </c>
      <c r="L2515" s="12" t="s">
        <v>13</v>
      </c>
      <c r="M2515" s="12" t="s">
        <v>105</v>
      </c>
      <c r="N2515" s="12" t="s">
        <v>301</v>
      </c>
      <c r="O2515" s="12" t="s">
        <v>125</v>
      </c>
      <c r="P2515" s="12" t="s">
        <v>468</v>
      </c>
      <c r="Q2515" s="7" t="str">
        <f t="shared" si="118"/>
        <v>(2005,18,'2005.05.07',41,50,80,83,85,0),</v>
      </c>
      <c r="R2515" s="7" t="str">
        <f t="shared" si="120"/>
        <v>(2005,18,'2005.05.07',41,50,80,83,85),</v>
      </c>
    </row>
    <row r="2516" spans="1:18" x14ac:dyDescent="0.25">
      <c r="A2516" s="7" t="s">
        <v>3910</v>
      </c>
      <c r="B2516" s="8" t="s">
        <v>55</v>
      </c>
      <c r="C2516" s="10">
        <f t="shared" si="119"/>
        <v>38486</v>
      </c>
      <c r="D2516" t="s">
        <v>11</v>
      </c>
      <c r="E2516" t="s">
        <v>12</v>
      </c>
      <c r="F2516" t="s">
        <v>91</v>
      </c>
      <c r="G2516" t="s">
        <v>4068</v>
      </c>
      <c r="H2516" t="s">
        <v>4069</v>
      </c>
      <c r="I2516" t="s">
        <v>4070</v>
      </c>
      <c r="J2516" t="s">
        <v>4071</v>
      </c>
      <c r="K2516" t="s">
        <v>4072</v>
      </c>
      <c r="L2516" s="12" t="s">
        <v>108</v>
      </c>
      <c r="M2516" s="12" t="s">
        <v>270</v>
      </c>
      <c r="N2516" s="12" t="s">
        <v>124</v>
      </c>
      <c r="O2516" s="12" t="s">
        <v>201</v>
      </c>
      <c r="P2516" s="12" t="s">
        <v>106</v>
      </c>
      <c r="Q2516" s="7" t="str">
        <f t="shared" si="118"/>
        <v>(2005,19,'2005.05.14',1,6,62,72,75,0),</v>
      </c>
      <c r="R2516" s="7" t="str">
        <f t="shared" si="120"/>
        <v>(2005,19,'2005.05.14',1,6,62,72,75),</v>
      </c>
    </row>
    <row r="2517" spans="1:18" x14ac:dyDescent="0.25">
      <c r="A2517" s="7" t="s">
        <v>3910</v>
      </c>
      <c r="B2517" s="8" t="s">
        <v>115</v>
      </c>
      <c r="C2517" s="10">
        <f t="shared" si="119"/>
        <v>38493</v>
      </c>
      <c r="D2517" t="s">
        <v>11</v>
      </c>
      <c r="E2517" t="s">
        <v>12</v>
      </c>
      <c r="F2517" t="s">
        <v>80</v>
      </c>
      <c r="G2517" t="s">
        <v>4063</v>
      </c>
      <c r="H2517" t="s">
        <v>4064</v>
      </c>
      <c r="I2517" t="s">
        <v>4065</v>
      </c>
      <c r="J2517" t="s">
        <v>4066</v>
      </c>
      <c r="K2517" t="s">
        <v>4067</v>
      </c>
      <c r="L2517" s="12" t="s">
        <v>127</v>
      </c>
      <c r="M2517" s="12" t="s">
        <v>43</v>
      </c>
      <c r="N2517" s="12" t="s">
        <v>80</v>
      </c>
      <c r="O2517" s="12" t="s">
        <v>199</v>
      </c>
      <c r="P2517" s="12" t="s">
        <v>123</v>
      </c>
      <c r="Q2517" s="7" t="str">
        <f t="shared" si="118"/>
        <v>(2005,20,'2005.05.21',14,16,32,53,54,0),</v>
      </c>
      <c r="R2517" s="7" t="str">
        <f t="shared" si="120"/>
        <v>(2005,20,'2005.05.21',14,16,32,53,54),</v>
      </c>
    </row>
    <row r="2518" spans="1:18" x14ac:dyDescent="0.25">
      <c r="A2518" s="7" t="s">
        <v>3910</v>
      </c>
      <c r="B2518" s="8" t="s">
        <v>44</v>
      </c>
      <c r="C2518" s="10">
        <f t="shared" si="119"/>
        <v>38500</v>
      </c>
      <c r="D2518" t="s">
        <v>11</v>
      </c>
      <c r="E2518" t="s">
        <v>12</v>
      </c>
      <c r="F2518" t="s">
        <v>36</v>
      </c>
      <c r="G2518" t="s">
        <v>4058</v>
      </c>
      <c r="H2518" t="s">
        <v>4059</v>
      </c>
      <c r="I2518" t="s">
        <v>4060</v>
      </c>
      <c r="J2518" t="s">
        <v>4061</v>
      </c>
      <c r="K2518" t="s">
        <v>4062</v>
      </c>
      <c r="L2518" s="12" t="s">
        <v>53</v>
      </c>
      <c r="M2518" s="12" t="s">
        <v>232</v>
      </c>
      <c r="N2518" s="12" t="s">
        <v>47</v>
      </c>
      <c r="O2518" s="12" t="s">
        <v>301</v>
      </c>
      <c r="P2518" s="12" t="s">
        <v>246</v>
      </c>
      <c r="Q2518" s="7" t="str">
        <f t="shared" si="118"/>
        <v>(2005,21,'2005.05.28',7,8,69,80,84,0),</v>
      </c>
      <c r="R2518" s="7" t="str">
        <f t="shared" si="120"/>
        <v>(2005,21,'2005.05.28',7,8,69,80,84),</v>
      </c>
    </row>
    <row r="2519" spans="1:18" x14ac:dyDescent="0.25">
      <c r="A2519" s="7" t="s">
        <v>3910</v>
      </c>
      <c r="B2519" s="8" t="s">
        <v>32</v>
      </c>
      <c r="C2519" s="10">
        <f t="shared" si="119"/>
        <v>38507</v>
      </c>
      <c r="D2519" t="s">
        <v>11</v>
      </c>
      <c r="E2519" t="s">
        <v>12</v>
      </c>
      <c r="F2519" t="s">
        <v>1961</v>
      </c>
      <c r="G2519" t="s">
        <v>4053</v>
      </c>
      <c r="H2519" t="s">
        <v>4054</v>
      </c>
      <c r="I2519" t="s">
        <v>4055</v>
      </c>
      <c r="J2519" t="s">
        <v>4056</v>
      </c>
      <c r="K2519" t="s">
        <v>4057</v>
      </c>
      <c r="L2519" s="12" t="s">
        <v>135</v>
      </c>
      <c r="M2519" s="12" t="s">
        <v>21</v>
      </c>
      <c r="N2519" s="12" t="s">
        <v>150</v>
      </c>
      <c r="O2519" s="12" t="s">
        <v>56</v>
      </c>
      <c r="P2519" s="12" t="s">
        <v>308</v>
      </c>
      <c r="Q2519" s="7" t="str">
        <f t="shared" si="118"/>
        <v>(2005,22,'2005.06.04',27,36,57,71,86,0),</v>
      </c>
      <c r="R2519" s="7" t="str">
        <f t="shared" si="120"/>
        <v>(2005,22,'2005.06.04',27,36,57,71,86),</v>
      </c>
    </row>
    <row r="2520" spans="1:18" x14ac:dyDescent="0.25">
      <c r="A2520" s="7" t="s">
        <v>3910</v>
      </c>
      <c r="B2520" s="8" t="s">
        <v>163</v>
      </c>
      <c r="C2520" s="10">
        <f t="shared" si="119"/>
        <v>38514</v>
      </c>
      <c r="D2520" t="s">
        <v>11</v>
      </c>
      <c r="E2520" t="s">
        <v>12</v>
      </c>
      <c r="F2520" t="s">
        <v>125</v>
      </c>
      <c r="G2520" t="s">
        <v>4049</v>
      </c>
      <c r="H2520" t="s">
        <v>4050</v>
      </c>
      <c r="I2520" t="s">
        <v>4051</v>
      </c>
      <c r="J2520" t="s">
        <v>4052</v>
      </c>
      <c r="K2520" t="s">
        <v>2978</v>
      </c>
      <c r="L2520" s="12" t="s">
        <v>168</v>
      </c>
      <c r="M2520" s="12" t="s">
        <v>116</v>
      </c>
      <c r="N2520" s="12" t="s">
        <v>20</v>
      </c>
      <c r="O2520" s="12" t="s">
        <v>142</v>
      </c>
      <c r="P2520" s="12" t="s">
        <v>239</v>
      </c>
      <c r="Q2520" s="7" t="str">
        <f t="shared" si="118"/>
        <v>(2005,23,'2005.06.11',4,29,33,44,73,0),</v>
      </c>
      <c r="R2520" s="7" t="str">
        <f t="shared" si="120"/>
        <v>(2005,23,'2005.06.11',4,29,33,44,73),</v>
      </c>
    </row>
    <row r="2521" spans="1:18" x14ac:dyDescent="0.25">
      <c r="A2521" s="7" t="s">
        <v>3910</v>
      </c>
      <c r="B2521" s="8" t="s">
        <v>33</v>
      </c>
      <c r="C2521" s="10">
        <f t="shared" si="119"/>
        <v>38521</v>
      </c>
      <c r="D2521" t="s">
        <v>108</v>
      </c>
      <c r="E2521" t="s">
        <v>4044</v>
      </c>
      <c r="F2521" t="s">
        <v>3917</v>
      </c>
      <c r="G2521" t="s">
        <v>4045</v>
      </c>
      <c r="H2521" t="s">
        <v>4040</v>
      </c>
      <c r="I2521" t="s">
        <v>4046</v>
      </c>
      <c r="J2521" t="s">
        <v>4047</v>
      </c>
      <c r="K2521" t="s">
        <v>4048</v>
      </c>
      <c r="L2521" s="12" t="s">
        <v>19</v>
      </c>
      <c r="M2521" s="12" t="s">
        <v>64</v>
      </c>
      <c r="N2521" s="12" t="s">
        <v>134</v>
      </c>
      <c r="O2521" s="12" t="s">
        <v>208</v>
      </c>
      <c r="P2521" s="12" t="s">
        <v>186</v>
      </c>
      <c r="Q2521" s="7" t="str">
        <f t="shared" si="118"/>
        <v>(2005,24,'2005.06.18',18,35,56,88,90,0),</v>
      </c>
      <c r="R2521" s="7" t="str">
        <f t="shared" si="120"/>
        <v>(2005,24,'2005.06.18',18,35,56,88,90),</v>
      </c>
    </row>
    <row r="2522" spans="1:18" x14ac:dyDescent="0.25">
      <c r="A2522" s="7" t="s">
        <v>3910</v>
      </c>
      <c r="B2522" s="8" t="s">
        <v>152</v>
      </c>
      <c r="C2522" s="10">
        <f t="shared" si="119"/>
        <v>38528</v>
      </c>
      <c r="D2522" t="s">
        <v>108</v>
      </c>
      <c r="E2522" t="s">
        <v>4038</v>
      </c>
      <c r="F2522" t="s">
        <v>1961</v>
      </c>
      <c r="G2522" t="s">
        <v>4039</v>
      </c>
      <c r="H2522" t="s">
        <v>4040</v>
      </c>
      <c r="I2522" t="s">
        <v>4041</v>
      </c>
      <c r="J2522" t="s">
        <v>4042</v>
      </c>
      <c r="K2522" t="s">
        <v>4043</v>
      </c>
      <c r="L2522" s="12" t="s">
        <v>53</v>
      </c>
      <c r="M2522" s="12" t="s">
        <v>33</v>
      </c>
      <c r="N2522" s="12" t="s">
        <v>21</v>
      </c>
      <c r="O2522" s="12" t="s">
        <v>150</v>
      </c>
      <c r="P2522" s="12" t="s">
        <v>200</v>
      </c>
      <c r="Q2522" s="7" t="str">
        <f t="shared" si="118"/>
        <v>(2005,25,'2005.06.25',7,24,36,57,70,0),</v>
      </c>
      <c r="R2522" s="7" t="str">
        <f t="shared" si="120"/>
        <v>(2005,25,'2005.06.25',7,24,36,57,70),</v>
      </c>
    </row>
    <row r="2523" spans="1:18" x14ac:dyDescent="0.25">
      <c r="A2523" s="7" t="s">
        <v>3910</v>
      </c>
      <c r="B2523" s="8" t="s">
        <v>74</v>
      </c>
      <c r="C2523" s="10">
        <f t="shared" si="119"/>
        <v>38535</v>
      </c>
      <c r="D2523" t="s">
        <v>11</v>
      </c>
      <c r="E2523" t="s">
        <v>12</v>
      </c>
      <c r="F2523" t="s">
        <v>123</v>
      </c>
      <c r="G2523" t="s">
        <v>4034</v>
      </c>
      <c r="H2523" t="s">
        <v>4035</v>
      </c>
      <c r="I2523" t="s">
        <v>4036</v>
      </c>
      <c r="J2523" t="s">
        <v>4037</v>
      </c>
      <c r="K2523" t="s">
        <v>3518</v>
      </c>
      <c r="L2523" s="12" t="s">
        <v>90</v>
      </c>
      <c r="M2523" s="12" t="s">
        <v>33</v>
      </c>
      <c r="N2523" s="12" t="s">
        <v>81</v>
      </c>
      <c r="O2523" s="12" t="s">
        <v>92</v>
      </c>
      <c r="P2523" s="12" t="s">
        <v>246</v>
      </c>
      <c r="Q2523" s="7" t="str">
        <f t="shared" si="118"/>
        <v>(2005,26,'2005.07.02',17,24,47,68,84,0),</v>
      </c>
      <c r="R2523" s="7" t="str">
        <f t="shared" si="120"/>
        <v>(2005,26,'2005.07.02',17,24,47,68,84),</v>
      </c>
    </row>
    <row r="2524" spans="1:18" x14ac:dyDescent="0.25">
      <c r="A2524" s="7" t="s">
        <v>3910</v>
      </c>
      <c r="B2524" s="8" t="s">
        <v>135</v>
      </c>
      <c r="C2524" s="10">
        <f t="shared" si="119"/>
        <v>38542</v>
      </c>
      <c r="D2524" t="s">
        <v>11</v>
      </c>
      <c r="E2524" t="s">
        <v>12</v>
      </c>
      <c r="F2524" t="s">
        <v>25</v>
      </c>
      <c r="G2524" t="s">
        <v>4030</v>
      </c>
      <c r="H2524" t="s">
        <v>1908</v>
      </c>
      <c r="I2524" t="s">
        <v>4031</v>
      </c>
      <c r="J2524" t="s">
        <v>4032</v>
      </c>
      <c r="K2524" t="s">
        <v>4033</v>
      </c>
      <c r="L2524" s="12" t="s">
        <v>31</v>
      </c>
      <c r="M2524" s="12" t="s">
        <v>90</v>
      </c>
      <c r="N2524" s="12" t="s">
        <v>133</v>
      </c>
      <c r="O2524" s="12" t="s">
        <v>82</v>
      </c>
      <c r="P2524" s="12" t="s">
        <v>106</v>
      </c>
      <c r="Q2524" s="7" t="str">
        <f t="shared" si="118"/>
        <v>(2005,27,'2005.07.09',12,17,45,59,75,0),</v>
      </c>
      <c r="R2524" s="7" t="str">
        <f t="shared" si="120"/>
        <v>(2005,27,'2005.07.09',12,17,45,59,75),</v>
      </c>
    </row>
    <row r="2525" spans="1:18" x14ac:dyDescent="0.25">
      <c r="A2525" s="7" t="s">
        <v>3910</v>
      </c>
      <c r="B2525" s="8" t="s">
        <v>126</v>
      </c>
      <c r="C2525" s="10">
        <f t="shared" si="119"/>
        <v>38549</v>
      </c>
      <c r="D2525" t="s">
        <v>11</v>
      </c>
      <c r="E2525" t="s">
        <v>12</v>
      </c>
      <c r="F2525" t="s">
        <v>239</v>
      </c>
      <c r="G2525" t="s">
        <v>4025</v>
      </c>
      <c r="H2525" t="s">
        <v>4026</v>
      </c>
      <c r="I2525" t="s">
        <v>4027</v>
      </c>
      <c r="J2525" t="s">
        <v>4028</v>
      </c>
      <c r="K2525" t="s">
        <v>4029</v>
      </c>
      <c r="L2525" s="12" t="s">
        <v>168</v>
      </c>
      <c r="M2525" s="12" t="s">
        <v>62</v>
      </c>
      <c r="N2525" s="12" t="s">
        <v>46</v>
      </c>
      <c r="O2525" s="12" t="s">
        <v>98</v>
      </c>
      <c r="P2525" s="12" t="s">
        <v>122</v>
      </c>
      <c r="Q2525" s="7" t="str">
        <f t="shared" si="118"/>
        <v>(2005,28,'2005.07.16',4,10,37,42,51,0),</v>
      </c>
      <c r="R2525" s="7" t="str">
        <f t="shared" si="120"/>
        <v>(2005,28,'2005.07.16',4,10,37,42,51),</v>
      </c>
    </row>
    <row r="2526" spans="1:18" x14ac:dyDescent="0.25">
      <c r="A2526" s="7" t="s">
        <v>3910</v>
      </c>
      <c r="B2526" s="8" t="s">
        <v>116</v>
      </c>
      <c r="C2526" s="10">
        <f t="shared" si="119"/>
        <v>38556</v>
      </c>
      <c r="D2526" t="s">
        <v>11</v>
      </c>
      <c r="E2526" t="s">
        <v>12</v>
      </c>
      <c r="F2526" t="s">
        <v>116</v>
      </c>
      <c r="G2526" t="s">
        <v>4021</v>
      </c>
      <c r="H2526" t="s">
        <v>4022</v>
      </c>
      <c r="I2526" t="s">
        <v>4023</v>
      </c>
      <c r="J2526" t="s">
        <v>4024</v>
      </c>
      <c r="K2526" t="s">
        <v>3885</v>
      </c>
      <c r="L2526" s="12" t="s">
        <v>83</v>
      </c>
      <c r="M2526" s="12" t="s">
        <v>31</v>
      </c>
      <c r="N2526" s="12" t="s">
        <v>126</v>
      </c>
      <c r="O2526" s="12" t="s">
        <v>214</v>
      </c>
      <c r="P2526" s="12" t="s">
        <v>215</v>
      </c>
      <c r="Q2526" s="7" t="str">
        <f t="shared" si="118"/>
        <v>(2005,29,'2005.07.23',11,12,28,64,81,0),</v>
      </c>
      <c r="R2526" s="7" t="str">
        <f t="shared" si="120"/>
        <v>(2005,29,'2005.07.23',11,12,28,64,81),</v>
      </c>
    </row>
    <row r="2527" spans="1:18" x14ac:dyDescent="0.25">
      <c r="A2527" s="7" t="s">
        <v>3910</v>
      </c>
      <c r="B2527" s="8" t="s">
        <v>107</v>
      </c>
      <c r="C2527" s="10">
        <f t="shared" si="119"/>
        <v>38563</v>
      </c>
      <c r="D2527" t="s">
        <v>11</v>
      </c>
      <c r="E2527" t="s">
        <v>12</v>
      </c>
      <c r="F2527" t="s">
        <v>105</v>
      </c>
      <c r="G2527" t="s">
        <v>4017</v>
      </c>
      <c r="H2527" t="s">
        <v>4018</v>
      </c>
      <c r="I2527" t="s">
        <v>4019</v>
      </c>
      <c r="J2527" t="s">
        <v>4020</v>
      </c>
      <c r="K2527" t="s">
        <v>3255</v>
      </c>
      <c r="L2527" s="12" t="s">
        <v>270</v>
      </c>
      <c r="M2527" s="12" t="s">
        <v>54</v>
      </c>
      <c r="N2527" s="12" t="s">
        <v>21</v>
      </c>
      <c r="O2527" s="12" t="s">
        <v>36</v>
      </c>
      <c r="P2527" s="12" t="s">
        <v>106</v>
      </c>
      <c r="Q2527" s="7" t="str">
        <f t="shared" si="118"/>
        <v>(2005,30,'2005.07.30',6,15,36,38,75,0),</v>
      </c>
      <c r="R2527" s="7" t="str">
        <f t="shared" si="120"/>
        <v>(2005,30,'2005.07.30',6,15,36,38,75),</v>
      </c>
    </row>
    <row r="2528" spans="1:18" x14ac:dyDescent="0.25">
      <c r="A2528" s="7" t="s">
        <v>3910</v>
      </c>
      <c r="B2528" s="8" t="s">
        <v>71</v>
      </c>
      <c r="C2528" s="10">
        <f t="shared" si="119"/>
        <v>38570</v>
      </c>
      <c r="D2528" t="s">
        <v>11</v>
      </c>
      <c r="E2528" t="s">
        <v>12</v>
      </c>
      <c r="F2528" t="s">
        <v>82</v>
      </c>
      <c r="G2528" t="s">
        <v>4013</v>
      </c>
      <c r="H2528" t="s">
        <v>4014</v>
      </c>
      <c r="I2528" t="s">
        <v>4015</v>
      </c>
      <c r="J2528" t="s">
        <v>4016</v>
      </c>
      <c r="K2528" t="s">
        <v>3448</v>
      </c>
      <c r="L2528" s="12" t="s">
        <v>42</v>
      </c>
      <c r="M2528" s="12" t="s">
        <v>71</v>
      </c>
      <c r="N2528" s="12" t="s">
        <v>24</v>
      </c>
      <c r="O2528" s="12" t="s">
        <v>239</v>
      </c>
      <c r="P2528" s="12" t="s">
        <v>215</v>
      </c>
      <c r="Q2528" s="7" t="str">
        <f t="shared" si="118"/>
        <v>(2005,31,'2005.08.06',3,31,39,73,81,0),</v>
      </c>
      <c r="R2528" s="7" t="str">
        <f t="shared" si="120"/>
        <v>(2005,31,'2005.08.06',3,31,39,73,81),</v>
      </c>
    </row>
    <row r="2529" spans="1:18" x14ac:dyDescent="0.25">
      <c r="A2529" s="7" t="s">
        <v>3910</v>
      </c>
      <c r="B2529" s="8" t="s">
        <v>80</v>
      </c>
      <c r="C2529" s="10">
        <f t="shared" si="119"/>
        <v>38577</v>
      </c>
      <c r="D2529" t="s">
        <v>11</v>
      </c>
      <c r="E2529" t="s">
        <v>12</v>
      </c>
      <c r="F2529" t="s">
        <v>143</v>
      </c>
      <c r="G2529" t="s">
        <v>4009</v>
      </c>
      <c r="H2529" t="s">
        <v>4010</v>
      </c>
      <c r="I2529" t="s">
        <v>4011</v>
      </c>
      <c r="J2529" t="s">
        <v>4012</v>
      </c>
      <c r="K2529" t="s">
        <v>2848</v>
      </c>
      <c r="L2529" s="12" t="s">
        <v>207</v>
      </c>
      <c r="M2529" s="12" t="s">
        <v>198</v>
      </c>
      <c r="N2529" s="12" t="s">
        <v>126</v>
      </c>
      <c r="O2529" s="12" t="s">
        <v>107</v>
      </c>
      <c r="P2529" s="12" t="s">
        <v>63</v>
      </c>
      <c r="Q2529" s="7" t="str">
        <f t="shared" si="118"/>
        <v>(2005,32,'2005.08.13',2,9,28,30,78,0),</v>
      </c>
      <c r="R2529" s="7" t="str">
        <f t="shared" si="120"/>
        <v>(2005,32,'2005.08.13',2,9,28,30,78),</v>
      </c>
    </row>
    <row r="2530" spans="1:18" x14ac:dyDescent="0.25">
      <c r="A2530" s="7" t="s">
        <v>3910</v>
      </c>
      <c r="B2530" s="8" t="s">
        <v>20</v>
      </c>
      <c r="C2530" s="10">
        <f t="shared" si="119"/>
        <v>38584</v>
      </c>
      <c r="D2530" t="s">
        <v>11</v>
      </c>
      <c r="E2530" t="s">
        <v>12</v>
      </c>
      <c r="F2530" t="s">
        <v>34</v>
      </c>
      <c r="G2530" t="s">
        <v>4004</v>
      </c>
      <c r="H2530" t="s">
        <v>4005</v>
      </c>
      <c r="I2530" t="s">
        <v>4006</v>
      </c>
      <c r="J2530" t="s">
        <v>4007</v>
      </c>
      <c r="K2530" t="s">
        <v>4008</v>
      </c>
      <c r="L2530" s="12" t="s">
        <v>32</v>
      </c>
      <c r="M2530" s="12" t="s">
        <v>80</v>
      </c>
      <c r="N2530" s="12" t="s">
        <v>122</v>
      </c>
      <c r="O2530" s="12" t="s">
        <v>106</v>
      </c>
      <c r="P2530" s="12" t="s">
        <v>125</v>
      </c>
      <c r="Q2530" s="7" t="str">
        <f t="shared" si="118"/>
        <v>(2005,33,'2005.08.20',22,32,51,75,83,0),</v>
      </c>
      <c r="R2530" s="7" t="str">
        <f t="shared" si="120"/>
        <v>(2005,33,'2005.08.20',22,32,51,75,83),</v>
      </c>
    </row>
    <row r="2531" spans="1:18" x14ac:dyDescent="0.25">
      <c r="A2531" s="7" t="s">
        <v>3910</v>
      </c>
      <c r="B2531" s="8" t="s">
        <v>25</v>
      </c>
      <c r="C2531" s="10">
        <f t="shared" si="119"/>
        <v>38591</v>
      </c>
      <c r="D2531" t="s">
        <v>11</v>
      </c>
      <c r="E2531" t="s">
        <v>12</v>
      </c>
      <c r="F2531" t="s">
        <v>134</v>
      </c>
      <c r="G2531" t="s">
        <v>4000</v>
      </c>
      <c r="H2531" t="s">
        <v>4001</v>
      </c>
      <c r="I2531" t="s">
        <v>4002</v>
      </c>
      <c r="J2531" t="s">
        <v>4003</v>
      </c>
      <c r="K2531" t="s">
        <v>3767</v>
      </c>
      <c r="L2531" s="12" t="s">
        <v>168</v>
      </c>
      <c r="M2531" s="12" t="s">
        <v>80</v>
      </c>
      <c r="N2531" s="12" t="s">
        <v>25</v>
      </c>
      <c r="O2531" s="12" t="s">
        <v>21</v>
      </c>
      <c r="P2531" s="12" t="s">
        <v>63</v>
      </c>
      <c r="Q2531" s="7" t="str">
        <f t="shared" si="118"/>
        <v>(2005,34,'2005.08.27',4,32,34,36,78,0),</v>
      </c>
      <c r="R2531" s="7" t="str">
        <f t="shared" si="120"/>
        <v>(2005,34,'2005.08.27',4,32,34,36,78),</v>
      </c>
    </row>
    <row r="2532" spans="1:18" x14ac:dyDescent="0.25">
      <c r="A2532" s="7" t="s">
        <v>3910</v>
      </c>
      <c r="B2532" s="8" t="s">
        <v>64</v>
      </c>
      <c r="C2532" s="10">
        <f t="shared" si="119"/>
        <v>38598</v>
      </c>
      <c r="D2532" t="s">
        <v>11</v>
      </c>
      <c r="E2532" t="s">
        <v>12</v>
      </c>
      <c r="F2532" t="s">
        <v>135</v>
      </c>
      <c r="G2532" t="s">
        <v>3995</v>
      </c>
      <c r="H2532" t="s">
        <v>3996</v>
      </c>
      <c r="I2532" t="s">
        <v>3997</v>
      </c>
      <c r="J2532" t="s">
        <v>3998</v>
      </c>
      <c r="K2532" t="s">
        <v>3999</v>
      </c>
      <c r="L2532" s="12" t="s">
        <v>90</v>
      </c>
      <c r="M2532" s="12" t="s">
        <v>19</v>
      </c>
      <c r="N2532" s="12" t="s">
        <v>10</v>
      </c>
      <c r="O2532" s="12" t="s">
        <v>98</v>
      </c>
      <c r="P2532" s="12" t="s">
        <v>169</v>
      </c>
      <c r="Q2532" s="7" t="str">
        <f t="shared" si="118"/>
        <v>(2005,35,'2005.09.03',17,18,40,42,58,0),</v>
      </c>
      <c r="R2532" s="7" t="str">
        <f t="shared" si="120"/>
        <v>(2005,35,'2005.09.03',17,18,40,42,58),</v>
      </c>
    </row>
    <row r="2533" spans="1:18" x14ac:dyDescent="0.25">
      <c r="A2533" s="7" t="s">
        <v>3910</v>
      </c>
      <c r="B2533" s="8" t="s">
        <v>21</v>
      </c>
      <c r="C2533" s="10">
        <f t="shared" si="119"/>
        <v>38605</v>
      </c>
      <c r="D2533" t="s">
        <v>11</v>
      </c>
      <c r="E2533" t="s">
        <v>12</v>
      </c>
      <c r="F2533" t="s">
        <v>239</v>
      </c>
      <c r="G2533" t="s">
        <v>3990</v>
      </c>
      <c r="H2533" t="s">
        <v>3991</v>
      </c>
      <c r="I2533" t="s">
        <v>3992</v>
      </c>
      <c r="J2533" t="s">
        <v>3993</v>
      </c>
      <c r="K2533" t="s">
        <v>3994</v>
      </c>
      <c r="L2533" s="12" t="s">
        <v>168</v>
      </c>
      <c r="M2533" s="12" t="s">
        <v>43</v>
      </c>
      <c r="N2533" s="12" t="s">
        <v>32</v>
      </c>
      <c r="O2533" s="12" t="s">
        <v>22</v>
      </c>
      <c r="P2533" s="12" t="s">
        <v>208</v>
      </c>
      <c r="Q2533" s="7" t="str">
        <f t="shared" si="118"/>
        <v>(2005,36,'2005.09.10',4,16,22,48,88,0),</v>
      </c>
      <c r="R2533" s="7" t="str">
        <f t="shared" si="120"/>
        <v>(2005,36,'2005.09.10',4,16,22,48,88),</v>
      </c>
    </row>
    <row r="2534" spans="1:18" x14ac:dyDescent="0.25">
      <c r="A2534" s="7" t="s">
        <v>3910</v>
      </c>
      <c r="B2534" s="8" t="s">
        <v>46</v>
      </c>
      <c r="C2534" s="10">
        <f t="shared" si="119"/>
        <v>38612</v>
      </c>
      <c r="D2534" t="s">
        <v>11</v>
      </c>
      <c r="E2534" t="s">
        <v>12</v>
      </c>
      <c r="F2534" t="s">
        <v>199</v>
      </c>
      <c r="G2534" t="s">
        <v>3985</v>
      </c>
      <c r="H2534" t="s">
        <v>3986</v>
      </c>
      <c r="I2534" t="s">
        <v>3987</v>
      </c>
      <c r="J2534" t="s">
        <v>3988</v>
      </c>
      <c r="K2534" t="s">
        <v>3989</v>
      </c>
      <c r="L2534" s="12" t="s">
        <v>42</v>
      </c>
      <c r="M2534" s="12" t="s">
        <v>20</v>
      </c>
      <c r="N2534" s="12" t="s">
        <v>199</v>
      </c>
      <c r="O2534" s="12" t="s">
        <v>23</v>
      </c>
      <c r="P2534" s="12" t="s">
        <v>91</v>
      </c>
      <c r="Q2534" s="7" t="str">
        <f t="shared" si="118"/>
        <v>(2005,37,'2005.09.17',3,33,53,60,61,0),</v>
      </c>
      <c r="R2534" s="7" t="str">
        <f t="shared" si="120"/>
        <v>(2005,37,'2005.09.17',3,33,53,60,61),</v>
      </c>
    </row>
    <row r="2535" spans="1:18" x14ac:dyDescent="0.25">
      <c r="A2535" s="7" t="s">
        <v>3910</v>
      </c>
      <c r="B2535" s="8" t="s">
        <v>36</v>
      </c>
      <c r="C2535" s="10">
        <f t="shared" si="119"/>
        <v>38619</v>
      </c>
      <c r="D2535" t="s">
        <v>11</v>
      </c>
      <c r="E2535" t="s">
        <v>12</v>
      </c>
      <c r="F2535" t="s">
        <v>34</v>
      </c>
      <c r="G2535" t="s">
        <v>3980</v>
      </c>
      <c r="H2535" t="s">
        <v>3981</v>
      </c>
      <c r="I2535" t="s">
        <v>3982</v>
      </c>
      <c r="J2535" t="s">
        <v>3983</v>
      </c>
      <c r="K2535" t="s">
        <v>3984</v>
      </c>
      <c r="L2535" s="12" t="s">
        <v>232</v>
      </c>
      <c r="M2535" s="12" t="s">
        <v>21</v>
      </c>
      <c r="N2535" s="12" t="s">
        <v>142</v>
      </c>
      <c r="O2535" s="12" t="s">
        <v>175</v>
      </c>
      <c r="P2535" s="12" t="s">
        <v>73</v>
      </c>
      <c r="Q2535" s="7" t="str">
        <f t="shared" si="118"/>
        <v>(2005,38,'2005.09.24',8,36,44,55,76,0),</v>
      </c>
      <c r="R2535" s="7" t="str">
        <f t="shared" si="120"/>
        <v>(2005,38,'2005.09.24',8,36,44,55,76),</v>
      </c>
    </row>
    <row r="2536" spans="1:18" x14ac:dyDescent="0.25">
      <c r="A2536" s="7" t="s">
        <v>3910</v>
      </c>
      <c r="B2536" s="8" t="s">
        <v>24</v>
      </c>
      <c r="C2536" s="10">
        <f t="shared" si="119"/>
        <v>38626</v>
      </c>
      <c r="D2536" t="s">
        <v>11</v>
      </c>
      <c r="E2536" t="s">
        <v>12</v>
      </c>
      <c r="F2536" t="s">
        <v>214</v>
      </c>
      <c r="G2536" t="s">
        <v>3976</v>
      </c>
      <c r="H2536" t="s">
        <v>3977</v>
      </c>
      <c r="I2536" t="s">
        <v>3978</v>
      </c>
      <c r="J2536" t="s">
        <v>3979</v>
      </c>
      <c r="K2536" t="s">
        <v>3936</v>
      </c>
      <c r="L2536" s="12" t="s">
        <v>71</v>
      </c>
      <c r="M2536" s="12" t="s">
        <v>142</v>
      </c>
      <c r="N2536" s="12" t="s">
        <v>175</v>
      </c>
      <c r="O2536" s="12" t="s">
        <v>72</v>
      </c>
      <c r="P2536" s="12" t="s">
        <v>239</v>
      </c>
      <c r="Q2536" s="7" t="str">
        <f t="shared" si="118"/>
        <v>(2005,39,'2005.10.01',31,44,55,67,73,0),</v>
      </c>
      <c r="R2536" s="7" t="str">
        <f t="shared" si="120"/>
        <v>(2005,39,'2005.10.01',31,44,55,67,73),</v>
      </c>
    </row>
    <row r="2537" spans="1:18" x14ac:dyDescent="0.25">
      <c r="A2537" s="7" t="s">
        <v>3910</v>
      </c>
      <c r="B2537" s="8" t="s">
        <v>10</v>
      </c>
      <c r="C2537" s="10">
        <f t="shared" si="119"/>
        <v>38633</v>
      </c>
      <c r="D2537" t="s">
        <v>11</v>
      </c>
      <c r="E2537" t="s">
        <v>12</v>
      </c>
      <c r="F2537" t="s">
        <v>186</v>
      </c>
      <c r="G2537" t="s">
        <v>3971</v>
      </c>
      <c r="H2537" t="s">
        <v>3972</v>
      </c>
      <c r="I2537" t="s">
        <v>3973</v>
      </c>
      <c r="J2537" t="s">
        <v>3974</v>
      </c>
      <c r="K2537" t="s">
        <v>3975</v>
      </c>
      <c r="L2537" s="12" t="s">
        <v>42</v>
      </c>
      <c r="M2537" s="12" t="s">
        <v>55</v>
      </c>
      <c r="N2537" s="12" t="s">
        <v>105</v>
      </c>
      <c r="O2537" s="12" t="s">
        <v>82</v>
      </c>
      <c r="P2537" s="12" t="s">
        <v>200</v>
      </c>
      <c r="Q2537" s="7" t="str">
        <f t="shared" si="118"/>
        <v>(2005,40,'2005.10.08',3,19,50,59,70,0),</v>
      </c>
      <c r="R2537" s="7" t="str">
        <f t="shared" si="120"/>
        <v>(2005,40,'2005.10.08',3,19,50,59,70),</v>
      </c>
    </row>
    <row r="2538" spans="1:18" x14ac:dyDescent="0.25">
      <c r="A2538" s="7" t="s">
        <v>3910</v>
      </c>
      <c r="B2538" s="8" t="s">
        <v>13</v>
      </c>
      <c r="C2538" s="10">
        <f t="shared" si="119"/>
        <v>38640</v>
      </c>
      <c r="D2538" t="s">
        <v>11</v>
      </c>
      <c r="E2538" t="s">
        <v>12</v>
      </c>
      <c r="F2538" t="s">
        <v>142</v>
      </c>
      <c r="G2538" t="s">
        <v>3966</v>
      </c>
      <c r="H2538" t="s">
        <v>3967</v>
      </c>
      <c r="I2538" t="s">
        <v>3968</v>
      </c>
      <c r="J2538" t="s">
        <v>3969</v>
      </c>
      <c r="K2538" t="s">
        <v>3970</v>
      </c>
      <c r="L2538" s="12" t="s">
        <v>25</v>
      </c>
      <c r="M2538" s="12" t="s">
        <v>142</v>
      </c>
      <c r="N2538" s="12" t="s">
        <v>175</v>
      </c>
      <c r="O2538" s="12" t="s">
        <v>124</v>
      </c>
      <c r="P2538" s="12" t="s">
        <v>106</v>
      </c>
      <c r="Q2538" s="7" t="str">
        <f t="shared" si="118"/>
        <v>(2005,41,'2005.10.15',34,44,55,62,75,0),</v>
      </c>
      <c r="R2538" s="7" t="str">
        <f t="shared" si="120"/>
        <v>(2005,41,'2005.10.15',34,44,55,62,75),</v>
      </c>
    </row>
    <row r="2539" spans="1:18" x14ac:dyDescent="0.25">
      <c r="A2539" s="7" t="s">
        <v>3910</v>
      </c>
      <c r="B2539" s="8" t="s">
        <v>98</v>
      </c>
      <c r="C2539" s="10">
        <f t="shared" si="119"/>
        <v>38647</v>
      </c>
      <c r="D2539" t="s">
        <v>11</v>
      </c>
      <c r="E2539" t="s">
        <v>12</v>
      </c>
      <c r="F2539" t="s">
        <v>34</v>
      </c>
      <c r="G2539" t="s">
        <v>3961</v>
      </c>
      <c r="H2539" t="s">
        <v>3962</v>
      </c>
      <c r="I2539" t="s">
        <v>3963</v>
      </c>
      <c r="J2539" t="s">
        <v>3964</v>
      </c>
      <c r="K2539" t="s">
        <v>3965</v>
      </c>
      <c r="L2539" s="12" t="s">
        <v>168</v>
      </c>
      <c r="M2539" s="12" t="s">
        <v>122</v>
      </c>
      <c r="N2539" s="12" t="s">
        <v>233</v>
      </c>
      <c r="O2539" s="12" t="s">
        <v>245</v>
      </c>
      <c r="P2539" s="12" t="s">
        <v>125</v>
      </c>
      <c r="Q2539" s="7" t="str">
        <f t="shared" si="118"/>
        <v>(2005,42,'2005.10.22',4,51,66,74,83,0),</v>
      </c>
      <c r="R2539" s="7" t="str">
        <f t="shared" si="120"/>
        <v>(2005,42,'2005.10.22',4,51,66,74,83),</v>
      </c>
    </row>
    <row r="2540" spans="1:18" x14ac:dyDescent="0.25">
      <c r="A2540" s="7" t="s">
        <v>3910</v>
      </c>
      <c r="B2540" s="8" t="s">
        <v>45</v>
      </c>
      <c r="C2540" s="10">
        <f t="shared" si="119"/>
        <v>38654</v>
      </c>
      <c r="D2540" t="s">
        <v>11</v>
      </c>
      <c r="E2540" t="s">
        <v>12</v>
      </c>
      <c r="F2540" t="s">
        <v>23</v>
      </c>
      <c r="G2540" t="s">
        <v>3957</v>
      </c>
      <c r="H2540" t="s">
        <v>3958</v>
      </c>
      <c r="I2540" t="s">
        <v>3959</v>
      </c>
      <c r="J2540" t="s">
        <v>3960</v>
      </c>
      <c r="K2540" t="s">
        <v>2978</v>
      </c>
      <c r="L2540" s="12" t="s">
        <v>20</v>
      </c>
      <c r="M2540" s="12" t="s">
        <v>46</v>
      </c>
      <c r="N2540" s="12" t="s">
        <v>10</v>
      </c>
      <c r="O2540" s="12" t="s">
        <v>122</v>
      </c>
      <c r="P2540" s="12" t="s">
        <v>99</v>
      </c>
      <c r="Q2540" s="7" t="str">
        <f t="shared" si="118"/>
        <v>(2005,43,'2005.10.29',33,37,40,51,52,0),</v>
      </c>
      <c r="R2540" s="7" t="str">
        <f t="shared" si="120"/>
        <v>(2005,43,'2005.10.29',33,37,40,51,52),</v>
      </c>
    </row>
    <row r="2541" spans="1:18" x14ac:dyDescent="0.25">
      <c r="A2541" s="7" t="s">
        <v>3910</v>
      </c>
      <c r="B2541" s="8" t="s">
        <v>142</v>
      </c>
      <c r="C2541" s="10">
        <f t="shared" si="119"/>
        <v>38661</v>
      </c>
      <c r="D2541" t="s">
        <v>108</v>
      </c>
      <c r="E2541" t="s">
        <v>3951</v>
      </c>
      <c r="F2541" t="s">
        <v>199</v>
      </c>
      <c r="G2541" t="s">
        <v>3952</v>
      </c>
      <c r="H2541" t="s">
        <v>3953</v>
      </c>
      <c r="I2541" t="s">
        <v>3954</v>
      </c>
      <c r="J2541" t="s">
        <v>3955</v>
      </c>
      <c r="K2541" t="s">
        <v>3956</v>
      </c>
      <c r="L2541" s="12" t="s">
        <v>54</v>
      </c>
      <c r="M2541" s="12" t="s">
        <v>32</v>
      </c>
      <c r="N2541" s="12" t="s">
        <v>126</v>
      </c>
      <c r="O2541" s="12" t="s">
        <v>13</v>
      </c>
      <c r="P2541" s="12" t="s">
        <v>150</v>
      </c>
      <c r="Q2541" s="7" t="str">
        <f t="shared" si="118"/>
        <v>(2005,44,'2005.11.05',15,22,28,41,57,0),</v>
      </c>
      <c r="R2541" s="7" t="str">
        <f t="shared" si="120"/>
        <v>(2005,44,'2005.11.05',15,22,28,41,57),</v>
      </c>
    </row>
    <row r="2542" spans="1:18" x14ac:dyDescent="0.25">
      <c r="A2542" s="7" t="s">
        <v>3910</v>
      </c>
      <c r="B2542" s="8" t="s">
        <v>133</v>
      </c>
      <c r="C2542" s="10">
        <f t="shared" si="119"/>
        <v>38668</v>
      </c>
      <c r="D2542" t="s">
        <v>11</v>
      </c>
      <c r="E2542" t="s">
        <v>12</v>
      </c>
      <c r="F2542" t="s">
        <v>115</v>
      </c>
      <c r="G2542" t="s">
        <v>3946</v>
      </c>
      <c r="H2542" t="s">
        <v>3947</v>
      </c>
      <c r="I2542" t="s">
        <v>3948</v>
      </c>
      <c r="J2542" t="s">
        <v>3949</v>
      </c>
      <c r="K2542" t="s">
        <v>3950</v>
      </c>
      <c r="L2542" s="12" t="s">
        <v>21</v>
      </c>
      <c r="M2542" s="12" t="s">
        <v>10</v>
      </c>
      <c r="N2542" s="12" t="s">
        <v>99</v>
      </c>
      <c r="O2542" s="12" t="s">
        <v>151</v>
      </c>
      <c r="P2542" s="12" t="s">
        <v>301</v>
      </c>
      <c r="Q2542" s="7" t="str">
        <f t="shared" si="118"/>
        <v>(2005,45,'2005.11.12',36,40,52,79,80,0),</v>
      </c>
      <c r="R2542" s="7" t="str">
        <f t="shared" si="120"/>
        <v>(2005,45,'2005.11.12',36,40,52,79,80),</v>
      </c>
    </row>
    <row r="2543" spans="1:18" x14ac:dyDescent="0.25">
      <c r="A2543" s="7" t="s">
        <v>3910</v>
      </c>
      <c r="B2543" s="8" t="s">
        <v>192</v>
      </c>
      <c r="C2543" s="10">
        <f t="shared" si="119"/>
        <v>38675</v>
      </c>
      <c r="D2543" t="s">
        <v>11</v>
      </c>
      <c r="E2543" t="s">
        <v>12</v>
      </c>
      <c r="F2543" t="s">
        <v>24</v>
      </c>
      <c r="G2543" t="s">
        <v>3941</v>
      </c>
      <c r="H2543" t="s">
        <v>3942</v>
      </c>
      <c r="I2543" t="s">
        <v>3943</v>
      </c>
      <c r="J2543" t="s">
        <v>3944</v>
      </c>
      <c r="K2543" t="s">
        <v>3945</v>
      </c>
      <c r="L2543" s="12" t="s">
        <v>89</v>
      </c>
      <c r="M2543" s="12" t="s">
        <v>127</v>
      </c>
      <c r="N2543" s="12" t="s">
        <v>54</v>
      </c>
      <c r="O2543" s="12" t="s">
        <v>134</v>
      </c>
      <c r="P2543" s="12" t="s">
        <v>151</v>
      </c>
      <c r="Q2543" s="7" t="str">
        <f t="shared" si="118"/>
        <v>(2005,46,'2005.11.19',5,14,15,56,79,0),</v>
      </c>
      <c r="R2543" s="7" t="str">
        <f t="shared" si="120"/>
        <v>(2005,46,'2005.11.19',5,14,15,56,79),</v>
      </c>
    </row>
    <row r="2544" spans="1:18" x14ac:dyDescent="0.25">
      <c r="A2544" s="7" t="s">
        <v>3910</v>
      </c>
      <c r="B2544" s="8" t="s">
        <v>81</v>
      </c>
      <c r="C2544" s="10">
        <f t="shared" si="119"/>
        <v>38682</v>
      </c>
      <c r="D2544" t="s">
        <v>11</v>
      </c>
      <c r="E2544" t="s">
        <v>12</v>
      </c>
      <c r="F2544" t="s">
        <v>74</v>
      </c>
      <c r="G2544" t="s">
        <v>3937</v>
      </c>
      <c r="H2544" t="s">
        <v>3227</v>
      </c>
      <c r="I2544" t="s">
        <v>3938</v>
      </c>
      <c r="J2544" t="s">
        <v>3939</v>
      </c>
      <c r="K2544" t="s">
        <v>3940</v>
      </c>
      <c r="L2544" s="12" t="s">
        <v>89</v>
      </c>
      <c r="M2544" s="12" t="s">
        <v>107</v>
      </c>
      <c r="N2544" s="12" t="s">
        <v>201</v>
      </c>
      <c r="O2544" s="12" t="s">
        <v>269</v>
      </c>
      <c r="P2544" s="12" t="s">
        <v>208</v>
      </c>
      <c r="Q2544" s="7" t="str">
        <f t="shared" si="118"/>
        <v>(2005,47,'2005.11.26',5,30,72,87,88,0),</v>
      </c>
      <c r="R2544" s="7" t="str">
        <f t="shared" si="120"/>
        <v>(2005,47,'2005.11.26',5,30,72,87,88),</v>
      </c>
    </row>
    <row r="2545" spans="1:18" x14ac:dyDescent="0.25">
      <c r="A2545" s="7" t="s">
        <v>3910</v>
      </c>
      <c r="B2545" s="8" t="s">
        <v>22</v>
      </c>
      <c r="C2545" s="10">
        <f t="shared" si="119"/>
        <v>38689</v>
      </c>
      <c r="D2545" t="s">
        <v>11</v>
      </c>
      <c r="E2545" t="s">
        <v>12</v>
      </c>
      <c r="F2545" t="s">
        <v>64</v>
      </c>
      <c r="G2545" t="s">
        <v>3932</v>
      </c>
      <c r="H2545" t="s">
        <v>3933</v>
      </c>
      <c r="I2545" t="s">
        <v>3934</v>
      </c>
      <c r="J2545" t="s">
        <v>3935</v>
      </c>
      <c r="K2545" t="s">
        <v>3936</v>
      </c>
      <c r="L2545" s="12" t="s">
        <v>36</v>
      </c>
      <c r="M2545" s="12" t="s">
        <v>133</v>
      </c>
      <c r="N2545" s="12" t="s">
        <v>134</v>
      </c>
      <c r="O2545" s="12" t="s">
        <v>248</v>
      </c>
      <c r="P2545" s="12" t="s">
        <v>63</v>
      </c>
      <c r="Q2545" s="7" t="str">
        <f t="shared" si="118"/>
        <v>(2005,48,'2005.12.03',38,45,56,63,78,0),</v>
      </c>
      <c r="R2545" s="7" t="str">
        <f t="shared" si="120"/>
        <v>(2005,48,'2005.12.03',38,45,56,63,78),</v>
      </c>
    </row>
    <row r="2546" spans="1:18" x14ac:dyDescent="0.25">
      <c r="A2546" s="7" t="s">
        <v>3910</v>
      </c>
      <c r="B2546" s="8" t="s">
        <v>34</v>
      </c>
      <c r="C2546" s="10">
        <f t="shared" si="119"/>
        <v>38696</v>
      </c>
      <c r="D2546" t="s">
        <v>11</v>
      </c>
      <c r="E2546" t="s">
        <v>12</v>
      </c>
      <c r="F2546" t="s">
        <v>92</v>
      </c>
      <c r="G2546" t="s">
        <v>3928</v>
      </c>
      <c r="H2546" t="s">
        <v>3929</v>
      </c>
      <c r="I2546" t="s">
        <v>3930</v>
      </c>
      <c r="J2546" t="s">
        <v>3931</v>
      </c>
      <c r="K2546" t="s">
        <v>2876</v>
      </c>
      <c r="L2546" s="12" t="s">
        <v>53</v>
      </c>
      <c r="M2546" s="12" t="s">
        <v>83</v>
      </c>
      <c r="N2546" s="12" t="s">
        <v>43</v>
      </c>
      <c r="O2546" s="12" t="s">
        <v>105</v>
      </c>
      <c r="P2546" s="12" t="s">
        <v>308</v>
      </c>
      <c r="Q2546" s="7" t="str">
        <f t="shared" si="118"/>
        <v>(2005,49,'2005.12.10',7,11,16,50,86,0),</v>
      </c>
      <c r="R2546" s="7" t="str">
        <f t="shared" si="120"/>
        <v>(2005,49,'2005.12.10',7,11,16,50,86),</v>
      </c>
    </row>
    <row r="2547" spans="1:18" x14ac:dyDescent="0.25">
      <c r="A2547" s="7" t="s">
        <v>3910</v>
      </c>
      <c r="B2547" s="8" t="s">
        <v>105</v>
      </c>
      <c r="C2547" s="10">
        <f t="shared" si="119"/>
        <v>38703</v>
      </c>
      <c r="D2547" t="s">
        <v>11</v>
      </c>
      <c r="E2547" t="s">
        <v>12</v>
      </c>
      <c r="F2547" t="s">
        <v>215</v>
      </c>
      <c r="G2547" t="s">
        <v>3923</v>
      </c>
      <c r="H2547" t="s">
        <v>3924</v>
      </c>
      <c r="I2547" t="s">
        <v>3925</v>
      </c>
      <c r="J2547" t="s">
        <v>3926</v>
      </c>
      <c r="K2547" t="s">
        <v>3927</v>
      </c>
      <c r="L2547" s="12" t="s">
        <v>42</v>
      </c>
      <c r="M2547" s="12" t="s">
        <v>19</v>
      </c>
      <c r="N2547" s="12" t="s">
        <v>55</v>
      </c>
      <c r="O2547" s="12" t="s">
        <v>23</v>
      </c>
      <c r="P2547" s="12" t="s">
        <v>151</v>
      </c>
      <c r="Q2547" s="7" t="str">
        <f t="shared" si="118"/>
        <v>(2005,50,'2005.12.17',3,18,19,60,79,0),</v>
      </c>
      <c r="R2547" s="7" t="str">
        <f t="shared" si="120"/>
        <v>(2005,50,'2005.12.17',3,18,19,60,79),</v>
      </c>
    </row>
    <row r="2548" spans="1:18" x14ac:dyDescent="0.25">
      <c r="A2548" s="7" t="s">
        <v>3910</v>
      </c>
      <c r="B2548" s="8" t="s">
        <v>122</v>
      </c>
      <c r="C2548" s="10">
        <f t="shared" si="119"/>
        <v>38710</v>
      </c>
      <c r="D2548" t="s">
        <v>207</v>
      </c>
      <c r="E2548" t="s">
        <v>3916</v>
      </c>
      <c r="F2548" t="s">
        <v>3917</v>
      </c>
      <c r="G2548" t="s">
        <v>3918</v>
      </c>
      <c r="H2548" t="s">
        <v>3919</v>
      </c>
      <c r="I2548" t="s">
        <v>3920</v>
      </c>
      <c r="J2548" t="s">
        <v>3921</v>
      </c>
      <c r="K2548" t="s">
        <v>3922</v>
      </c>
      <c r="L2548" s="12" t="s">
        <v>270</v>
      </c>
      <c r="M2548" s="12" t="s">
        <v>55</v>
      </c>
      <c r="N2548" s="12" t="s">
        <v>71</v>
      </c>
      <c r="O2548" s="12" t="s">
        <v>201</v>
      </c>
      <c r="P2548" s="12" t="s">
        <v>215</v>
      </c>
      <c r="Q2548" s="7" t="str">
        <f t="shared" si="118"/>
        <v>(2005,51,'2005.12.24',6,19,31,72,81,0),</v>
      </c>
      <c r="R2548" s="7" t="str">
        <f t="shared" si="120"/>
        <v>(2005,51,'2005.12.24',6,19,31,72,81),</v>
      </c>
    </row>
    <row r="2549" spans="1:18" x14ac:dyDescent="0.25">
      <c r="A2549" s="7" t="s">
        <v>3910</v>
      </c>
      <c r="B2549" s="8" t="s">
        <v>99</v>
      </c>
      <c r="C2549" s="10">
        <f t="shared" si="119"/>
        <v>38717</v>
      </c>
      <c r="D2549" t="s">
        <v>11</v>
      </c>
      <c r="E2549" t="s">
        <v>12</v>
      </c>
      <c r="F2549" t="s">
        <v>169</v>
      </c>
      <c r="G2549" t="s">
        <v>3911</v>
      </c>
      <c r="H2549" t="s">
        <v>3912</v>
      </c>
      <c r="I2549" t="s">
        <v>3913</v>
      </c>
      <c r="J2549" t="s">
        <v>3914</v>
      </c>
      <c r="K2549" t="s">
        <v>3915</v>
      </c>
      <c r="L2549" s="12" t="s">
        <v>65</v>
      </c>
      <c r="M2549" s="12" t="s">
        <v>64</v>
      </c>
      <c r="N2549" s="12" t="s">
        <v>24</v>
      </c>
      <c r="O2549" s="12" t="s">
        <v>98</v>
      </c>
      <c r="P2549" s="12" t="s">
        <v>169</v>
      </c>
      <c r="Q2549" s="7" t="str">
        <f t="shared" si="118"/>
        <v>(2005,52,'2005.12.31',13,35,39,42,58,0),</v>
      </c>
      <c r="R2549" s="7" t="str">
        <f t="shared" si="120"/>
        <v>(2005,52,'2005.12.31',13,35,39,42,58),</v>
      </c>
    </row>
    <row r="2550" spans="1:18" x14ac:dyDescent="0.25">
      <c r="A2550" s="7" t="s">
        <v>3664</v>
      </c>
      <c r="B2550" s="8" t="s">
        <v>108</v>
      </c>
      <c r="C2550" s="10">
        <f t="shared" si="119"/>
        <v>38724</v>
      </c>
      <c r="D2550" t="s">
        <v>11</v>
      </c>
      <c r="E2550" t="s">
        <v>12</v>
      </c>
      <c r="F2550" t="s">
        <v>3904</v>
      </c>
      <c r="G2550" t="s">
        <v>3905</v>
      </c>
      <c r="H2550" t="s">
        <v>3906</v>
      </c>
      <c r="I2550" t="s">
        <v>3907</v>
      </c>
      <c r="J2550" t="s">
        <v>3908</v>
      </c>
      <c r="K2550" t="s">
        <v>3909</v>
      </c>
      <c r="L2550" s="12" t="s">
        <v>89</v>
      </c>
      <c r="M2550" s="12" t="s">
        <v>55</v>
      </c>
      <c r="N2550" s="12" t="s">
        <v>44</v>
      </c>
      <c r="O2550" s="12" t="s">
        <v>142</v>
      </c>
      <c r="P2550" s="12" t="s">
        <v>47</v>
      </c>
      <c r="Q2550" s="7" t="str">
        <f t="shared" si="118"/>
        <v>(2006,1,'2006.01.07',5,19,21,44,69,0),</v>
      </c>
      <c r="R2550" s="7" t="str">
        <f t="shared" si="120"/>
        <v>(2006,1,'2006.01.07',5,19,21,44,69),</v>
      </c>
    </row>
    <row r="2551" spans="1:18" x14ac:dyDescent="0.25">
      <c r="A2551" s="7" t="s">
        <v>3664</v>
      </c>
      <c r="B2551" s="8" t="s">
        <v>207</v>
      </c>
      <c r="C2551" s="10">
        <f t="shared" si="119"/>
        <v>38731</v>
      </c>
      <c r="D2551" t="s">
        <v>11</v>
      </c>
      <c r="E2551" t="s">
        <v>12</v>
      </c>
      <c r="F2551" t="s">
        <v>115</v>
      </c>
      <c r="G2551" t="s">
        <v>3899</v>
      </c>
      <c r="H2551" t="s">
        <v>3900</v>
      </c>
      <c r="I2551" t="s">
        <v>3901</v>
      </c>
      <c r="J2551" t="s">
        <v>3902</v>
      </c>
      <c r="K2551" t="s">
        <v>3903</v>
      </c>
      <c r="L2551" s="12" t="s">
        <v>64</v>
      </c>
      <c r="M2551" s="12" t="s">
        <v>21</v>
      </c>
      <c r="N2551" s="12" t="s">
        <v>98</v>
      </c>
      <c r="O2551" s="12" t="s">
        <v>81</v>
      </c>
      <c r="P2551" s="12" t="s">
        <v>23</v>
      </c>
      <c r="Q2551" s="7" t="str">
        <f t="shared" si="118"/>
        <v>(2006,2,'2006.01.14',35,36,42,47,60,0),</v>
      </c>
      <c r="R2551" s="7" t="str">
        <f t="shared" si="120"/>
        <v>(2006,2,'2006.01.14',35,36,42,47,60),</v>
      </c>
    </row>
    <row r="2552" spans="1:18" x14ac:dyDescent="0.25">
      <c r="A2552" s="7" t="s">
        <v>3664</v>
      </c>
      <c r="B2552" s="8" t="s">
        <v>42</v>
      </c>
      <c r="C2552" s="10">
        <f t="shared" si="119"/>
        <v>38738</v>
      </c>
      <c r="D2552" t="s">
        <v>11</v>
      </c>
      <c r="E2552" t="s">
        <v>12</v>
      </c>
      <c r="F2552" t="s">
        <v>81</v>
      </c>
      <c r="G2552" t="s">
        <v>3895</v>
      </c>
      <c r="H2552" t="s">
        <v>3896</v>
      </c>
      <c r="I2552" t="s">
        <v>3897</v>
      </c>
      <c r="J2552" t="s">
        <v>3898</v>
      </c>
      <c r="K2552" t="s">
        <v>2356</v>
      </c>
      <c r="L2552" s="12" t="s">
        <v>108</v>
      </c>
      <c r="M2552" s="12" t="s">
        <v>20</v>
      </c>
      <c r="N2552" s="12" t="s">
        <v>34</v>
      </c>
      <c r="O2552" s="12" t="s">
        <v>134</v>
      </c>
      <c r="P2552" s="12" t="s">
        <v>47</v>
      </c>
      <c r="Q2552" s="7" t="str">
        <f t="shared" si="118"/>
        <v>(2006,3,'2006.01.21',1,33,49,56,69,0),</v>
      </c>
      <c r="R2552" s="7" t="str">
        <f t="shared" si="120"/>
        <v>(2006,3,'2006.01.21',1,33,49,56,69),</v>
      </c>
    </row>
    <row r="2553" spans="1:18" x14ac:dyDescent="0.25">
      <c r="A2553" s="7" t="s">
        <v>3664</v>
      </c>
      <c r="B2553" s="8" t="s">
        <v>168</v>
      </c>
      <c r="C2553" s="10">
        <f t="shared" si="119"/>
        <v>38745</v>
      </c>
      <c r="D2553" t="s">
        <v>11</v>
      </c>
      <c r="E2553" t="s">
        <v>12</v>
      </c>
      <c r="F2553" t="s">
        <v>163</v>
      </c>
      <c r="G2553" t="s">
        <v>3890</v>
      </c>
      <c r="H2553" t="s">
        <v>3891</v>
      </c>
      <c r="I2553" t="s">
        <v>3892</v>
      </c>
      <c r="J2553" t="s">
        <v>3893</v>
      </c>
      <c r="K2553" t="s">
        <v>3894</v>
      </c>
      <c r="L2553" s="12" t="s">
        <v>65</v>
      </c>
      <c r="M2553" s="12" t="s">
        <v>248</v>
      </c>
      <c r="N2553" s="12" t="s">
        <v>35</v>
      </c>
      <c r="O2553" s="12" t="s">
        <v>233</v>
      </c>
      <c r="P2553" s="12" t="s">
        <v>245</v>
      </c>
      <c r="Q2553" s="7" t="str">
        <f t="shared" si="118"/>
        <v>(2006,4,'2006.01.28',13,63,65,66,74,0),</v>
      </c>
      <c r="R2553" s="7" t="str">
        <f t="shared" si="120"/>
        <v>(2006,4,'2006.01.28',13,63,65,66,74),</v>
      </c>
    </row>
    <row r="2554" spans="1:18" x14ac:dyDescent="0.25">
      <c r="A2554" s="7" t="s">
        <v>3664</v>
      </c>
      <c r="B2554" s="8" t="s">
        <v>89</v>
      </c>
      <c r="C2554" s="10">
        <f t="shared" si="119"/>
        <v>38752</v>
      </c>
      <c r="D2554" t="s">
        <v>11</v>
      </c>
      <c r="E2554" t="s">
        <v>12</v>
      </c>
      <c r="F2554" t="s">
        <v>134</v>
      </c>
      <c r="G2554" t="s">
        <v>3886</v>
      </c>
      <c r="H2554" t="s">
        <v>3887</v>
      </c>
      <c r="I2554" t="s">
        <v>2163</v>
      </c>
      <c r="J2554" t="s">
        <v>3888</v>
      </c>
      <c r="K2554" t="s">
        <v>3889</v>
      </c>
      <c r="L2554" s="12" t="s">
        <v>44</v>
      </c>
      <c r="M2554" s="12" t="s">
        <v>133</v>
      </c>
      <c r="N2554" s="12" t="s">
        <v>99</v>
      </c>
      <c r="O2554" s="12" t="s">
        <v>47</v>
      </c>
      <c r="P2554" s="12" t="s">
        <v>125</v>
      </c>
      <c r="Q2554" s="7" t="str">
        <f t="shared" si="118"/>
        <v>(2006,5,'2006.02.04',21,45,52,69,83,0),</v>
      </c>
      <c r="R2554" s="7" t="str">
        <f t="shared" si="120"/>
        <v>(2006,5,'2006.02.04',21,45,52,69,83),</v>
      </c>
    </row>
    <row r="2555" spans="1:18" x14ac:dyDescent="0.25">
      <c r="A2555" s="7" t="s">
        <v>3664</v>
      </c>
      <c r="B2555" s="8" t="s">
        <v>270</v>
      </c>
      <c r="C2555" s="10">
        <f t="shared" si="119"/>
        <v>38759</v>
      </c>
      <c r="D2555" t="s">
        <v>11</v>
      </c>
      <c r="E2555" t="s">
        <v>12</v>
      </c>
      <c r="F2555" t="s">
        <v>192</v>
      </c>
      <c r="G2555" t="s">
        <v>3881</v>
      </c>
      <c r="H2555" t="s">
        <v>3882</v>
      </c>
      <c r="I2555" t="s">
        <v>3883</v>
      </c>
      <c r="J2555" t="s">
        <v>3884</v>
      </c>
      <c r="K2555" t="s">
        <v>3885</v>
      </c>
      <c r="L2555" s="12" t="s">
        <v>99</v>
      </c>
      <c r="M2555" s="12" t="s">
        <v>175</v>
      </c>
      <c r="N2555" s="12" t="s">
        <v>134</v>
      </c>
      <c r="O2555" s="12" t="s">
        <v>214</v>
      </c>
      <c r="P2555" s="12" t="s">
        <v>215</v>
      </c>
      <c r="Q2555" s="7" t="str">
        <f t="shared" si="118"/>
        <v>(2006,6,'2006.02.11',52,55,56,64,81,0),</v>
      </c>
      <c r="R2555" s="7" t="str">
        <f t="shared" si="120"/>
        <v>(2006,6,'2006.02.11',52,55,56,64,81),</v>
      </c>
    </row>
    <row r="2556" spans="1:18" x14ac:dyDescent="0.25">
      <c r="A2556" s="7" t="s">
        <v>3664</v>
      </c>
      <c r="B2556" s="8" t="s">
        <v>53</v>
      </c>
      <c r="C2556" s="10">
        <f t="shared" si="119"/>
        <v>38766</v>
      </c>
      <c r="D2556" t="s">
        <v>11</v>
      </c>
      <c r="E2556" t="s">
        <v>12</v>
      </c>
      <c r="F2556" t="s">
        <v>21</v>
      </c>
      <c r="G2556" t="s">
        <v>3877</v>
      </c>
      <c r="H2556" t="s">
        <v>3878</v>
      </c>
      <c r="I2556" t="s">
        <v>3879</v>
      </c>
      <c r="J2556" t="s">
        <v>3880</v>
      </c>
      <c r="K2556" t="s">
        <v>2004</v>
      </c>
      <c r="L2556" s="12" t="s">
        <v>55</v>
      </c>
      <c r="M2556" s="12" t="s">
        <v>135</v>
      </c>
      <c r="N2556" s="12" t="s">
        <v>10</v>
      </c>
      <c r="O2556" s="12" t="s">
        <v>301</v>
      </c>
      <c r="P2556" s="12" t="s">
        <v>269</v>
      </c>
      <c r="Q2556" s="7" t="str">
        <f t="shared" si="118"/>
        <v>(2006,7,'2006.02.18',19,27,40,80,87,0),</v>
      </c>
      <c r="R2556" s="7" t="str">
        <f t="shared" si="120"/>
        <v>(2006,7,'2006.02.18',19,27,40,80,87),</v>
      </c>
    </row>
    <row r="2557" spans="1:18" x14ac:dyDescent="0.25">
      <c r="A2557" s="7" t="s">
        <v>3664</v>
      </c>
      <c r="B2557" s="8" t="s">
        <v>232</v>
      </c>
      <c r="C2557" s="10">
        <f t="shared" si="119"/>
        <v>38773</v>
      </c>
      <c r="D2557" t="s">
        <v>11</v>
      </c>
      <c r="E2557" t="s">
        <v>12</v>
      </c>
      <c r="F2557" t="s">
        <v>91</v>
      </c>
      <c r="G2557" t="s">
        <v>3872</v>
      </c>
      <c r="H2557" t="s">
        <v>3873</v>
      </c>
      <c r="I2557" t="s">
        <v>3874</v>
      </c>
      <c r="J2557" t="s">
        <v>3875</v>
      </c>
      <c r="K2557" t="s">
        <v>3876</v>
      </c>
      <c r="L2557" s="12" t="s">
        <v>42</v>
      </c>
      <c r="M2557" s="12" t="s">
        <v>53</v>
      </c>
      <c r="N2557" s="12" t="s">
        <v>232</v>
      </c>
      <c r="O2557" s="12" t="s">
        <v>43</v>
      </c>
      <c r="P2557" s="12" t="s">
        <v>82</v>
      </c>
      <c r="Q2557" s="7" t="str">
        <f t="shared" si="118"/>
        <v>(2006,8,'2006.02.25',3,7,8,16,59,0),</v>
      </c>
      <c r="R2557" s="7" t="str">
        <f t="shared" si="120"/>
        <v>(2006,8,'2006.02.25',3,7,8,16,59),</v>
      </c>
    </row>
    <row r="2558" spans="1:18" x14ac:dyDescent="0.25">
      <c r="A2558" s="7" t="s">
        <v>3664</v>
      </c>
      <c r="B2558" s="8" t="s">
        <v>198</v>
      </c>
      <c r="C2558" s="10">
        <f t="shared" si="119"/>
        <v>38780</v>
      </c>
      <c r="D2558" t="s">
        <v>108</v>
      </c>
      <c r="E2558" t="s">
        <v>3866</v>
      </c>
      <c r="F2558" t="s">
        <v>71</v>
      </c>
      <c r="G2558" t="s">
        <v>3867</v>
      </c>
      <c r="H2558" t="s">
        <v>3868</v>
      </c>
      <c r="I2558" t="s">
        <v>3869</v>
      </c>
      <c r="J2558" t="s">
        <v>3870</v>
      </c>
      <c r="K2558" t="s">
        <v>3871</v>
      </c>
      <c r="L2558" s="12" t="s">
        <v>142</v>
      </c>
      <c r="M2558" s="12" t="s">
        <v>56</v>
      </c>
      <c r="N2558" s="12" t="s">
        <v>239</v>
      </c>
      <c r="O2558" s="12" t="s">
        <v>73</v>
      </c>
      <c r="P2558" s="12" t="s">
        <v>246</v>
      </c>
      <c r="Q2558" s="7" t="str">
        <f t="shared" si="118"/>
        <v>(2006,9,'2006.03.04',44,71,73,76,84,0),</v>
      </c>
      <c r="R2558" s="7" t="str">
        <f t="shared" si="120"/>
        <v>(2006,9,'2006.03.04',44,71,73,76,84),</v>
      </c>
    </row>
    <row r="2559" spans="1:18" x14ac:dyDescent="0.25">
      <c r="A2559" s="7" t="s">
        <v>3664</v>
      </c>
      <c r="B2559" s="8" t="s">
        <v>62</v>
      </c>
      <c r="C2559" s="10">
        <f t="shared" si="119"/>
        <v>38787</v>
      </c>
      <c r="D2559" t="s">
        <v>11</v>
      </c>
      <c r="E2559" t="s">
        <v>12</v>
      </c>
      <c r="F2559" t="s">
        <v>22</v>
      </c>
      <c r="G2559" t="s">
        <v>3861</v>
      </c>
      <c r="H2559" t="s">
        <v>3862</v>
      </c>
      <c r="I2559" t="s">
        <v>3863</v>
      </c>
      <c r="J2559" t="s">
        <v>3864</v>
      </c>
      <c r="K2559" t="s">
        <v>3865</v>
      </c>
      <c r="L2559" s="12" t="s">
        <v>198</v>
      </c>
      <c r="M2559" s="12" t="s">
        <v>20</v>
      </c>
      <c r="N2559" s="12" t="s">
        <v>91</v>
      </c>
      <c r="O2559" s="12" t="s">
        <v>201</v>
      </c>
      <c r="P2559" s="12" t="s">
        <v>186</v>
      </c>
      <c r="Q2559" s="7" t="str">
        <f t="shared" si="118"/>
        <v>(2006,10,'2006.03.11',9,33,61,72,90,0),</v>
      </c>
      <c r="R2559" s="7" t="str">
        <f t="shared" si="120"/>
        <v>(2006,10,'2006.03.11',9,33,61,72,90),</v>
      </c>
    </row>
    <row r="2560" spans="1:18" x14ac:dyDescent="0.25">
      <c r="A2560" s="7" t="s">
        <v>3664</v>
      </c>
      <c r="B2560" s="8" t="s">
        <v>83</v>
      </c>
      <c r="C2560" s="10">
        <f t="shared" si="119"/>
        <v>38794</v>
      </c>
      <c r="D2560" t="s">
        <v>11</v>
      </c>
      <c r="E2560" t="s">
        <v>12</v>
      </c>
      <c r="F2560" t="s">
        <v>115</v>
      </c>
      <c r="G2560" t="s">
        <v>3856</v>
      </c>
      <c r="H2560" t="s">
        <v>3857</v>
      </c>
      <c r="I2560" t="s">
        <v>3858</v>
      </c>
      <c r="J2560" t="s">
        <v>3859</v>
      </c>
      <c r="K2560" t="s">
        <v>3860</v>
      </c>
      <c r="L2560" s="12" t="s">
        <v>105</v>
      </c>
      <c r="M2560" s="12" t="s">
        <v>199</v>
      </c>
      <c r="N2560" s="12" t="s">
        <v>248</v>
      </c>
      <c r="O2560" s="12" t="s">
        <v>151</v>
      </c>
      <c r="P2560" s="12" t="s">
        <v>308</v>
      </c>
      <c r="Q2560" s="7" t="str">
        <f t="shared" si="118"/>
        <v>(2006,11,'2006.03.18',50,53,63,79,86,0),</v>
      </c>
      <c r="R2560" s="7" t="str">
        <f t="shared" si="120"/>
        <v>(2006,11,'2006.03.18',50,53,63,79,86),</v>
      </c>
    </row>
    <row r="2561" spans="1:18" x14ac:dyDescent="0.25">
      <c r="A2561" s="7" t="s">
        <v>3664</v>
      </c>
      <c r="B2561" s="8" t="s">
        <v>31</v>
      </c>
      <c r="C2561" s="10">
        <f t="shared" si="119"/>
        <v>38801</v>
      </c>
      <c r="D2561" t="s">
        <v>11</v>
      </c>
      <c r="E2561" t="s">
        <v>12</v>
      </c>
      <c r="F2561" t="s">
        <v>36</v>
      </c>
      <c r="G2561" t="s">
        <v>3852</v>
      </c>
      <c r="H2561" t="s">
        <v>3853</v>
      </c>
      <c r="I2561" t="s">
        <v>3854</v>
      </c>
      <c r="J2561" t="s">
        <v>3855</v>
      </c>
      <c r="K2561" t="s">
        <v>3518</v>
      </c>
      <c r="L2561" s="12" t="s">
        <v>65</v>
      </c>
      <c r="M2561" s="12" t="s">
        <v>64</v>
      </c>
      <c r="N2561" s="12" t="s">
        <v>91</v>
      </c>
      <c r="O2561" s="12" t="s">
        <v>214</v>
      </c>
      <c r="P2561" s="12" t="s">
        <v>233</v>
      </c>
      <c r="Q2561" s="7" t="str">
        <f t="shared" si="118"/>
        <v>(2006,12,'2006.03.25',13,35,61,64,66,0),</v>
      </c>
      <c r="R2561" s="7" t="str">
        <f t="shared" si="120"/>
        <v>(2006,12,'2006.03.25',13,35,61,64,66),</v>
      </c>
    </row>
    <row r="2562" spans="1:18" x14ac:dyDescent="0.25">
      <c r="A2562" s="7" t="s">
        <v>3664</v>
      </c>
      <c r="B2562" s="8" t="s">
        <v>65</v>
      </c>
      <c r="C2562" s="10">
        <f t="shared" si="119"/>
        <v>38808</v>
      </c>
      <c r="D2562" t="s">
        <v>11</v>
      </c>
      <c r="E2562" t="s">
        <v>12</v>
      </c>
      <c r="F2562" t="s">
        <v>98</v>
      </c>
      <c r="G2562" t="s">
        <v>3847</v>
      </c>
      <c r="H2562" t="s">
        <v>3848</v>
      </c>
      <c r="I2562" t="s">
        <v>3849</v>
      </c>
      <c r="J2562" t="s">
        <v>3850</v>
      </c>
      <c r="K2562" t="s">
        <v>3851</v>
      </c>
      <c r="L2562" s="12" t="s">
        <v>232</v>
      </c>
      <c r="M2562" s="12" t="s">
        <v>192</v>
      </c>
      <c r="N2562" s="12" t="s">
        <v>134</v>
      </c>
      <c r="O2562" s="12" t="s">
        <v>151</v>
      </c>
      <c r="P2562" s="12" t="s">
        <v>246</v>
      </c>
      <c r="Q2562" s="7" t="str">
        <f t="shared" ref="Q2562:Q2625" si="121">"("&amp;A2562&amp;","&amp;B2562&amp;",'"&amp;TEXT(C2562,"éééé.hh.nn")&amp;"',"&amp;L2562&amp;","&amp;M2562&amp;","&amp;N2562&amp;","&amp;O2562&amp;","&amp;P2562&amp;",0)"&amp;IF(P2563&lt;&gt;0,",","")</f>
        <v>(2006,13,'2006.04.01',8,46,56,79,84,0),</v>
      </c>
      <c r="R2562" s="7" t="str">
        <f t="shared" si="120"/>
        <v>(2006,13,'2006.04.01',8,46,56,79,84),</v>
      </c>
    </row>
    <row r="2563" spans="1:18" x14ac:dyDescent="0.25">
      <c r="A2563" s="7" t="s">
        <v>3664</v>
      </c>
      <c r="B2563" s="8" t="s">
        <v>127</v>
      </c>
      <c r="C2563" s="10">
        <f t="shared" ref="C2563:C2626" si="122">+C2562+7</f>
        <v>38815</v>
      </c>
      <c r="D2563" t="s">
        <v>11</v>
      </c>
      <c r="E2563" t="s">
        <v>12</v>
      </c>
      <c r="F2563" t="s">
        <v>163</v>
      </c>
      <c r="G2563" t="s">
        <v>3844</v>
      </c>
      <c r="H2563" t="s">
        <v>406</v>
      </c>
      <c r="I2563" t="s">
        <v>3845</v>
      </c>
      <c r="J2563" t="s">
        <v>3846</v>
      </c>
      <c r="K2563" t="s">
        <v>3796</v>
      </c>
      <c r="L2563" s="12" t="s">
        <v>198</v>
      </c>
      <c r="M2563" s="12" t="s">
        <v>116</v>
      </c>
      <c r="N2563" s="12" t="s">
        <v>36</v>
      </c>
      <c r="O2563" s="12" t="s">
        <v>301</v>
      </c>
      <c r="P2563" s="12" t="s">
        <v>308</v>
      </c>
      <c r="Q2563" s="7" t="str">
        <f t="shared" si="121"/>
        <v>(2006,14,'2006.04.08',9,29,38,80,86,0),</v>
      </c>
      <c r="R2563" s="7" t="str">
        <f t="shared" ref="R2563:R2626" si="123">IF(TRIM(P2563)="","","("&amp;A2563&amp;","&amp;B2563&amp;",'"&amp;TEXT(C2563,"éééé.hh.nn")&amp;"',"&amp;L2563&amp;","&amp;M2563&amp;","&amp;N2563&amp;","&amp;O2563&amp;","&amp;P2563&amp;")"&amp;IF(P2564=0,";",","))</f>
        <v>(2006,14,'2006.04.08',9,29,38,80,86),</v>
      </c>
    </row>
    <row r="2564" spans="1:18" x14ac:dyDescent="0.25">
      <c r="A2564" s="7" t="s">
        <v>3664</v>
      </c>
      <c r="B2564" s="8" t="s">
        <v>54</v>
      </c>
      <c r="C2564" s="10">
        <f t="shared" si="122"/>
        <v>38822</v>
      </c>
      <c r="D2564" t="s">
        <v>11</v>
      </c>
      <c r="E2564" t="s">
        <v>12</v>
      </c>
      <c r="F2564" t="s">
        <v>535</v>
      </c>
      <c r="G2564" t="s">
        <v>3839</v>
      </c>
      <c r="H2564" t="s">
        <v>3840</v>
      </c>
      <c r="I2564" t="s">
        <v>3841</v>
      </c>
      <c r="J2564" t="s">
        <v>3842</v>
      </c>
      <c r="K2564" t="s">
        <v>3843</v>
      </c>
      <c r="L2564" s="12" t="s">
        <v>33</v>
      </c>
      <c r="M2564" s="12" t="s">
        <v>126</v>
      </c>
      <c r="N2564" s="12" t="s">
        <v>25</v>
      </c>
      <c r="O2564" s="12" t="s">
        <v>34</v>
      </c>
      <c r="P2564" s="12" t="s">
        <v>134</v>
      </c>
      <c r="Q2564" s="7" t="str">
        <f t="shared" si="121"/>
        <v>(2006,15,'2006.04.15',24,28,34,49,56,0),</v>
      </c>
      <c r="R2564" s="7" t="str">
        <f t="shared" si="123"/>
        <v>(2006,15,'2006.04.15',24,28,34,49,56),</v>
      </c>
    </row>
    <row r="2565" spans="1:18" x14ac:dyDescent="0.25">
      <c r="A2565" s="7" t="s">
        <v>3664</v>
      </c>
      <c r="B2565" s="8" t="s">
        <v>43</v>
      </c>
      <c r="C2565" s="10">
        <f t="shared" si="122"/>
        <v>38829</v>
      </c>
      <c r="D2565" t="s">
        <v>11</v>
      </c>
      <c r="E2565" t="s">
        <v>12</v>
      </c>
      <c r="F2565" t="s">
        <v>36</v>
      </c>
      <c r="G2565" t="s">
        <v>3835</v>
      </c>
      <c r="H2565" t="s">
        <v>3836</v>
      </c>
      <c r="I2565" t="s">
        <v>3837</v>
      </c>
      <c r="J2565" t="s">
        <v>3838</v>
      </c>
      <c r="K2565" t="s">
        <v>2046</v>
      </c>
      <c r="L2565" s="12" t="s">
        <v>42</v>
      </c>
      <c r="M2565" s="12" t="s">
        <v>62</v>
      </c>
      <c r="N2565" s="12" t="s">
        <v>233</v>
      </c>
      <c r="O2565" s="12" t="s">
        <v>47</v>
      </c>
      <c r="P2565" s="12" t="s">
        <v>622</v>
      </c>
      <c r="Q2565" s="7" t="str">
        <f t="shared" si="121"/>
        <v>(2006,16,'2006.04.22',3,10,66,69,82,0),</v>
      </c>
      <c r="R2565" s="7" t="str">
        <f t="shared" si="123"/>
        <v>(2006,16,'2006.04.22',3,10,66,69,82),</v>
      </c>
    </row>
    <row r="2566" spans="1:18" x14ac:dyDescent="0.25">
      <c r="A2566" s="7" t="s">
        <v>3664</v>
      </c>
      <c r="B2566" s="8" t="s">
        <v>90</v>
      </c>
      <c r="C2566" s="10">
        <f t="shared" si="122"/>
        <v>38836</v>
      </c>
      <c r="D2566" t="s">
        <v>11</v>
      </c>
      <c r="E2566" t="s">
        <v>12</v>
      </c>
      <c r="F2566" t="s">
        <v>3829</v>
      </c>
      <c r="G2566" t="s">
        <v>3830</v>
      </c>
      <c r="H2566" t="s">
        <v>3831</v>
      </c>
      <c r="I2566" t="s">
        <v>3832</v>
      </c>
      <c r="J2566" t="s">
        <v>3833</v>
      </c>
      <c r="K2566" t="s">
        <v>3834</v>
      </c>
      <c r="L2566" s="12" t="s">
        <v>232</v>
      </c>
      <c r="M2566" s="12" t="s">
        <v>83</v>
      </c>
      <c r="N2566" s="12" t="s">
        <v>65</v>
      </c>
      <c r="O2566" s="12" t="s">
        <v>44</v>
      </c>
      <c r="P2566" s="12" t="s">
        <v>45</v>
      </c>
      <c r="Q2566" s="7" t="str">
        <f t="shared" si="121"/>
        <v>(2006,17,'2006.04.29',8,11,13,21,43,0),</v>
      </c>
      <c r="R2566" s="7" t="str">
        <f t="shared" si="123"/>
        <v>(2006,17,'2006.04.29',8,11,13,21,43),</v>
      </c>
    </row>
    <row r="2567" spans="1:18" x14ac:dyDescent="0.25">
      <c r="A2567" s="7" t="s">
        <v>3664</v>
      </c>
      <c r="B2567" s="8" t="s">
        <v>19</v>
      </c>
      <c r="C2567" s="10">
        <f t="shared" si="122"/>
        <v>38843</v>
      </c>
      <c r="D2567" t="s">
        <v>11</v>
      </c>
      <c r="E2567" t="s">
        <v>12</v>
      </c>
      <c r="F2567" t="s">
        <v>208</v>
      </c>
      <c r="G2567" t="s">
        <v>3824</v>
      </c>
      <c r="H2567" t="s">
        <v>3825</v>
      </c>
      <c r="I2567" t="s">
        <v>3826</v>
      </c>
      <c r="J2567" t="s">
        <v>3827</v>
      </c>
      <c r="K2567" t="s">
        <v>3828</v>
      </c>
      <c r="L2567" s="12" t="s">
        <v>54</v>
      </c>
      <c r="M2567" s="12" t="s">
        <v>163</v>
      </c>
      <c r="N2567" s="12" t="s">
        <v>25</v>
      </c>
      <c r="O2567" s="12" t="s">
        <v>142</v>
      </c>
      <c r="P2567" s="12" t="s">
        <v>72</v>
      </c>
      <c r="Q2567" s="7" t="str">
        <f t="shared" si="121"/>
        <v>(2006,18,'2006.05.06',15,23,34,44,67,0),</v>
      </c>
      <c r="R2567" s="7" t="str">
        <f t="shared" si="123"/>
        <v>(2006,18,'2006.05.06',15,23,34,44,67),</v>
      </c>
    </row>
    <row r="2568" spans="1:18" x14ac:dyDescent="0.25">
      <c r="A2568" s="7" t="s">
        <v>3664</v>
      </c>
      <c r="B2568" s="8" t="s">
        <v>55</v>
      </c>
      <c r="C2568" s="10">
        <f t="shared" si="122"/>
        <v>38850</v>
      </c>
      <c r="D2568" t="s">
        <v>11</v>
      </c>
      <c r="E2568" t="s">
        <v>12</v>
      </c>
      <c r="F2568" t="s">
        <v>199</v>
      </c>
      <c r="G2568" t="s">
        <v>3819</v>
      </c>
      <c r="H2568" t="s">
        <v>3820</v>
      </c>
      <c r="I2568" t="s">
        <v>3821</v>
      </c>
      <c r="J2568" t="s">
        <v>3822</v>
      </c>
      <c r="K2568" t="s">
        <v>3823</v>
      </c>
      <c r="L2568" s="12" t="s">
        <v>31</v>
      </c>
      <c r="M2568" s="12" t="s">
        <v>32</v>
      </c>
      <c r="N2568" s="12" t="s">
        <v>126</v>
      </c>
      <c r="O2568" s="12" t="s">
        <v>134</v>
      </c>
      <c r="P2568" s="12" t="s">
        <v>23</v>
      </c>
      <c r="Q2568" s="7" t="str">
        <f t="shared" si="121"/>
        <v>(2006,19,'2006.05.13',12,22,28,56,60,0),</v>
      </c>
      <c r="R2568" s="7" t="str">
        <f t="shared" si="123"/>
        <v>(2006,19,'2006.05.13',12,22,28,56,60),</v>
      </c>
    </row>
    <row r="2569" spans="1:18" x14ac:dyDescent="0.25">
      <c r="A2569" s="7" t="s">
        <v>3664</v>
      </c>
      <c r="B2569" s="8" t="s">
        <v>115</v>
      </c>
      <c r="C2569" s="10">
        <f t="shared" si="122"/>
        <v>38857</v>
      </c>
      <c r="D2569" t="s">
        <v>11</v>
      </c>
      <c r="E2569" t="s">
        <v>12</v>
      </c>
      <c r="F2569" t="s">
        <v>91</v>
      </c>
      <c r="G2569" t="s">
        <v>3815</v>
      </c>
      <c r="H2569" t="s">
        <v>3816</v>
      </c>
      <c r="I2569" t="s">
        <v>3817</v>
      </c>
      <c r="J2569" t="s">
        <v>3818</v>
      </c>
      <c r="K2569" t="s">
        <v>3710</v>
      </c>
      <c r="L2569" s="12" t="s">
        <v>62</v>
      </c>
      <c r="M2569" s="12" t="s">
        <v>33</v>
      </c>
      <c r="N2569" s="12" t="s">
        <v>122</v>
      </c>
      <c r="O2569" s="12" t="s">
        <v>150</v>
      </c>
      <c r="P2569" s="12" t="s">
        <v>73</v>
      </c>
      <c r="Q2569" s="7" t="str">
        <f t="shared" si="121"/>
        <v>(2006,20,'2006.05.20',10,24,51,57,76,0),</v>
      </c>
      <c r="R2569" s="7" t="str">
        <f t="shared" si="123"/>
        <v>(2006,20,'2006.05.20',10,24,51,57,76),</v>
      </c>
    </row>
    <row r="2570" spans="1:18" x14ac:dyDescent="0.25">
      <c r="A2570" s="7" t="s">
        <v>3664</v>
      </c>
      <c r="B2570" s="8" t="s">
        <v>44</v>
      </c>
      <c r="C2570" s="10">
        <f t="shared" si="122"/>
        <v>38864</v>
      </c>
      <c r="D2570" t="s">
        <v>11</v>
      </c>
      <c r="E2570" t="s">
        <v>12</v>
      </c>
      <c r="F2570" t="s">
        <v>23</v>
      </c>
      <c r="G2570" t="s">
        <v>3811</v>
      </c>
      <c r="H2570" t="s">
        <v>3812</v>
      </c>
      <c r="I2570" t="s">
        <v>3813</v>
      </c>
      <c r="J2570" t="s">
        <v>3814</v>
      </c>
      <c r="K2570" t="s">
        <v>3613</v>
      </c>
      <c r="L2570" s="12" t="s">
        <v>198</v>
      </c>
      <c r="M2570" s="12" t="s">
        <v>32</v>
      </c>
      <c r="N2570" s="12" t="s">
        <v>175</v>
      </c>
      <c r="O2570" s="12" t="s">
        <v>200</v>
      </c>
      <c r="P2570" s="12" t="s">
        <v>151</v>
      </c>
      <c r="Q2570" s="7" t="str">
        <f t="shared" si="121"/>
        <v>(2006,21,'2006.05.27',9,22,55,70,79,0),</v>
      </c>
      <c r="R2570" s="7" t="str">
        <f t="shared" si="123"/>
        <v>(2006,21,'2006.05.27',9,22,55,70,79),</v>
      </c>
    </row>
    <row r="2571" spans="1:18" x14ac:dyDescent="0.25">
      <c r="A2571" s="7" t="s">
        <v>3664</v>
      </c>
      <c r="B2571" s="8" t="s">
        <v>32</v>
      </c>
      <c r="C2571" s="10">
        <f t="shared" si="122"/>
        <v>38871</v>
      </c>
      <c r="D2571" t="s">
        <v>11</v>
      </c>
      <c r="E2571" t="s">
        <v>12</v>
      </c>
      <c r="F2571" t="s">
        <v>134</v>
      </c>
      <c r="G2571" t="s">
        <v>3807</v>
      </c>
      <c r="H2571" t="s">
        <v>3808</v>
      </c>
      <c r="I2571" t="s">
        <v>3809</v>
      </c>
      <c r="J2571" t="s">
        <v>3810</v>
      </c>
      <c r="K2571" t="s">
        <v>3529</v>
      </c>
      <c r="L2571" s="12" t="s">
        <v>54</v>
      </c>
      <c r="M2571" s="12" t="s">
        <v>126</v>
      </c>
      <c r="N2571" s="12" t="s">
        <v>64</v>
      </c>
      <c r="O2571" s="12" t="s">
        <v>35</v>
      </c>
      <c r="P2571" s="12" t="s">
        <v>239</v>
      </c>
      <c r="Q2571" s="7" t="str">
        <f t="shared" si="121"/>
        <v>(2006,22,'2006.06.03',15,28,35,65,73,0),</v>
      </c>
      <c r="R2571" s="7" t="str">
        <f t="shared" si="123"/>
        <v>(2006,22,'2006.06.03',15,28,35,65,73),</v>
      </c>
    </row>
    <row r="2572" spans="1:18" x14ac:dyDescent="0.25">
      <c r="A2572" s="7" t="s">
        <v>3664</v>
      </c>
      <c r="B2572" s="8" t="s">
        <v>163</v>
      </c>
      <c r="C2572" s="10">
        <f t="shared" si="122"/>
        <v>38878</v>
      </c>
      <c r="D2572" t="s">
        <v>11</v>
      </c>
      <c r="E2572" t="s">
        <v>12</v>
      </c>
      <c r="F2572" t="s">
        <v>25</v>
      </c>
      <c r="G2572" t="s">
        <v>3802</v>
      </c>
      <c r="H2572" t="s">
        <v>3803</v>
      </c>
      <c r="I2572" t="s">
        <v>3804</v>
      </c>
      <c r="J2572" t="s">
        <v>3805</v>
      </c>
      <c r="K2572" t="s">
        <v>3806</v>
      </c>
      <c r="L2572" s="12" t="s">
        <v>108</v>
      </c>
      <c r="M2572" s="12" t="s">
        <v>116</v>
      </c>
      <c r="N2572" s="12" t="s">
        <v>25</v>
      </c>
      <c r="O2572" s="12" t="s">
        <v>239</v>
      </c>
      <c r="P2572" s="12" t="s">
        <v>208</v>
      </c>
      <c r="Q2572" s="7" t="str">
        <f t="shared" si="121"/>
        <v>(2006,23,'2006.06.10',1,29,34,73,88,0),</v>
      </c>
      <c r="R2572" s="7" t="str">
        <f t="shared" si="123"/>
        <v>(2006,23,'2006.06.10',1,29,34,73,88),</v>
      </c>
    </row>
    <row r="2573" spans="1:18" x14ac:dyDescent="0.25">
      <c r="A2573" s="7" t="s">
        <v>3664</v>
      </c>
      <c r="B2573" s="8" t="s">
        <v>33</v>
      </c>
      <c r="C2573" s="10">
        <f t="shared" si="122"/>
        <v>38885</v>
      </c>
      <c r="D2573" t="s">
        <v>11</v>
      </c>
      <c r="E2573" t="s">
        <v>12</v>
      </c>
      <c r="F2573" t="s">
        <v>123</v>
      </c>
      <c r="G2573" t="s">
        <v>3797</v>
      </c>
      <c r="H2573" t="s">
        <v>3798</v>
      </c>
      <c r="I2573" t="s">
        <v>3799</v>
      </c>
      <c r="J2573" t="s">
        <v>3800</v>
      </c>
      <c r="K2573" t="s">
        <v>3801</v>
      </c>
      <c r="L2573" s="12" t="s">
        <v>83</v>
      </c>
      <c r="M2573" s="12" t="s">
        <v>90</v>
      </c>
      <c r="N2573" s="12" t="s">
        <v>47</v>
      </c>
      <c r="O2573" s="12" t="s">
        <v>56</v>
      </c>
      <c r="P2573" s="12" t="s">
        <v>301</v>
      </c>
      <c r="Q2573" s="7" t="str">
        <f t="shared" si="121"/>
        <v>(2006,24,'2006.06.17',11,17,69,71,80,0),</v>
      </c>
      <c r="R2573" s="7" t="str">
        <f t="shared" si="123"/>
        <v>(2006,24,'2006.06.17',11,17,69,71,80),</v>
      </c>
    </row>
    <row r="2574" spans="1:18" x14ac:dyDescent="0.25">
      <c r="A2574" s="7" t="s">
        <v>3664</v>
      </c>
      <c r="B2574" s="8" t="s">
        <v>152</v>
      </c>
      <c r="C2574" s="10">
        <f t="shared" si="122"/>
        <v>38892</v>
      </c>
      <c r="D2574" t="s">
        <v>11</v>
      </c>
      <c r="E2574" t="s">
        <v>12</v>
      </c>
      <c r="F2574" t="s">
        <v>35</v>
      </c>
      <c r="G2574" t="s">
        <v>3792</v>
      </c>
      <c r="H2574" t="s">
        <v>3793</v>
      </c>
      <c r="I2574" t="s">
        <v>3794</v>
      </c>
      <c r="J2574" t="s">
        <v>3795</v>
      </c>
      <c r="K2574" t="s">
        <v>3796</v>
      </c>
      <c r="L2574" s="12" t="s">
        <v>36</v>
      </c>
      <c r="M2574" s="12" t="s">
        <v>34</v>
      </c>
      <c r="N2574" s="12" t="s">
        <v>239</v>
      </c>
      <c r="O2574" s="12" t="s">
        <v>63</v>
      </c>
      <c r="P2574" s="12" t="s">
        <v>125</v>
      </c>
      <c r="Q2574" s="7" t="str">
        <f t="shared" si="121"/>
        <v>(2006,25,'2006.06.24',38,49,73,78,83,0),</v>
      </c>
      <c r="R2574" s="7" t="str">
        <f t="shared" si="123"/>
        <v>(2006,25,'2006.06.24',38,49,73,78,83),</v>
      </c>
    </row>
    <row r="2575" spans="1:18" x14ac:dyDescent="0.25">
      <c r="A2575" s="7" t="s">
        <v>3664</v>
      </c>
      <c r="B2575" s="8" t="s">
        <v>74</v>
      </c>
      <c r="C2575" s="10">
        <f t="shared" si="122"/>
        <v>38899</v>
      </c>
      <c r="D2575" t="s">
        <v>11</v>
      </c>
      <c r="E2575" t="s">
        <v>12</v>
      </c>
      <c r="F2575" t="s">
        <v>74</v>
      </c>
      <c r="G2575" t="s">
        <v>3788</v>
      </c>
      <c r="H2575" t="s">
        <v>3789</v>
      </c>
      <c r="I2575" t="s">
        <v>2157</v>
      </c>
      <c r="J2575" t="s">
        <v>3790</v>
      </c>
      <c r="K2575" t="s">
        <v>3791</v>
      </c>
      <c r="L2575" s="12" t="s">
        <v>83</v>
      </c>
      <c r="M2575" s="12" t="s">
        <v>124</v>
      </c>
      <c r="N2575" s="12" t="s">
        <v>47</v>
      </c>
      <c r="O2575" s="12" t="s">
        <v>245</v>
      </c>
      <c r="P2575" s="12" t="s">
        <v>186</v>
      </c>
      <c r="Q2575" s="7" t="str">
        <f t="shared" si="121"/>
        <v>(2006,26,'2006.07.01',11,62,69,74,90,0),</v>
      </c>
      <c r="R2575" s="7" t="str">
        <f t="shared" si="123"/>
        <v>(2006,26,'2006.07.01',11,62,69,74,90),</v>
      </c>
    </row>
    <row r="2576" spans="1:18" x14ac:dyDescent="0.25">
      <c r="A2576" s="7" t="s">
        <v>3664</v>
      </c>
      <c r="B2576" s="8" t="s">
        <v>135</v>
      </c>
      <c r="C2576" s="10">
        <f t="shared" si="122"/>
        <v>38906</v>
      </c>
      <c r="D2576" t="s">
        <v>207</v>
      </c>
      <c r="E2576" t="s">
        <v>3783</v>
      </c>
      <c r="F2576" t="s">
        <v>3160</v>
      </c>
      <c r="G2576" t="s">
        <v>3784</v>
      </c>
      <c r="H2576" t="s">
        <v>3785</v>
      </c>
      <c r="I2576" t="s">
        <v>3786</v>
      </c>
      <c r="J2576" t="s">
        <v>3787</v>
      </c>
      <c r="K2576" t="s">
        <v>3503</v>
      </c>
      <c r="L2576" s="12" t="s">
        <v>168</v>
      </c>
      <c r="M2576" s="12" t="s">
        <v>90</v>
      </c>
      <c r="N2576" s="12" t="s">
        <v>55</v>
      </c>
      <c r="O2576" s="12" t="s">
        <v>199</v>
      </c>
      <c r="P2576" s="12" t="s">
        <v>91</v>
      </c>
      <c r="Q2576" s="7" t="str">
        <f t="shared" si="121"/>
        <v>(2006,27,'2006.07.08',4,17,19,53,61,0),</v>
      </c>
      <c r="R2576" s="7" t="str">
        <f t="shared" si="123"/>
        <v>(2006,27,'2006.07.08',4,17,19,53,61),</v>
      </c>
    </row>
    <row r="2577" spans="1:18" x14ac:dyDescent="0.25">
      <c r="A2577" s="7" t="s">
        <v>3664</v>
      </c>
      <c r="B2577" s="8" t="s">
        <v>126</v>
      </c>
      <c r="C2577" s="10">
        <f t="shared" si="122"/>
        <v>38913</v>
      </c>
      <c r="D2577" t="s">
        <v>108</v>
      </c>
      <c r="E2577" t="s">
        <v>3777</v>
      </c>
      <c r="F2577" t="s">
        <v>134</v>
      </c>
      <c r="G2577" t="s">
        <v>3778</v>
      </c>
      <c r="H2577" t="s">
        <v>3779</v>
      </c>
      <c r="I2577" t="s">
        <v>3780</v>
      </c>
      <c r="J2577" t="s">
        <v>3781</v>
      </c>
      <c r="K2577" t="s">
        <v>3782</v>
      </c>
      <c r="L2577" s="12" t="s">
        <v>207</v>
      </c>
      <c r="M2577" s="12" t="s">
        <v>54</v>
      </c>
      <c r="N2577" s="12" t="s">
        <v>116</v>
      </c>
      <c r="O2577" s="12" t="s">
        <v>239</v>
      </c>
      <c r="P2577" s="12" t="s">
        <v>106</v>
      </c>
      <c r="Q2577" s="7" t="str">
        <f t="shared" si="121"/>
        <v>(2006,28,'2006.07.15',2,15,29,73,75,0),</v>
      </c>
      <c r="R2577" s="7" t="str">
        <f t="shared" si="123"/>
        <v>(2006,28,'2006.07.15',2,15,29,73,75),</v>
      </c>
    </row>
    <row r="2578" spans="1:18" x14ac:dyDescent="0.25">
      <c r="A2578" s="7" t="s">
        <v>3664</v>
      </c>
      <c r="B2578" s="8" t="s">
        <v>116</v>
      </c>
      <c r="C2578" s="10">
        <f t="shared" si="122"/>
        <v>38920</v>
      </c>
      <c r="D2578" t="s">
        <v>11</v>
      </c>
      <c r="E2578" t="s">
        <v>12</v>
      </c>
      <c r="F2578" t="s">
        <v>74</v>
      </c>
      <c r="G2578" t="s">
        <v>3772</v>
      </c>
      <c r="H2578" t="s">
        <v>3773</v>
      </c>
      <c r="I2578" t="s">
        <v>3774</v>
      </c>
      <c r="J2578" t="s">
        <v>3775</v>
      </c>
      <c r="K2578" t="s">
        <v>3776</v>
      </c>
      <c r="L2578" s="12" t="s">
        <v>21</v>
      </c>
      <c r="M2578" s="12" t="s">
        <v>142</v>
      </c>
      <c r="N2578" s="12" t="s">
        <v>81</v>
      </c>
      <c r="O2578" s="12" t="s">
        <v>125</v>
      </c>
      <c r="P2578" s="12" t="s">
        <v>379</v>
      </c>
      <c r="Q2578" s="7" t="str">
        <f t="shared" si="121"/>
        <v>(2006,29,'2006.07.22',36,44,47,83,89,0),</v>
      </c>
      <c r="R2578" s="7" t="str">
        <f t="shared" si="123"/>
        <v>(2006,29,'2006.07.22',36,44,47,83,89),</v>
      </c>
    </row>
    <row r="2579" spans="1:18" x14ac:dyDescent="0.25">
      <c r="A2579" s="7" t="s">
        <v>3664</v>
      </c>
      <c r="B2579" s="8" t="s">
        <v>107</v>
      </c>
      <c r="C2579" s="10">
        <f t="shared" si="122"/>
        <v>38927</v>
      </c>
      <c r="D2579" t="s">
        <v>11</v>
      </c>
      <c r="E2579" t="s">
        <v>12</v>
      </c>
      <c r="F2579" t="s">
        <v>115</v>
      </c>
      <c r="G2579" t="s">
        <v>3768</v>
      </c>
      <c r="H2579" t="s">
        <v>3769</v>
      </c>
      <c r="I2579" t="s">
        <v>3770</v>
      </c>
      <c r="J2579" t="s">
        <v>3771</v>
      </c>
      <c r="K2579" t="s">
        <v>1813</v>
      </c>
      <c r="L2579" s="12" t="s">
        <v>25</v>
      </c>
      <c r="M2579" s="12" t="s">
        <v>133</v>
      </c>
      <c r="N2579" s="12" t="s">
        <v>73</v>
      </c>
      <c r="O2579" s="12" t="s">
        <v>143</v>
      </c>
      <c r="P2579" s="12" t="s">
        <v>125</v>
      </c>
      <c r="Q2579" s="7" t="str">
        <f t="shared" si="121"/>
        <v>(2006,30,'2006.07.29',34,45,76,77,83,0),</v>
      </c>
      <c r="R2579" s="7" t="str">
        <f t="shared" si="123"/>
        <v>(2006,30,'2006.07.29',34,45,76,77,83),</v>
      </c>
    </row>
    <row r="2580" spans="1:18" x14ac:dyDescent="0.25">
      <c r="A2580" s="7" t="s">
        <v>3664</v>
      </c>
      <c r="B2580" s="8" t="s">
        <v>71</v>
      </c>
      <c r="C2580" s="10">
        <f t="shared" si="122"/>
        <v>38934</v>
      </c>
      <c r="D2580" t="s">
        <v>11</v>
      </c>
      <c r="E2580" t="s">
        <v>12</v>
      </c>
      <c r="F2580" t="s">
        <v>152</v>
      </c>
      <c r="G2580" t="s">
        <v>3764</v>
      </c>
      <c r="H2580" t="s">
        <v>822</v>
      </c>
      <c r="I2580" t="s">
        <v>3765</v>
      </c>
      <c r="J2580" t="s">
        <v>3766</v>
      </c>
      <c r="K2580" t="s">
        <v>3767</v>
      </c>
      <c r="L2580" s="12" t="s">
        <v>65</v>
      </c>
      <c r="M2580" s="12" t="s">
        <v>43</v>
      </c>
      <c r="N2580" s="12" t="s">
        <v>192</v>
      </c>
      <c r="O2580" s="12" t="s">
        <v>35</v>
      </c>
      <c r="P2580" s="12" t="s">
        <v>47</v>
      </c>
      <c r="Q2580" s="7" t="str">
        <f t="shared" si="121"/>
        <v>(2006,31,'2006.08.05',13,16,46,65,69,0),</v>
      </c>
      <c r="R2580" s="7" t="str">
        <f t="shared" si="123"/>
        <v>(2006,31,'2006.08.05',13,16,46,65,69),</v>
      </c>
    </row>
    <row r="2581" spans="1:18" x14ac:dyDescent="0.25">
      <c r="A2581" s="7" t="s">
        <v>3664</v>
      </c>
      <c r="B2581" s="8" t="s">
        <v>80</v>
      </c>
      <c r="C2581" s="10">
        <f t="shared" si="122"/>
        <v>38941</v>
      </c>
      <c r="D2581" t="s">
        <v>11</v>
      </c>
      <c r="E2581" t="s">
        <v>12</v>
      </c>
      <c r="F2581" t="s">
        <v>10</v>
      </c>
      <c r="G2581" t="s">
        <v>3759</v>
      </c>
      <c r="H2581" t="s">
        <v>3760</v>
      </c>
      <c r="I2581" t="s">
        <v>3761</v>
      </c>
      <c r="J2581" t="s">
        <v>3762</v>
      </c>
      <c r="K2581" t="s">
        <v>3763</v>
      </c>
      <c r="L2581" s="12" t="s">
        <v>54</v>
      </c>
      <c r="M2581" s="12" t="s">
        <v>32</v>
      </c>
      <c r="N2581" s="12" t="s">
        <v>248</v>
      </c>
      <c r="O2581" s="12" t="s">
        <v>215</v>
      </c>
      <c r="P2581" s="12" t="s">
        <v>379</v>
      </c>
      <c r="Q2581" s="7" t="str">
        <f t="shared" si="121"/>
        <v>(2006,32,'2006.08.12',15,22,63,81,89,0),</v>
      </c>
      <c r="R2581" s="7" t="str">
        <f t="shared" si="123"/>
        <v>(2006,32,'2006.08.12',15,22,63,81,89),</v>
      </c>
    </row>
    <row r="2582" spans="1:18" x14ac:dyDescent="0.25">
      <c r="A2582" s="7" t="s">
        <v>3664</v>
      </c>
      <c r="B2582" s="8" t="s">
        <v>20</v>
      </c>
      <c r="C2582" s="10">
        <f t="shared" si="122"/>
        <v>38948</v>
      </c>
      <c r="D2582" t="s">
        <v>11</v>
      </c>
      <c r="E2582" t="s">
        <v>12</v>
      </c>
      <c r="F2582" t="s">
        <v>115</v>
      </c>
      <c r="G2582" t="s">
        <v>3754</v>
      </c>
      <c r="H2582" t="s">
        <v>3755</v>
      </c>
      <c r="I2582" t="s">
        <v>3756</v>
      </c>
      <c r="J2582" t="s">
        <v>3757</v>
      </c>
      <c r="K2582" t="s">
        <v>3758</v>
      </c>
      <c r="L2582" s="12" t="s">
        <v>90</v>
      </c>
      <c r="M2582" s="12" t="s">
        <v>19</v>
      </c>
      <c r="N2582" s="12" t="s">
        <v>233</v>
      </c>
      <c r="O2582" s="12" t="s">
        <v>239</v>
      </c>
      <c r="P2582" s="12" t="s">
        <v>186</v>
      </c>
      <c r="Q2582" s="7" t="str">
        <f t="shared" si="121"/>
        <v>(2006,33,'2006.08.19',17,18,66,73,90,0),</v>
      </c>
      <c r="R2582" s="7" t="str">
        <f t="shared" si="123"/>
        <v>(2006,33,'2006.08.19',17,18,66,73,90),</v>
      </c>
    </row>
    <row r="2583" spans="1:18" x14ac:dyDescent="0.25">
      <c r="A2583" s="7" t="s">
        <v>3664</v>
      </c>
      <c r="B2583" s="8" t="s">
        <v>25</v>
      </c>
      <c r="C2583" s="10">
        <f t="shared" si="122"/>
        <v>38955</v>
      </c>
      <c r="D2583" t="s">
        <v>11</v>
      </c>
      <c r="E2583" t="s">
        <v>12</v>
      </c>
      <c r="F2583" t="s">
        <v>45</v>
      </c>
      <c r="G2583" t="s">
        <v>3749</v>
      </c>
      <c r="H2583" t="s">
        <v>3750</v>
      </c>
      <c r="I2583" t="s">
        <v>3751</v>
      </c>
      <c r="J2583" t="s">
        <v>3752</v>
      </c>
      <c r="K2583" t="s">
        <v>3753</v>
      </c>
      <c r="L2583" s="12" t="s">
        <v>43</v>
      </c>
      <c r="M2583" s="12" t="s">
        <v>64</v>
      </c>
      <c r="N2583" s="12" t="s">
        <v>123</v>
      </c>
      <c r="O2583" s="12" t="s">
        <v>35</v>
      </c>
      <c r="P2583" s="12" t="s">
        <v>92</v>
      </c>
      <c r="Q2583" s="7" t="str">
        <f t="shared" si="121"/>
        <v>(2006,34,'2006.08.26',16,35,54,65,68,0),</v>
      </c>
      <c r="R2583" s="7" t="str">
        <f t="shared" si="123"/>
        <v>(2006,34,'2006.08.26',16,35,54,65,68),</v>
      </c>
    </row>
    <row r="2584" spans="1:18" x14ac:dyDescent="0.25">
      <c r="A2584" s="7" t="s">
        <v>3664</v>
      </c>
      <c r="B2584" s="8" t="s">
        <v>64</v>
      </c>
      <c r="C2584" s="10">
        <f t="shared" si="122"/>
        <v>38962</v>
      </c>
      <c r="D2584" t="s">
        <v>11</v>
      </c>
      <c r="E2584" t="s">
        <v>12</v>
      </c>
      <c r="F2584" t="s">
        <v>115</v>
      </c>
      <c r="G2584" t="s">
        <v>3744</v>
      </c>
      <c r="H2584" t="s">
        <v>3745</v>
      </c>
      <c r="I2584" t="s">
        <v>3746</v>
      </c>
      <c r="J2584" t="s">
        <v>3747</v>
      </c>
      <c r="K2584" t="s">
        <v>3748</v>
      </c>
      <c r="L2584" s="12" t="s">
        <v>90</v>
      </c>
      <c r="M2584" s="12" t="s">
        <v>36</v>
      </c>
      <c r="N2584" s="12" t="s">
        <v>24</v>
      </c>
      <c r="O2584" s="12" t="s">
        <v>175</v>
      </c>
      <c r="P2584" s="12" t="s">
        <v>468</v>
      </c>
      <c r="Q2584" s="7" t="str">
        <f t="shared" si="121"/>
        <v>(2006,35,'2006.09.02',17,38,39,55,85,0),</v>
      </c>
      <c r="R2584" s="7" t="str">
        <f t="shared" si="123"/>
        <v>(2006,35,'2006.09.02',17,38,39,55,85),</v>
      </c>
    </row>
    <row r="2585" spans="1:18" x14ac:dyDescent="0.25">
      <c r="A2585" s="7" t="s">
        <v>3664</v>
      </c>
      <c r="B2585" s="8" t="s">
        <v>21</v>
      </c>
      <c r="C2585" s="10">
        <f t="shared" si="122"/>
        <v>38969</v>
      </c>
      <c r="D2585" t="s">
        <v>11</v>
      </c>
      <c r="E2585" t="s">
        <v>12</v>
      </c>
      <c r="F2585" t="s">
        <v>45</v>
      </c>
      <c r="G2585" t="s">
        <v>3739</v>
      </c>
      <c r="H2585" t="s">
        <v>3740</v>
      </c>
      <c r="I2585" t="s">
        <v>3741</v>
      </c>
      <c r="J2585" t="s">
        <v>3742</v>
      </c>
      <c r="K2585" t="s">
        <v>3743</v>
      </c>
      <c r="L2585" s="12" t="s">
        <v>168</v>
      </c>
      <c r="M2585" s="12" t="s">
        <v>31</v>
      </c>
      <c r="N2585" s="12" t="s">
        <v>133</v>
      </c>
      <c r="O2585" s="12" t="s">
        <v>35</v>
      </c>
      <c r="P2585" s="12" t="s">
        <v>233</v>
      </c>
      <c r="Q2585" s="7" t="str">
        <f t="shared" si="121"/>
        <v>(2006,36,'2006.09.09',4,12,45,65,66,0),</v>
      </c>
      <c r="R2585" s="7" t="str">
        <f t="shared" si="123"/>
        <v>(2006,36,'2006.09.09',4,12,45,65,66),</v>
      </c>
    </row>
    <row r="2586" spans="1:18" x14ac:dyDescent="0.25">
      <c r="A2586" s="7" t="s">
        <v>3664</v>
      </c>
      <c r="B2586" s="8" t="s">
        <v>46</v>
      </c>
      <c r="C2586" s="10">
        <f t="shared" si="122"/>
        <v>38976</v>
      </c>
      <c r="D2586" t="s">
        <v>11</v>
      </c>
      <c r="E2586" t="s">
        <v>12</v>
      </c>
      <c r="F2586" t="s">
        <v>318</v>
      </c>
      <c r="G2586" t="s">
        <v>3734</v>
      </c>
      <c r="H2586" t="s">
        <v>3735</v>
      </c>
      <c r="I2586" t="s">
        <v>3736</v>
      </c>
      <c r="J2586" t="s">
        <v>3737</v>
      </c>
      <c r="K2586" t="s">
        <v>3738</v>
      </c>
      <c r="L2586" s="12" t="s">
        <v>55</v>
      </c>
      <c r="M2586" s="12" t="s">
        <v>44</v>
      </c>
      <c r="N2586" s="12" t="s">
        <v>98</v>
      </c>
      <c r="O2586" s="12" t="s">
        <v>239</v>
      </c>
      <c r="P2586" s="12" t="s">
        <v>269</v>
      </c>
      <c r="Q2586" s="7" t="str">
        <f t="shared" si="121"/>
        <v>(2006,37,'2006.09.16',19,21,42,73,87,0),</v>
      </c>
      <c r="R2586" s="7" t="str">
        <f t="shared" si="123"/>
        <v>(2006,37,'2006.09.16',19,21,42,73,87),</v>
      </c>
    </row>
    <row r="2587" spans="1:18" x14ac:dyDescent="0.25">
      <c r="A2587" s="7" t="s">
        <v>3664</v>
      </c>
      <c r="B2587" s="8" t="s">
        <v>36</v>
      </c>
      <c r="C2587" s="10">
        <f t="shared" si="122"/>
        <v>38983</v>
      </c>
      <c r="D2587" t="s">
        <v>11</v>
      </c>
      <c r="E2587" t="s">
        <v>12</v>
      </c>
      <c r="F2587" t="s">
        <v>46</v>
      </c>
      <c r="G2587" t="s">
        <v>3730</v>
      </c>
      <c r="H2587" t="s">
        <v>3731</v>
      </c>
      <c r="I2587" t="s">
        <v>3732</v>
      </c>
      <c r="J2587" t="s">
        <v>3733</v>
      </c>
      <c r="K2587" t="s">
        <v>3397</v>
      </c>
      <c r="L2587" s="12" t="s">
        <v>65</v>
      </c>
      <c r="M2587" s="12" t="s">
        <v>46</v>
      </c>
      <c r="N2587" s="12" t="s">
        <v>122</v>
      </c>
      <c r="O2587" s="12" t="s">
        <v>82</v>
      </c>
      <c r="P2587" s="12" t="s">
        <v>91</v>
      </c>
      <c r="Q2587" s="7" t="str">
        <f t="shared" si="121"/>
        <v>(2006,38,'2006.09.23',13,37,51,59,61,0),</v>
      </c>
      <c r="R2587" s="7" t="str">
        <f t="shared" si="123"/>
        <v>(2006,38,'2006.09.23',13,37,51,59,61),</v>
      </c>
    </row>
    <row r="2588" spans="1:18" x14ac:dyDescent="0.25">
      <c r="A2588" s="7" t="s">
        <v>3664</v>
      </c>
      <c r="B2588" s="8" t="s">
        <v>24</v>
      </c>
      <c r="C2588" s="10">
        <f t="shared" si="122"/>
        <v>38990</v>
      </c>
      <c r="D2588" t="s">
        <v>11</v>
      </c>
      <c r="E2588" t="s">
        <v>12</v>
      </c>
      <c r="F2588" t="s">
        <v>90</v>
      </c>
      <c r="G2588" t="s">
        <v>3725</v>
      </c>
      <c r="H2588" t="s">
        <v>3726</v>
      </c>
      <c r="I2588" t="s">
        <v>3727</v>
      </c>
      <c r="J2588" t="s">
        <v>3728</v>
      </c>
      <c r="K2588" t="s">
        <v>3729</v>
      </c>
      <c r="L2588" s="12" t="s">
        <v>83</v>
      </c>
      <c r="M2588" s="12" t="s">
        <v>31</v>
      </c>
      <c r="N2588" s="12" t="s">
        <v>64</v>
      </c>
      <c r="O2588" s="12" t="s">
        <v>91</v>
      </c>
      <c r="P2588" s="12" t="s">
        <v>73</v>
      </c>
      <c r="Q2588" s="7" t="str">
        <f t="shared" si="121"/>
        <v>(2006,39,'2006.09.30',11,12,35,61,76,0),</v>
      </c>
      <c r="R2588" s="7" t="str">
        <f t="shared" si="123"/>
        <v>(2006,39,'2006.09.30',11,12,35,61,76),</v>
      </c>
    </row>
    <row r="2589" spans="1:18" x14ac:dyDescent="0.25">
      <c r="A2589" s="7" t="s">
        <v>3664</v>
      </c>
      <c r="B2589" s="8" t="s">
        <v>10</v>
      </c>
      <c r="C2589" s="10">
        <f t="shared" si="122"/>
        <v>38997</v>
      </c>
      <c r="D2589" t="s">
        <v>11</v>
      </c>
      <c r="E2589" t="s">
        <v>12</v>
      </c>
      <c r="F2589" t="s">
        <v>107</v>
      </c>
      <c r="G2589" t="s">
        <v>3720</v>
      </c>
      <c r="H2589" t="s">
        <v>3721</v>
      </c>
      <c r="I2589" t="s">
        <v>3722</v>
      </c>
      <c r="J2589" t="s">
        <v>3723</v>
      </c>
      <c r="K2589" t="s">
        <v>3724</v>
      </c>
      <c r="L2589" s="12" t="s">
        <v>152</v>
      </c>
      <c r="M2589" s="12" t="s">
        <v>36</v>
      </c>
      <c r="N2589" s="12" t="s">
        <v>10</v>
      </c>
      <c r="O2589" s="12" t="s">
        <v>175</v>
      </c>
      <c r="P2589" s="12" t="s">
        <v>73</v>
      </c>
      <c r="Q2589" s="7" t="str">
        <f t="shared" si="121"/>
        <v>(2006,40,'2006.10.07',25,38,40,55,76,0),</v>
      </c>
      <c r="R2589" s="7" t="str">
        <f t="shared" si="123"/>
        <v>(2006,40,'2006.10.07',25,38,40,55,76),</v>
      </c>
    </row>
    <row r="2590" spans="1:18" x14ac:dyDescent="0.25">
      <c r="A2590" s="7" t="s">
        <v>3664</v>
      </c>
      <c r="B2590" s="8" t="s">
        <v>13</v>
      </c>
      <c r="C2590" s="10">
        <f t="shared" si="122"/>
        <v>39004</v>
      </c>
      <c r="D2590" t="s">
        <v>11</v>
      </c>
      <c r="E2590" t="s">
        <v>12</v>
      </c>
      <c r="F2590" t="s">
        <v>20</v>
      </c>
      <c r="G2590" t="s">
        <v>3716</v>
      </c>
      <c r="H2590" t="s">
        <v>3376</v>
      </c>
      <c r="I2590" t="s">
        <v>3717</v>
      </c>
      <c r="J2590" t="s">
        <v>3718</v>
      </c>
      <c r="K2590" t="s">
        <v>3719</v>
      </c>
      <c r="L2590" s="12" t="s">
        <v>42</v>
      </c>
      <c r="M2590" s="12" t="s">
        <v>24</v>
      </c>
      <c r="N2590" s="12" t="s">
        <v>10</v>
      </c>
      <c r="O2590" s="12" t="s">
        <v>622</v>
      </c>
      <c r="P2590" s="12" t="s">
        <v>125</v>
      </c>
      <c r="Q2590" s="7" t="str">
        <f t="shared" si="121"/>
        <v>(2006,41,'2006.10.14',3,39,40,82,83,0),</v>
      </c>
      <c r="R2590" s="7" t="str">
        <f t="shared" si="123"/>
        <v>(2006,41,'2006.10.14',3,39,40,82,83),</v>
      </c>
    </row>
    <row r="2591" spans="1:18" x14ac:dyDescent="0.25">
      <c r="A2591" s="7" t="s">
        <v>3664</v>
      </c>
      <c r="B2591" s="8" t="s">
        <v>98</v>
      </c>
      <c r="C2591" s="10">
        <f t="shared" si="122"/>
        <v>39011</v>
      </c>
      <c r="D2591" t="s">
        <v>11</v>
      </c>
      <c r="E2591" t="s">
        <v>12</v>
      </c>
      <c r="F2591" t="s">
        <v>124</v>
      </c>
      <c r="G2591" t="s">
        <v>3711</v>
      </c>
      <c r="H2591" t="s">
        <v>3712</v>
      </c>
      <c r="I2591" t="s">
        <v>3713</v>
      </c>
      <c r="J2591" t="s">
        <v>3714</v>
      </c>
      <c r="K2591" t="s">
        <v>3715</v>
      </c>
      <c r="L2591" s="12" t="s">
        <v>108</v>
      </c>
      <c r="M2591" s="12" t="s">
        <v>270</v>
      </c>
      <c r="N2591" s="12" t="s">
        <v>127</v>
      </c>
      <c r="O2591" s="12" t="s">
        <v>19</v>
      </c>
      <c r="P2591" s="12" t="s">
        <v>208</v>
      </c>
      <c r="Q2591" s="7" t="str">
        <f t="shared" si="121"/>
        <v>(2006,42,'2006.10.21',1,6,14,18,88,0),</v>
      </c>
      <c r="R2591" s="7" t="str">
        <f t="shared" si="123"/>
        <v>(2006,42,'2006.10.21',1,6,14,18,88),</v>
      </c>
    </row>
    <row r="2592" spans="1:18" x14ac:dyDescent="0.25">
      <c r="A2592" s="7" t="s">
        <v>3664</v>
      </c>
      <c r="B2592" s="8" t="s">
        <v>45</v>
      </c>
      <c r="C2592" s="10">
        <f t="shared" si="122"/>
        <v>39018</v>
      </c>
      <c r="D2592" t="s">
        <v>11</v>
      </c>
      <c r="E2592" t="s">
        <v>12</v>
      </c>
      <c r="F2592" t="s">
        <v>21</v>
      </c>
      <c r="G2592" t="s">
        <v>3707</v>
      </c>
      <c r="H2592" t="s">
        <v>1990</v>
      </c>
      <c r="I2592" t="s">
        <v>3708</v>
      </c>
      <c r="J2592" t="s">
        <v>3709</v>
      </c>
      <c r="K2592" t="s">
        <v>3710</v>
      </c>
      <c r="L2592" s="12" t="s">
        <v>89</v>
      </c>
      <c r="M2592" s="12" t="s">
        <v>33</v>
      </c>
      <c r="N2592" s="12" t="s">
        <v>107</v>
      </c>
      <c r="O2592" s="12" t="s">
        <v>142</v>
      </c>
      <c r="P2592" s="12" t="s">
        <v>150</v>
      </c>
      <c r="Q2592" s="7" t="str">
        <f t="shared" si="121"/>
        <v>(2006,43,'2006.10.28',5,24,30,44,57,0),</v>
      </c>
      <c r="R2592" s="7" t="str">
        <f t="shared" si="123"/>
        <v>(2006,43,'2006.10.28',5,24,30,44,57),</v>
      </c>
    </row>
    <row r="2593" spans="1:18" x14ac:dyDescent="0.25">
      <c r="A2593" s="7" t="s">
        <v>3664</v>
      </c>
      <c r="B2593" s="8" t="s">
        <v>142</v>
      </c>
      <c r="C2593" s="10">
        <f t="shared" si="122"/>
        <v>39025</v>
      </c>
      <c r="D2593" t="s">
        <v>108</v>
      </c>
      <c r="E2593" t="s">
        <v>3702</v>
      </c>
      <c r="F2593" t="s">
        <v>63</v>
      </c>
      <c r="G2593" t="s">
        <v>3703</v>
      </c>
      <c r="H2593" t="s">
        <v>3704</v>
      </c>
      <c r="I2593" t="s">
        <v>3265</v>
      </c>
      <c r="J2593" t="s">
        <v>3705</v>
      </c>
      <c r="K2593" t="s">
        <v>3706</v>
      </c>
      <c r="L2593" s="12" t="s">
        <v>54</v>
      </c>
      <c r="M2593" s="12" t="s">
        <v>90</v>
      </c>
      <c r="N2593" s="12" t="s">
        <v>46</v>
      </c>
      <c r="O2593" s="12" t="s">
        <v>22</v>
      </c>
      <c r="P2593" s="12" t="s">
        <v>150</v>
      </c>
      <c r="Q2593" s="7" t="str">
        <f t="shared" si="121"/>
        <v>(2006,44,'2006.11.04',15,17,37,48,57,0),</v>
      </c>
      <c r="R2593" s="7" t="str">
        <f t="shared" si="123"/>
        <v>(2006,44,'2006.11.04',15,17,37,48,57),</v>
      </c>
    </row>
    <row r="2594" spans="1:18" x14ac:dyDescent="0.25">
      <c r="A2594" s="7" t="s">
        <v>3664</v>
      </c>
      <c r="B2594" s="8" t="s">
        <v>133</v>
      </c>
      <c r="C2594" s="10">
        <f t="shared" si="122"/>
        <v>39032</v>
      </c>
      <c r="D2594" t="s">
        <v>11</v>
      </c>
      <c r="E2594" t="s">
        <v>12</v>
      </c>
      <c r="F2594" t="s">
        <v>318</v>
      </c>
      <c r="G2594" t="s">
        <v>3697</v>
      </c>
      <c r="H2594" t="s">
        <v>3698</v>
      </c>
      <c r="I2594" t="s">
        <v>3699</v>
      </c>
      <c r="J2594" t="s">
        <v>3700</v>
      </c>
      <c r="K2594" t="s">
        <v>3701</v>
      </c>
      <c r="L2594" s="12" t="s">
        <v>152</v>
      </c>
      <c r="M2594" s="12" t="s">
        <v>98</v>
      </c>
      <c r="N2594" s="12" t="s">
        <v>22</v>
      </c>
      <c r="O2594" s="12" t="s">
        <v>239</v>
      </c>
      <c r="P2594" s="12" t="s">
        <v>269</v>
      </c>
      <c r="Q2594" s="7" t="str">
        <f t="shared" si="121"/>
        <v>(2006,45,'2006.11.11',25,42,48,73,87,0),</v>
      </c>
      <c r="R2594" s="7" t="str">
        <f t="shared" si="123"/>
        <v>(2006,45,'2006.11.11',25,42,48,73,87),</v>
      </c>
    </row>
    <row r="2595" spans="1:18" x14ac:dyDescent="0.25">
      <c r="A2595" s="7" t="s">
        <v>3664</v>
      </c>
      <c r="B2595" s="8" t="s">
        <v>192</v>
      </c>
      <c r="C2595" s="10">
        <f t="shared" si="122"/>
        <v>39039</v>
      </c>
      <c r="D2595" t="s">
        <v>11</v>
      </c>
      <c r="E2595" t="s">
        <v>12</v>
      </c>
      <c r="F2595" t="s">
        <v>10</v>
      </c>
      <c r="G2595" t="s">
        <v>3693</v>
      </c>
      <c r="H2595" t="s">
        <v>933</v>
      </c>
      <c r="I2595" t="s">
        <v>3694</v>
      </c>
      <c r="J2595" t="s">
        <v>3695</v>
      </c>
      <c r="K2595" t="s">
        <v>3696</v>
      </c>
      <c r="L2595" s="12" t="s">
        <v>127</v>
      </c>
      <c r="M2595" s="12" t="s">
        <v>135</v>
      </c>
      <c r="N2595" s="12" t="s">
        <v>10</v>
      </c>
      <c r="O2595" s="12" t="s">
        <v>99</v>
      </c>
      <c r="P2595" s="12" t="s">
        <v>245</v>
      </c>
      <c r="Q2595" s="7" t="str">
        <f t="shared" si="121"/>
        <v>(2006,46,'2006.11.18',14,27,40,52,74,0),</v>
      </c>
      <c r="R2595" s="7" t="str">
        <f t="shared" si="123"/>
        <v>(2006,46,'2006.11.18',14,27,40,52,74),</v>
      </c>
    </row>
    <row r="2596" spans="1:18" x14ac:dyDescent="0.25">
      <c r="A2596" s="7" t="s">
        <v>3664</v>
      </c>
      <c r="B2596" s="8" t="s">
        <v>81</v>
      </c>
      <c r="C2596" s="10">
        <f t="shared" si="122"/>
        <v>39046</v>
      </c>
      <c r="D2596" t="s">
        <v>207</v>
      </c>
      <c r="E2596" t="s">
        <v>3686</v>
      </c>
      <c r="F2596" t="s">
        <v>3687</v>
      </c>
      <c r="G2596" t="s">
        <v>3688</v>
      </c>
      <c r="H2596" t="s">
        <v>3689</v>
      </c>
      <c r="I2596" t="s">
        <v>3690</v>
      </c>
      <c r="J2596" t="s">
        <v>3691</v>
      </c>
      <c r="K2596" t="s">
        <v>3692</v>
      </c>
      <c r="L2596" s="12" t="s">
        <v>89</v>
      </c>
      <c r="M2596" s="12" t="s">
        <v>65</v>
      </c>
      <c r="N2596" s="12" t="s">
        <v>44</v>
      </c>
      <c r="O2596" s="12" t="s">
        <v>135</v>
      </c>
      <c r="P2596" s="12" t="s">
        <v>215</v>
      </c>
      <c r="Q2596" s="7" t="str">
        <f t="shared" si="121"/>
        <v>(2006,47,'2006.11.25',5,13,21,27,81,0),</v>
      </c>
      <c r="R2596" s="7" t="str">
        <f t="shared" si="123"/>
        <v>(2006,47,'2006.11.25',5,13,21,27,81),</v>
      </c>
    </row>
    <row r="2597" spans="1:18" x14ac:dyDescent="0.25">
      <c r="A2597" s="7" t="s">
        <v>3664</v>
      </c>
      <c r="B2597" s="8" t="s">
        <v>22</v>
      </c>
      <c r="C2597" s="10">
        <f t="shared" si="122"/>
        <v>39053</v>
      </c>
      <c r="D2597" t="s">
        <v>11</v>
      </c>
      <c r="E2597" t="s">
        <v>12</v>
      </c>
      <c r="F2597" t="s">
        <v>71</v>
      </c>
      <c r="G2597" t="s">
        <v>3682</v>
      </c>
      <c r="H2597" t="s">
        <v>1013</v>
      </c>
      <c r="I2597" t="s">
        <v>3683</v>
      </c>
      <c r="J2597" t="s">
        <v>3684</v>
      </c>
      <c r="K2597" t="s">
        <v>3685</v>
      </c>
      <c r="L2597" s="12" t="s">
        <v>115</v>
      </c>
      <c r="M2597" s="12" t="s">
        <v>152</v>
      </c>
      <c r="N2597" s="12" t="s">
        <v>71</v>
      </c>
      <c r="O2597" s="12" t="s">
        <v>23</v>
      </c>
      <c r="P2597" s="12" t="s">
        <v>151</v>
      </c>
      <c r="Q2597" s="7" t="str">
        <f t="shared" si="121"/>
        <v>(2006,48,'2006.12.02',20,25,31,60,79,0),</v>
      </c>
      <c r="R2597" s="7" t="str">
        <f t="shared" si="123"/>
        <v>(2006,48,'2006.12.02',20,25,31,60,79),</v>
      </c>
    </row>
    <row r="2598" spans="1:18" x14ac:dyDescent="0.25">
      <c r="A2598" s="7" t="s">
        <v>3664</v>
      </c>
      <c r="B2598" s="8" t="s">
        <v>34</v>
      </c>
      <c r="C2598" s="10">
        <f t="shared" si="122"/>
        <v>39060</v>
      </c>
      <c r="D2598" t="s">
        <v>11</v>
      </c>
      <c r="E2598" t="s">
        <v>12</v>
      </c>
      <c r="F2598" t="s">
        <v>36</v>
      </c>
      <c r="G2598" t="s">
        <v>3678</v>
      </c>
      <c r="H2598" t="s">
        <v>3381</v>
      </c>
      <c r="I2598" t="s">
        <v>3679</v>
      </c>
      <c r="J2598" t="s">
        <v>3680</v>
      </c>
      <c r="K2598" t="s">
        <v>3681</v>
      </c>
      <c r="L2598" s="12" t="s">
        <v>168</v>
      </c>
      <c r="M2598" s="12" t="s">
        <v>135</v>
      </c>
      <c r="N2598" s="12" t="s">
        <v>116</v>
      </c>
      <c r="O2598" s="12" t="s">
        <v>245</v>
      </c>
      <c r="P2598" s="12" t="s">
        <v>468</v>
      </c>
      <c r="Q2598" s="7" t="str">
        <f t="shared" si="121"/>
        <v>(2006,49,'2006.12.09',4,27,29,74,85,0),</v>
      </c>
      <c r="R2598" s="7" t="str">
        <f t="shared" si="123"/>
        <v>(2006,49,'2006.12.09',4,27,29,74,85),</v>
      </c>
    </row>
    <row r="2599" spans="1:18" x14ac:dyDescent="0.25">
      <c r="A2599" s="7" t="s">
        <v>3664</v>
      </c>
      <c r="B2599" s="8" t="s">
        <v>105</v>
      </c>
      <c r="C2599" s="10">
        <f t="shared" si="122"/>
        <v>39067</v>
      </c>
      <c r="D2599" t="s">
        <v>11</v>
      </c>
      <c r="E2599" t="s">
        <v>12</v>
      </c>
      <c r="F2599" t="s">
        <v>74</v>
      </c>
      <c r="G2599" t="s">
        <v>3674</v>
      </c>
      <c r="H2599" t="s">
        <v>3675</v>
      </c>
      <c r="I2599" t="s">
        <v>3676</v>
      </c>
      <c r="J2599" t="s">
        <v>3677</v>
      </c>
      <c r="K2599" t="s">
        <v>3092</v>
      </c>
      <c r="L2599" s="12" t="s">
        <v>127</v>
      </c>
      <c r="M2599" s="12" t="s">
        <v>13</v>
      </c>
      <c r="N2599" s="12" t="s">
        <v>22</v>
      </c>
      <c r="O2599" s="12" t="s">
        <v>105</v>
      </c>
      <c r="P2599" s="12" t="s">
        <v>99</v>
      </c>
      <c r="Q2599" s="7" t="str">
        <f t="shared" si="121"/>
        <v>(2006,50,'2006.12.16',14,41,48,50,52,0),</v>
      </c>
      <c r="R2599" s="7" t="str">
        <f t="shared" si="123"/>
        <v>(2006,50,'2006.12.16',14,41,48,50,52),</v>
      </c>
    </row>
    <row r="2600" spans="1:18" x14ac:dyDescent="0.25">
      <c r="A2600" s="7" t="s">
        <v>3664</v>
      </c>
      <c r="B2600" s="8" t="s">
        <v>122</v>
      </c>
      <c r="C2600" s="10">
        <f t="shared" si="122"/>
        <v>39074</v>
      </c>
      <c r="D2600" t="s">
        <v>11</v>
      </c>
      <c r="E2600" t="s">
        <v>12</v>
      </c>
      <c r="F2600" t="s">
        <v>126</v>
      </c>
      <c r="G2600" t="s">
        <v>3670</v>
      </c>
      <c r="H2600" t="s">
        <v>3671</v>
      </c>
      <c r="I2600" t="s">
        <v>183</v>
      </c>
      <c r="J2600" t="s">
        <v>3672</v>
      </c>
      <c r="K2600" t="s">
        <v>3673</v>
      </c>
      <c r="L2600" s="12" t="s">
        <v>99</v>
      </c>
      <c r="M2600" s="12" t="s">
        <v>123</v>
      </c>
      <c r="N2600" s="12" t="s">
        <v>35</v>
      </c>
      <c r="O2600" s="12" t="s">
        <v>201</v>
      </c>
      <c r="P2600" s="12" t="s">
        <v>208</v>
      </c>
      <c r="Q2600" s="7" t="str">
        <f t="shared" si="121"/>
        <v>(2006,51,'2006.12.23',52,54,65,72,88,0),</v>
      </c>
      <c r="R2600" s="7" t="str">
        <f t="shared" si="123"/>
        <v>(2006,51,'2006.12.23',52,54,65,72,88),</v>
      </c>
    </row>
    <row r="2601" spans="1:18" x14ac:dyDescent="0.25">
      <c r="A2601" s="7" t="s">
        <v>3664</v>
      </c>
      <c r="B2601" s="8" t="s">
        <v>99</v>
      </c>
      <c r="C2601" s="10">
        <f t="shared" si="122"/>
        <v>39081</v>
      </c>
      <c r="D2601" t="s">
        <v>11</v>
      </c>
      <c r="E2601" t="s">
        <v>12</v>
      </c>
      <c r="F2601" t="s">
        <v>98</v>
      </c>
      <c r="G2601" t="s">
        <v>3665</v>
      </c>
      <c r="H2601" t="s">
        <v>3666</v>
      </c>
      <c r="I2601" t="s">
        <v>3667</v>
      </c>
      <c r="J2601" t="s">
        <v>3668</v>
      </c>
      <c r="K2601" t="s">
        <v>3669</v>
      </c>
      <c r="L2601" s="12" t="s">
        <v>89</v>
      </c>
      <c r="M2601" s="12" t="s">
        <v>44</v>
      </c>
      <c r="N2601" s="12" t="s">
        <v>64</v>
      </c>
      <c r="O2601" s="12" t="s">
        <v>124</v>
      </c>
      <c r="P2601" s="12" t="s">
        <v>73</v>
      </c>
      <c r="Q2601" s="7" t="str">
        <f t="shared" si="121"/>
        <v>(2006,52,'2006.12.30',5,21,35,62,76,0),</v>
      </c>
      <c r="R2601" s="7" t="str">
        <f t="shared" si="123"/>
        <v>(2006,52,'2006.12.30',5,21,35,62,76),</v>
      </c>
    </row>
    <row r="2602" spans="1:18" x14ac:dyDescent="0.25">
      <c r="A2602" s="7" t="s">
        <v>3423</v>
      </c>
      <c r="B2602" s="8" t="s">
        <v>108</v>
      </c>
      <c r="C2602" s="10">
        <f t="shared" si="122"/>
        <v>39088</v>
      </c>
      <c r="D2602" t="s">
        <v>11</v>
      </c>
      <c r="E2602" t="s">
        <v>12</v>
      </c>
      <c r="F2602" t="s">
        <v>81</v>
      </c>
      <c r="G2602" t="s">
        <v>3659</v>
      </c>
      <c r="H2602" t="s">
        <v>3660</v>
      </c>
      <c r="I2602" t="s">
        <v>3661</v>
      </c>
      <c r="J2602" t="s">
        <v>3662</v>
      </c>
      <c r="K2602" t="s">
        <v>3663</v>
      </c>
      <c r="L2602" s="12" t="s">
        <v>135</v>
      </c>
      <c r="M2602" s="12" t="s">
        <v>21</v>
      </c>
      <c r="N2602" s="12" t="s">
        <v>46</v>
      </c>
      <c r="O2602" s="12" t="s">
        <v>175</v>
      </c>
      <c r="P2602" s="12" t="s">
        <v>150</v>
      </c>
      <c r="Q2602" s="7" t="str">
        <f t="shared" si="121"/>
        <v>(2007,1,'2007.01.06',27,36,37,55,57,0),</v>
      </c>
      <c r="R2602" s="7" t="str">
        <f t="shared" si="123"/>
        <v>(2007,1,'2007.01.06',27,36,37,55,57),</v>
      </c>
    </row>
    <row r="2603" spans="1:18" x14ac:dyDescent="0.25">
      <c r="A2603" s="7" t="s">
        <v>3423</v>
      </c>
      <c r="B2603" s="8" t="s">
        <v>207</v>
      </c>
      <c r="C2603" s="10">
        <f t="shared" si="122"/>
        <v>39095</v>
      </c>
      <c r="D2603" t="s">
        <v>11</v>
      </c>
      <c r="E2603" t="s">
        <v>12</v>
      </c>
      <c r="F2603" t="s">
        <v>80</v>
      </c>
      <c r="G2603" t="s">
        <v>3655</v>
      </c>
      <c r="H2603" t="s">
        <v>681</v>
      </c>
      <c r="I2603" t="s">
        <v>3656</v>
      </c>
      <c r="J2603" t="s">
        <v>3657</v>
      </c>
      <c r="K2603" t="s">
        <v>3658</v>
      </c>
      <c r="L2603" s="12" t="s">
        <v>133</v>
      </c>
      <c r="M2603" s="12" t="s">
        <v>123</v>
      </c>
      <c r="N2603" s="12" t="s">
        <v>151</v>
      </c>
      <c r="O2603" s="12" t="s">
        <v>215</v>
      </c>
      <c r="P2603" s="12" t="s">
        <v>622</v>
      </c>
      <c r="Q2603" s="7" t="str">
        <f t="shared" si="121"/>
        <v>(2007,2,'2007.01.13',45,54,79,81,82,0),</v>
      </c>
      <c r="R2603" s="7" t="str">
        <f t="shared" si="123"/>
        <v>(2007,2,'2007.01.13',45,54,79,81,82),</v>
      </c>
    </row>
    <row r="2604" spans="1:18" x14ac:dyDescent="0.25">
      <c r="A2604" s="7" t="s">
        <v>3423</v>
      </c>
      <c r="B2604" s="8" t="s">
        <v>42</v>
      </c>
      <c r="C2604" s="10">
        <f t="shared" si="122"/>
        <v>39102</v>
      </c>
      <c r="D2604" t="s">
        <v>11</v>
      </c>
      <c r="E2604" t="s">
        <v>12</v>
      </c>
      <c r="F2604" t="s">
        <v>90</v>
      </c>
      <c r="G2604" t="s">
        <v>3651</v>
      </c>
      <c r="H2604" t="s">
        <v>282</v>
      </c>
      <c r="I2604" t="s">
        <v>3652</v>
      </c>
      <c r="J2604" t="s">
        <v>3653</v>
      </c>
      <c r="K2604" t="s">
        <v>3654</v>
      </c>
      <c r="L2604" s="12" t="s">
        <v>43</v>
      </c>
      <c r="M2604" s="12" t="s">
        <v>45</v>
      </c>
      <c r="N2604" s="12" t="s">
        <v>134</v>
      </c>
      <c r="O2604" s="12" t="s">
        <v>150</v>
      </c>
      <c r="P2604" s="12" t="s">
        <v>308</v>
      </c>
      <c r="Q2604" s="7" t="str">
        <f t="shared" si="121"/>
        <v>(2007,3,'2007.01.20',16,43,56,57,86,0),</v>
      </c>
      <c r="R2604" s="7" t="str">
        <f t="shared" si="123"/>
        <v>(2007,3,'2007.01.20',16,43,56,57,86),</v>
      </c>
    </row>
    <row r="2605" spans="1:18" x14ac:dyDescent="0.25">
      <c r="A2605" s="7" t="s">
        <v>3423</v>
      </c>
      <c r="B2605" s="8" t="s">
        <v>168</v>
      </c>
      <c r="C2605" s="10">
        <f t="shared" si="122"/>
        <v>39109</v>
      </c>
      <c r="D2605" t="s">
        <v>11</v>
      </c>
      <c r="E2605" t="s">
        <v>12</v>
      </c>
      <c r="F2605" t="s">
        <v>71</v>
      </c>
      <c r="G2605" t="s">
        <v>3646</v>
      </c>
      <c r="H2605" t="s">
        <v>3647</v>
      </c>
      <c r="I2605" t="s">
        <v>3648</v>
      </c>
      <c r="J2605" t="s">
        <v>3649</v>
      </c>
      <c r="K2605" t="s">
        <v>3650</v>
      </c>
      <c r="L2605" s="12" t="s">
        <v>207</v>
      </c>
      <c r="M2605" s="12" t="s">
        <v>80</v>
      </c>
      <c r="N2605" s="12" t="s">
        <v>81</v>
      </c>
      <c r="O2605" s="12" t="s">
        <v>91</v>
      </c>
      <c r="P2605" s="12" t="s">
        <v>72</v>
      </c>
      <c r="Q2605" s="7" t="str">
        <f t="shared" si="121"/>
        <v>(2007,4,'2007.01.27',2,32,47,61,67,0),</v>
      </c>
      <c r="R2605" s="7" t="str">
        <f t="shared" si="123"/>
        <v>(2007,4,'2007.01.27',2,32,47,61,67),</v>
      </c>
    </row>
    <row r="2606" spans="1:18" x14ac:dyDescent="0.25">
      <c r="A2606" s="7" t="s">
        <v>3423</v>
      </c>
      <c r="B2606" s="8" t="s">
        <v>89</v>
      </c>
      <c r="C2606" s="10">
        <f t="shared" si="122"/>
        <v>39116</v>
      </c>
      <c r="D2606" t="s">
        <v>11</v>
      </c>
      <c r="E2606" t="s">
        <v>12</v>
      </c>
      <c r="F2606" t="s">
        <v>55</v>
      </c>
      <c r="G2606" t="s">
        <v>3641</v>
      </c>
      <c r="H2606" t="s">
        <v>3642</v>
      </c>
      <c r="I2606" t="s">
        <v>3643</v>
      </c>
      <c r="J2606" t="s">
        <v>3644</v>
      </c>
      <c r="K2606" t="s">
        <v>3645</v>
      </c>
      <c r="L2606" s="12" t="s">
        <v>127</v>
      </c>
      <c r="M2606" s="12" t="s">
        <v>163</v>
      </c>
      <c r="N2606" s="12" t="s">
        <v>201</v>
      </c>
      <c r="O2606" s="12" t="s">
        <v>468</v>
      </c>
      <c r="P2606" s="12" t="s">
        <v>308</v>
      </c>
      <c r="Q2606" s="7" t="str">
        <f t="shared" si="121"/>
        <v>(2007,5,'2007.02.03',14,23,72,85,86,0),</v>
      </c>
      <c r="R2606" s="7" t="str">
        <f t="shared" si="123"/>
        <v>(2007,5,'2007.02.03',14,23,72,85,86),</v>
      </c>
    </row>
    <row r="2607" spans="1:18" x14ac:dyDescent="0.25">
      <c r="A2607" s="7" t="s">
        <v>3423</v>
      </c>
      <c r="B2607" s="8" t="s">
        <v>270</v>
      </c>
      <c r="C2607" s="10">
        <f t="shared" si="122"/>
        <v>39123</v>
      </c>
      <c r="D2607" t="s">
        <v>11</v>
      </c>
      <c r="E2607" t="s">
        <v>12</v>
      </c>
      <c r="F2607" t="s">
        <v>44</v>
      </c>
      <c r="G2607" t="s">
        <v>3636</v>
      </c>
      <c r="H2607" t="s">
        <v>3637</v>
      </c>
      <c r="I2607" t="s">
        <v>3638</v>
      </c>
      <c r="J2607" t="s">
        <v>3639</v>
      </c>
      <c r="K2607" t="s">
        <v>3640</v>
      </c>
      <c r="L2607" s="12" t="s">
        <v>108</v>
      </c>
      <c r="M2607" s="12" t="s">
        <v>232</v>
      </c>
      <c r="N2607" s="12" t="s">
        <v>25</v>
      </c>
      <c r="O2607" s="12" t="s">
        <v>245</v>
      </c>
      <c r="P2607" s="12" t="s">
        <v>308</v>
      </c>
      <c r="Q2607" s="7" t="str">
        <f t="shared" si="121"/>
        <v>(2007,6,'2007.02.10',1,8,34,74,86,0),</v>
      </c>
      <c r="R2607" s="7" t="str">
        <f t="shared" si="123"/>
        <v>(2007,6,'2007.02.10',1,8,34,74,86),</v>
      </c>
    </row>
    <row r="2608" spans="1:18" x14ac:dyDescent="0.25">
      <c r="A2608" s="7" t="s">
        <v>3423</v>
      </c>
      <c r="B2608" s="8" t="s">
        <v>53</v>
      </c>
      <c r="C2608" s="10">
        <f t="shared" si="122"/>
        <v>39130</v>
      </c>
      <c r="D2608" t="s">
        <v>11</v>
      </c>
      <c r="E2608" t="s">
        <v>12</v>
      </c>
      <c r="F2608" t="s">
        <v>116</v>
      </c>
      <c r="G2608" t="s">
        <v>3631</v>
      </c>
      <c r="H2608" t="s">
        <v>3632</v>
      </c>
      <c r="I2608" t="s">
        <v>3633</v>
      </c>
      <c r="J2608" t="s">
        <v>3634</v>
      </c>
      <c r="K2608" t="s">
        <v>3635</v>
      </c>
      <c r="L2608" s="12" t="s">
        <v>43</v>
      </c>
      <c r="M2608" s="12" t="s">
        <v>32</v>
      </c>
      <c r="N2608" s="12" t="s">
        <v>124</v>
      </c>
      <c r="O2608" s="12" t="s">
        <v>151</v>
      </c>
      <c r="P2608" s="12" t="s">
        <v>186</v>
      </c>
      <c r="Q2608" s="7" t="str">
        <f t="shared" si="121"/>
        <v>(2007,7,'2007.02.17',16,22,62,79,90,0),</v>
      </c>
      <c r="R2608" s="7" t="str">
        <f t="shared" si="123"/>
        <v>(2007,7,'2007.02.17',16,22,62,79,90),</v>
      </c>
    </row>
    <row r="2609" spans="1:18" x14ac:dyDescent="0.25">
      <c r="A2609" s="7" t="s">
        <v>3423</v>
      </c>
      <c r="B2609" s="8" t="s">
        <v>232</v>
      </c>
      <c r="C2609" s="10">
        <f t="shared" si="122"/>
        <v>39137</v>
      </c>
      <c r="D2609" t="s">
        <v>11</v>
      </c>
      <c r="E2609" t="s">
        <v>12</v>
      </c>
      <c r="F2609" t="s">
        <v>3625</v>
      </c>
      <c r="G2609" t="s">
        <v>3626</v>
      </c>
      <c r="H2609" t="s">
        <v>3627</v>
      </c>
      <c r="I2609" t="s">
        <v>3628</v>
      </c>
      <c r="J2609" t="s">
        <v>3629</v>
      </c>
      <c r="K2609" t="s">
        <v>3630</v>
      </c>
      <c r="L2609" s="12" t="s">
        <v>232</v>
      </c>
      <c r="M2609" s="12" t="s">
        <v>65</v>
      </c>
      <c r="N2609" s="12" t="s">
        <v>24</v>
      </c>
      <c r="O2609" s="12" t="s">
        <v>45</v>
      </c>
      <c r="P2609" s="12" t="s">
        <v>248</v>
      </c>
      <c r="Q2609" s="7" t="str">
        <f t="shared" si="121"/>
        <v>(2007,8,'2007.02.24',8,13,39,43,63,0),</v>
      </c>
      <c r="R2609" s="7" t="str">
        <f t="shared" si="123"/>
        <v>(2007,8,'2007.02.24',8,13,39,43,63),</v>
      </c>
    </row>
    <row r="2610" spans="1:18" x14ac:dyDescent="0.25">
      <c r="A2610" s="7" t="s">
        <v>3423</v>
      </c>
      <c r="B2610" s="8" t="s">
        <v>198</v>
      </c>
      <c r="C2610" s="10">
        <f t="shared" si="122"/>
        <v>39144</v>
      </c>
      <c r="D2610" t="s">
        <v>11</v>
      </c>
      <c r="E2610" t="s">
        <v>12</v>
      </c>
      <c r="F2610" t="s">
        <v>25</v>
      </c>
      <c r="G2610" t="s">
        <v>3622</v>
      </c>
      <c r="H2610" t="s">
        <v>3623</v>
      </c>
      <c r="I2610" t="s">
        <v>3600</v>
      </c>
      <c r="J2610" t="s">
        <v>3624</v>
      </c>
      <c r="K2610" t="s">
        <v>1821</v>
      </c>
      <c r="L2610" s="12" t="s">
        <v>19</v>
      </c>
      <c r="M2610" s="12" t="s">
        <v>21</v>
      </c>
      <c r="N2610" s="12" t="s">
        <v>35</v>
      </c>
      <c r="O2610" s="12" t="s">
        <v>151</v>
      </c>
      <c r="P2610" s="12" t="s">
        <v>379</v>
      </c>
      <c r="Q2610" s="7" t="str">
        <f t="shared" si="121"/>
        <v>(2007,9,'2007.03.03',18,36,65,79,89,0),</v>
      </c>
      <c r="R2610" s="7" t="str">
        <f t="shared" si="123"/>
        <v>(2007,9,'2007.03.03',18,36,65,79,89),</v>
      </c>
    </row>
    <row r="2611" spans="1:18" x14ac:dyDescent="0.25">
      <c r="A2611" s="7" t="s">
        <v>3423</v>
      </c>
      <c r="B2611" s="8" t="s">
        <v>62</v>
      </c>
      <c r="C2611" s="10">
        <f t="shared" si="122"/>
        <v>39151</v>
      </c>
      <c r="D2611" t="s">
        <v>11</v>
      </c>
      <c r="E2611" t="s">
        <v>12</v>
      </c>
      <c r="F2611" t="s">
        <v>23</v>
      </c>
      <c r="G2611" t="s">
        <v>3618</v>
      </c>
      <c r="H2611" t="s">
        <v>3619</v>
      </c>
      <c r="I2611" t="s">
        <v>3620</v>
      </c>
      <c r="J2611" t="s">
        <v>3621</v>
      </c>
      <c r="K2611" t="s">
        <v>3567</v>
      </c>
      <c r="L2611" s="12" t="s">
        <v>83</v>
      </c>
      <c r="M2611" s="12" t="s">
        <v>33</v>
      </c>
      <c r="N2611" s="12" t="s">
        <v>36</v>
      </c>
      <c r="O2611" s="12" t="s">
        <v>24</v>
      </c>
      <c r="P2611" s="12" t="s">
        <v>215</v>
      </c>
      <c r="Q2611" s="7" t="str">
        <f t="shared" si="121"/>
        <v>(2007,10,'2007.03.10',11,24,38,39,81,0),</v>
      </c>
      <c r="R2611" s="7" t="str">
        <f t="shared" si="123"/>
        <v>(2007,10,'2007.03.10',11,24,38,39,81),</v>
      </c>
    </row>
    <row r="2612" spans="1:18" x14ac:dyDescent="0.25">
      <c r="A2612" s="7" t="s">
        <v>3423</v>
      </c>
      <c r="B2612" s="8" t="s">
        <v>83</v>
      </c>
      <c r="C2612" s="10">
        <f t="shared" si="122"/>
        <v>39158</v>
      </c>
      <c r="D2612" t="s">
        <v>11</v>
      </c>
      <c r="E2612" t="s">
        <v>12</v>
      </c>
      <c r="F2612" t="s">
        <v>45</v>
      </c>
      <c r="G2612" t="s">
        <v>3614</v>
      </c>
      <c r="H2612" t="s">
        <v>651</v>
      </c>
      <c r="I2612" t="s">
        <v>3615</v>
      </c>
      <c r="J2612" t="s">
        <v>3616</v>
      </c>
      <c r="K2612" t="s">
        <v>3617</v>
      </c>
      <c r="L2612" s="12" t="s">
        <v>32</v>
      </c>
      <c r="M2612" s="12" t="s">
        <v>24</v>
      </c>
      <c r="N2612" s="12" t="s">
        <v>34</v>
      </c>
      <c r="O2612" s="12" t="s">
        <v>23</v>
      </c>
      <c r="P2612" s="12" t="s">
        <v>200</v>
      </c>
      <c r="Q2612" s="7" t="str">
        <f t="shared" si="121"/>
        <v>(2007,11,'2007.03.17',22,39,49,60,70,0),</v>
      </c>
      <c r="R2612" s="7" t="str">
        <f t="shared" si="123"/>
        <v>(2007,11,'2007.03.17',22,39,49,60,70),</v>
      </c>
    </row>
    <row r="2613" spans="1:18" x14ac:dyDescent="0.25">
      <c r="A2613" s="7" t="s">
        <v>3423</v>
      </c>
      <c r="B2613" s="8" t="s">
        <v>31</v>
      </c>
      <c r="C2613" s="10">
        <f t="shared" si="122"/>
        <v>39165</v>
      </c>
      <c r="D2613" t="s">
        <v>11</v>
      </c>
      <c r="E2613" t="s">
        <v>12</v>
      </c>
      <c r="F2613" t="s">
        <v>105</v>
      </c>
      <c r="G2613" t="s">
        <v>3609</v>
      </c>
      <c r="H2613" t="s">
        <v>3610</v>
      </c>
      <c r="I2613" t="s">
        <v>3611</v>
      </c>
      <c r="J2613" t="s">
        <v>3612</v>
      </c>
      <c r="K2613" t="s">
        <v>3613</v>
      </c>
      <c r="L2613" s="12" t="s">
        <v>65</v>
      </c>
      <c r="M2613" s="12" t="s">
        <v>34</v>
      </c>
      <c r="N2613" s="12" t="s">
        <v>233</v>
      </c>
      <c r="O2613" s="12" t="s">
        <v>106</v>
      </c>
      <c r="P2613" s="12" t="s">
        <v>151</v>
      </c>
      <c r="Q2613" s="7" t="str">
        <f t="shared" si="121"/>
        <v>(2007,12,'2007.03.24',13,49,66,75,79,0),</v>
      </c>
      <c r="R2613" s="7" t="str">
        <f t="shared" si="123"/>
        <v>(2007,12,'2007.03.24',13,49,66,75,79),</v>
      </c>
    </row>
    <row r="2614" spans="1:18" x14ac:dyDescent="0.25">
      <c r="A2614" s="7" t="s">
        <v>3423</v>
      </c>
      <c r="B2614" s="8" t="s">
        <v>65</v>
      </c>
      <c r="C2614" s="10">
        <f t="shared" si="122"/>
        <v>39172</v>
      </c>
      <c r="D2614" t="s">
        <v>108</v>
      </c>
      <c r="E2614" t="s">
        <v>3603</v>
      </c>
      <c r="F2614" t="s">
        <v>35</v>
      </c>
      <c r="G2614" t="s">
        <v>3604</v>
      </c>
      <c r="H2614" t="s">
        <v>3605</v>
      </c>
      <c r="I2614" t="s">
        <v>3606</v>
      </c>
      <c r="J2614" t="s">
        <v>3607</v>
      </c>
      <c r="K2614" t="s">
        <v>3608</v>
      </c>
      <c r="L2614" s="12" t="s">
        <v>53</v>
      </c>
      <c r="M2614" s="12" t="s">
        <v>34</v>
      </c>
      <c r="N2614" s="12" t="s">
        <v>248</v>
      </c>
      <c r="O2614" s="12" t="s">
        <v>214</v>
      </c>
      <c r="P2614" s="12" t="s">
        <v>201</v>
      </c>
      <c r="Q2614" s="7" t="str">
        <f t="shared" si="121"/>
        <v>(2007,13,'2007.03.31',7,49,63,64,72,0),</v>
      </c>
      <c r="R2614" s="7" t="str">
        <f t="shared" si="123"/>
        <v>(2007,13,'2007.03.31',7,49,63,64,72),</v>
      </c>
    </row>
    <row r="2615" spans="1:18" x14ac:dyDescent="0.25">
      <c r="A2615" s="7" t="s">
        <v>3423</v>
      </c>
      <c r="B2615" s="8" t="s">
        <v>127</v>
      </c>
      <c r="C2615" s="10">
        <f t="shared" si="122"/>
        <v>39179</v>
      </c>
      <c r="D2615" t="s">
        <v>11</v>
      </c>
      <c r="E2615" t="s">
        <v>12</v>
      </c>
      <c r="F2615" t="s">
        <v>142</v>
      </c>
      <c r="G2615" t="s">
        <v>3598</v>
      </c>
      <c r="H2615" t="s">
        <v>3599</v>
      </c>
      <c r="I2615" t="s">
        <v>3600</v>
      </c>
      <c r="J2615" t="s">
        <v>3601</v>
      </c>
      <c r="K2615" t="s">
        <v>3602</v>
      </c>
      <c r="L2615" s="12" t="s">
        <v>127</v>
      </c>
      <c r="M2615" s="12" t="s">
        <v>115</v>
      </c>
      <c r="N2615" s="12" t="s">
        <v>107</v>
      </c>
      <c r="O2615" s="12" t="s">
        <v>175</v>
      </c>
      <c r="P2615" s="12" t="s">
        <v>106</v>
      </c>
      <c r="Q2615" s="7" t="str">
        <f t="shared" si="121"/>
        <v>(2007,14,'2007.04.07',14,20,30,55,75,0),</v>
      </c>
      <c r="R2615" s="7" t="str">
        <f t="shared" si="123"/>
        <v>(2007,14,'2007.04.07',14,20,30,55,75),</v>
      </c>
    </row>
    <row r="2616" spans="1:18" x14ac:dyDescent="0.25">
      <c r="A2616" s="7" t="s">
        <v>3423</v>
      </c>
      <c r="B2616" s="8" t="s">
        <v>54</v>
      </c>
      <c r="C2616" s="10">
        <f t="shared" si="122"/>
        <v>39186</v>
      </c>
      <c r="D2616" t="s">
        <v>11</v>
      </c>
      <c r="E2616" t="s">
        <v>12</v>
      </c>
      <c r="F2616" t="s">
        <v>25</v>
      </c>
      <c r="G2616" t="s">
        <v>3594</v>
      </c>
      <c r="H2616" t="s">
        <v>3595</v>
      </c>
      <c r="I2616" t="s">
        <v>3596</v>
      </c>
      <c r="J2616" t="s">
        <v>3597</v>
      </c>
      <c r="K2616" t="s">
        <v>1551</v>
      </c>
      <c r="L2616" s="12" t="s">
        <v>127</v>
      </c>
      <c r="M2616" s="12" t="s">
        <v>107</v>
      </c>
      <c r="N2616" s="12" t="s">
        <v>81</v>
      </c>
      <c r="O2616" s="12" t="s">
        <v>169</v>
      </c>
      <c r="P2616" s="12" t="s">
        <v>143</v>
      </c>
      <c r="Q2616" s="7" t="str">
        <f t="shared" si="121"/>
        <v>(2007,15,'2007.04.14',14,30,47,58,77,0),</v>
      </c>
      <c r="R2616" s="7" t="str">
        <f t="shared" si="123"/>
        <v>(2007,15,'2007.04.14',14,30,47,58,77),</v>
      </c>
    </row>
    <row r="2617" spans="1:18" x14ac:dyDescent="0.25">
      <c r="A2617" s="7" t="s">
        <v>3423</v>
      </c>
      <c r="B2617" s="8" t="s">
        <v>43</v>
      </c>
      <c r="C2617" s="10">
        <f t="shared" si="122"/>
        <v>39193</v>
      </c>
      <c r="D2617" t="s">
        <v>11</v>
      </c>
      <c r="E2617" t="s">
        <v>12</v>
      </c>
      <c r="F2617" t="s">
        <v>99</v>
      </c>
      <c r="G2617" t="s">
        <v>3589</v>
      </c>
      <c r="H2617" t="s">
        <v>3590</v>
      </c>
      <c r="I2617" t="s">
        <v>3591</v>
      </c>
      <c r="J2617" t="s">
        <v>3592</v>
      </c>
      <c r="K2617" t="s">
        <v>3593</v>
      </c>
      <c r="L2617" s="12" t="s">
        <v>42</v>
      </c>
      <c r="M2617" s="12" t="s">
        <v>62</v>
      </c>
      <c r="N2617" s="12" t="s">
        <v>127</v>
      </c>
      <c r="O2617" s="12" t="s">
        <v>107</v>
      </c>
      <c r="P2617" s="12" t="s">
        <v>248</v>
      </c>
      <c r="Q2617" s="7" t="str">
        <f t="shared" si="121"/>
        <v>(2007,16,'2007.04.21',3,10,14,30,63,0),</v>
      </c>
      <c r="R2617" s="7" t="str">
        <f t="shared" si="123"/>
        <v>(2007,16,'2007.04.21',3,10,14,30,63),</v>
      </c>
    </row>
    <row r="2618" spans="1:18" x14ac:dyDescent="0.25">
      <c r="A2618" s="7" t="s">
        <v>3423</v>
      </c>
      <c r="B2618" s="8" t="s">
        <v>90</v>
      </c>
      <c r="C2618" s="10">
        <f t="shared" si="122"/>
        <v>39200</v>
      </c>
      <c r="D2618" t="s">
        <v>11</v>
      </c>
      <c r="E2618" t="s">
        <v>12</v>
      </c>
      <c r="F2618" t="s">
        <v>233</v>
      </c>
      <c r="G2618" t="s">
        <v>3584</v>
      </c>
      <c r="H2618" t="s">
        <v>3585</v>
      </c>
      <c r="I2618" t="s">
        <v>3586</v>
      </c>
      <c r="J2618" t="s">
        <v>3587</v>
      </c>
      <c r="K2618" t="s">
        <v>3588</v>
      </c>
      <c r="L2618" s="12" t="s">
        <v>44</v>
      </c>
      <c r="M2618" s="12" t="s">
        <v>13</v>
      </c>
      <c r="N2618" s="12" t="s">
        <v>133</v>
      </c>
      <c r="O2618" s="12" t="s">
        <v>34</v>
      </c>
      <c r="P2618" s="12" t="s">
        <v>248</v>
      </c>
      <c r="Q2618" s="7" t="str">
        <f t="shared" si="121"/>
        <v>(2007,17,'2007.04.28',21,41,45,49,63,0),</v>
      </c>
      <c r="R2618" s="7" t="str">
        <f t="shared" si="123"/>
        <v>(2007,17,'2007.04.28',21,41,45,49,63),</v>
      </c>
    </row>
    <row r="2619" spans="1:18" x14ac:dyDescent="0.25">
      <c r="A2619" s="7" t="s">
        <v>3423</v>
      </c>
      <c r="B2619" s="8" t="s">
        <v>19</v>
      </c>
      <c r="C2619" s="10">
        <f t="shared" si="122"/>
        <v>39207</v>
      </c>
      <c r="D2619" t="s">
        <v>108</v>
      </c>
      <c r="E2619" t="s">
        <v>3578</v>
      </c>
      <c r="F2619" t="s">
        <v>208</v>
      </c>
      <c r="G2619" t="s">
        <v>3579</v>
      </c>
      <c r="H2619" t="s">
        <v>3580</v>
      </c>
      <c r="I2619" t="s">
        <v>3581</v>
      </c>
      <c r="J2619" t="s">
        <v>3582</v>
      </c>
      <c r="K2619" t="s">
        <v>3583</v>
      </c>
      <c r="L2619" s="12" t="s">
        <v>198</v>
      </c>
      <c r="M2619" s="12" t="s">
        <v>127</v>
      </c>
      <c r="N2619" s="12" t="s">
        <v>44</v>
      </c>
      <c r="O2619" s="12" t="s">
        <v>175</v>
      </c>
      <c r="P2619" s="12" t="s">
        <v>143</v>
      </c>
      <c r="Q2619" s="7" t="str">
        <f t="shared" si="121"/>
        <v>(2007,18,'2007.05.05',9,14,21,55,77,0),</v>
      </c>
      <c r="R2619" s="7" t="str">
        <f t="shared" si="123"/>
        <v>(2007,18,'2007.05.05',9,14,21,55,77),</v>
      </c>
    </row>
    <row r="2620" spans="1:18" x14ac:dyDescent="0.25">
      <c r="A2620" s="7" t="s">
        <v>3423</v>
      </c>
      <c r="B2620" s="8" t="s">
        <v>55</v>
      </c>
      <c r="C2620" s="10">
        <f t="shared" si="122"/>
        <v>39214</v>
      </c>
      <c r="D2620" t="s">
        <v>108</v>
      </c>
      <c r="E2620" t="s">
        <v>3573</v>
      </c>
      <c r="F2620" t="s">
        <v>239</v>
      </c>
      <c r="G2620" t="s">
        <v>3574</v>
      </c>
      <c r="H2620" t="s">
        <v>3575</v>
      </c>
      <c r="I2620" t="s">
        <v>3576</v>
      </c>
      <c r="J2620" t="s">
        <v>3577</v>
      </c>
      <c r="K2620" t="s">
        <v>3397</v>
      </c>
      <c r="L2620" s="12" t="s">
        <v>99</v>
      </c>
      <c r="M2620" s="12" t="s">
        <v>123</v>
      </c>
      <c r="N2620" s="12" t="s">
        <v>201</v>
      </c>
      <c r="O2620" s="12" t="s">
        <v>143</v>
      </c>
      <c r="P2620" s="12" t="s">
        <v>125</v>
      </c>
      <c r="Q2620" s="7" t="str">
        <f t="shared" si="121"/>
        <v>(2007,19,'2007.05.12',52,54,72,77,83,0),</v>
      </c>
      <c r="R2620" s="7" t="str">
        <f t="shared" si="123"/>
        <v>(2007,19,'2007.05.12',52,54,72,77,83),</v>
      </c>
    </row>
    <row r="2621" spans="1:18" x14ac:dyDescent="0.25">
      <c r="A2621" s="7" t="s">
        <v>3423</v>
      </c>
      <c r="B2621" s="8" t="s">
        <v>115</v>
      </c>
      <c r="C2621" s="10">
        <f t="shared" si="122"/>
        <v>39221</v>
      </c>
      <c r="D2621" t="s">
        <v>11</v>
      </c>
      <c r="E2621" t="s">
        <v>12</v>
      </c>
      <c r="F2621" t="s">
        <v>198</v>
      </c>
      <c r="G2621" t="s">
        <v>3568</v>
      </c>
      <c r="H2621" t="s">
        <v>3569</v>
      </c>
      <c r="I2621" t="s">
        <v>3570</v>
      </c>
      <c r="J2621" t="s">
        <v>3571</v>
      </c>
      <c r="K2621" t="s">
        <v>3572</v>
      </c>
      <c r="L2621" s="12" t="s">
        <v>192</v>
      </c>
      <c r="M2621" s="12" t="s">
        <v>35</v>
      </c>
      <c r="N2621" s="12" t="s">
        <v>106</v>
      </c>
      <c r="O2621" s="12" t="s">
        <v>246</v>
      </c>
      <c r="P2621" s="12" t="s">
        <v>468</v>
      </c>
      <c r="Q2621" s="7" t="str">
        <f t="shared" si="121"/>
        <v>(2007,20,'2007.05.19',46,65,75,84,85,0),</v>
      </c>
      <c r="R2621" s="7" t="str">
        <f t="shared" si="123"/>
        <v>(2007,20,'2007.05.19',46,65,75,84,85),</v>
      </c>
    </row>
    <row r="2622" spans="1:18" x14ac:dyDescent="0.25">
      <c r="A2622" s="7" t="s">
        <v>3423</v>
      </c>
      <c r="B2622" s="8" t="s">
        <v>44</v>
      </c>
      <c r="C2622" s="10">
        <f t="shared" si="122"/>
        <v>39228</v>
      </c>
      <c r="D2622" t="s">
        <v>11</v>
      </c>
      <c r="E2622" t="s">
        <v>12</v>
      </c>
      <c r="F2622" t="s">
        <v>71</v>
      </c>
      <c r="G2622" t="s">
        <v>3564</v>
      </c>
      <c r="H2622" t="s">
        <v>2827</v>
      </c>
      <c r="I2622" t="s">
        <v>3565</v>
      </c>
      <c r="J2622" t="s">
        <v>3566</v>
      </c>
      <c r="K2622" t="s">
        <v>3567</v>
      </c>
      <c r="L2622" s="12" t="s">
        <v>108</v>
      </c>
      <c r="M2622" s="12" t="s">
        <v>270</v>
      </c>
      <c r="N2622" s="12" t="s">
        <v>19</v>
      </c>
      <c r="O2622" s="12" t="s">
        <v>64</v>
      </c>
      <c r="P2622" s="12" t="s">
        <v>151</v>
      </c>
      <c r="Q2622" s="7" t="str">
        <f t="shared" si="121"/>
        <v>(2007,21,'2007.05.26',1,6,18,35,79,0),</v>
      </c>
      <c r="R2622" s="7" t="str">
        <f t="shared" si="123"/>
        <v>(2007,21,'2007.05.26',1,6,18,35,79),</v>
      </c>
    </row>
    <row r="2623" spans="1:18" x14ac:dyDescent="0.25">
      <c r="A2623" s="7" t="s">
        <v>3423</v>
      </c>
      <c r="B2623" s="8" t="s">
        <v>32</v>
      </c>
      <c r="C2623" s="10">
        <f t="shared" si="122"/>
        <v>39235</v>
      </c>
      <c r="D2623" t="s">
        <v>11</v>
      </c>
      <c r="E2623" t="s">
        <v>12</v>
      </c>
      <c r="F2623" t="s">
        <v>122</v>
      </c>
      <c r="G2623" t="s">
        <v>3559</v>
      </c>
      <c r="H2623" t="s">
        <v>3560</v>
      </c>
      <c r="I2623" t="s">
        <v>3561</v>
      </c>
      <c r="J2623" t="s">
        <v>3562</v>
      </c>
      <c r="K2623" t="s">
        <v>3563</v>
      </c>
      <c r="L2623" s="12" t="s">
        <v>83</v>
      </c>
      <c r="M2623" s="12" t="s">
        <v>33</v>
      </c>
      <c r="N2623" s="12" t="s">
        <v>98</v>
      </c>
      <c r="O2623" s="12" t="s">
        <v>82</v>
      </c>
      <c r="P2623" s="12" t="s">
        <v>63</v>
      </c>
      <c r="Q2623" s="7" t="str">
        <f t="shared" si="121"/>
        <v>(2007,22,'2007.06.02',11,24,42,59,78,0),</v>
      </c>
      <c r="R2623" s="7" t="str">
        <f t="shared" si="123"/>
        <v>(2007,22,'2007.06.02',11,24,42,59,78),</v>
      </c>
    </row>
    <row r="2624" spans="1:18" x14ac:dyDescent="0.25">
      <c r="A2624" s="7" t="s">
        <v>3423</v>
      </c>
      <c r="B2624" s="8" t="s">
        <v>163</v>
      </c>
      <c r="C2624" s="10">
        <f t="shared" si="122"/>
        <v>39242</v>
      </c>
      <c r="D2624" t="s">
        <v>11</v>
      </c>
      <c r="E2624" t="s">
        <v>12</v>
      </c>
      <c r="F2624" t="s">
        <v>163</v>
      </c>
      <c r="G2624" t="s">
        <v>3554</v>
      </c>
      <c r="H2624" t="s">
        <v>3555</v>
      </c>
      <c r="I2624" t="s">
        <v>3556</v>
      </c>
      <c r="J2624" t="s">
        <v>3557</v>
      </c>
      <c r="K2624" t="s">
        <v>3558</v>
      </c>
      <c r="L2624" s="12" t="s">
        <v>71</v>
      </c>
      <c r="M2624" s="12" t="s">
        <v>142</v>
      </c>
      <c r="N2624" s="12" t="s">
        <v>56</v>
      </c>
      <c r="O2624" s="12" t="s">
        <v>239</v>
      </c>
      <c r="P2624" s="12" t="s">
        <v>622</v>
      </c>
      <c r="Q2624" s="7" t="str">
        <f t="shared" si="121"/>
        <v>(2007,23,'2007.06.09',31,44,71,73,82,0),</v>
      </c>
      <c r="R2624" s="7" t="str">
        <f t="shared" si="123"/>
        <v>(2007,23,'2007.06.09',31,44,71,73,82),</v>
      </c>
    </row>
    <row r="2625" spans="1:18" x14ac:dyDescent="0.25">
      <c r="A2625" s="7" t="s">
        <v>3423</v>
      </c>
      <c r="B2625" s="8" t="s">
        <v>33</v>
      </c>
      <c r="C2625" s="10">
        <f t="shared" si="122"/>
        <v>39249</v>
      </c>
      <c r="D2625" t="s">
        <v>11</v>
      </c>
      <c r="E2625" t="s">
        <v>12</v>
      </c>
      <c r="F2625" t="s">
        <v>245</v>
      </c>
      <c r="G2625" t="s">
        <v>3549</v>
      </c>
      <c r="H2625" t="s">
        <v>3550</v>
      </c>
      <c r="I2625" t="s">
        <v>3551</v>
      </c>
      <c r="J2625" t="s">
        <v>3552</v>
      </c>
      <c r="K2625" t="s">
        <v>3553</v>
      </c>
      <c r="L2625" s="12" t="s">
        <v>55</v>
      </c>
      <c r="M2625" s="12" t="s">
        <v>116</v>
      </c>
      <c r="N2625" s="12" t="s">
        <v>81</v>
      </c>
      <c r="O2625" s="12" t="s">
        <v>123</v>
      </c>
      <c r="P2625" s="12" t="s">
        <v>125</v>
      </c>
      <c r="Q2625" s="7" t="str">
        <f t="shared" si="121"/>
        <v>(2007,24,'2007.06.16',19,29,47,54,83,0),</v>
      </c>
      <c r="R2625" s="7" t="str">
        <f t="shared" si="123"/>
        <v>(2007,24,'2007.06.16',19,29,47,54,83),</v>
      </c>
    </row>
    <row r="2626" spans="1:18" x14ac:dyDescent="0.25">
      <c r="A2626" s="7" t="s">
        <v>3423</v>
      </c>
      <c r="B2626" s="8" t="s">
        <v>152</v>
      </c>
      <c r="C2626" s="10">
        <f t="shared" si="122"/>
        <v>39256</v>
      </c>
      <c r="D2626" t="s">
        <v>11</v>
      </c>
      <c r="E2626" t="s">
        <v>12</v>
      </c>
      <c r="F2626" t="s">
        <v>22</v>
      </c>
      <c r="G2626" t="s">
        <v>3544</v>
      </c>
      <c r="H2626" t="s">
        <v>3545</v>
      </c>
      <c r="I2626" t="s">
        <v>3546</v>
      </c>
      <c r="J2626" t="s">
        <v>3547</v>
      </c>
      <c r="K2626" t="s">
        <v>3548</v>
      </c>
      <c r="L2626" s="12" t="s">
        <v>62</v>
      </c>
      <c r="M2626" s="12" t="s">
        <v>43</v>
      </c>
      <c r="N2626" s="12" t="s">
        <v>152</v>
      </c>
      <c r="O2626" s="12" t="s">
        <v>21</v>
      </c>
      <c r="P2626" s="12" t="s">
        <v>134</v>
      </c>
      <c r="Q2626" s="7" t="str">
        <f t="shared" ref="Q2626:Q2689" si="124">"("&amp;A2626&amp;","&amp;B2626&amp;",'"&amp;TEXT(C2626,"éééé.hh.nn")&amp;"',"&amp;L2626&amp;","&amp;M2626&amp;","&amp;N2626&amp;","&amp;O2626&amp;","&amp;P2626&amp;",0)"&amp;IF(P2627&lt;&gt;0,",","")</f>
        <v>(2007,25,'2007.06.23',10,16,25,36,56,0),</v>
      </c>
      <c r="R2626" s="7" t="str">
        <f t="shared" si="123"/>
        <v>(2007,25,'2007.06.23',10,16,25,36,56),</v>
      </c>
    </row>
    <row r="2627" spans="1:18" x14ac:dyDescent="0.25">
      <c r="A2627" s="7" t="s">
        <v>3423</v>
      </c>
      <c r="B2627" s="8" t="s">
        <v>74</v>
      </c>
      <c r="C2627" s="10">
        <f t="shared" ref="C2627:C2690" si="125">+C2626+7</f>
        <v>39263</v>
      </c>
      <c r="D2627" t="s">
        <v>11</v>
      </c>
      <c r="E2627" t="s">
        <v>12</v>
      </c>
      <c r="F2627" t="s">
        <v>55</v>
      </c>
      <c r="G2627" t="s">
        <v>3539</v>
      </c>
      <c r="H2627" t="s">
        <v>3540</v>
      </c>
      <c r="I2627" t="s">
        <v>3541</v>
      </c>
      <c r="J2627" t="s">
        <v>3542</v>
      </c>
      <c r="K2627" t="s">
        <v>3543</v>
      </c>
      <c r="L2627" s="12" t="s">
        <v>198</v>
      </c>
      <c r="M2627" s="12" t="s">
        <v>124</v>
      </c>
      <c r="N2627" s="12" t="s">
        <v>47</v>
      </c>
      <c r="O2627" s="12" t="s">
        <v>125</v>
      </c>
      <c r="P2627" s="12" t="s">
        <v>186</v>
      </c>
      <c r="Q2627" s="7" t="str">
        <f t="shared" si="124"/>
        <v>(2007,26,'2007.06.30',9,62,69,83,90,0),</v>
      </c>
      <c r="R2627" s="7" t="str">
        <f t="shared" ref="R2627:R2690" si="126">IF(TRIM(P2627)="","","("&amp;A2627&amp;","&amp;B2627&amp;",'"&amp;TEXT(C2627,"éééé.hh.nn")&amp;"',"&amp;L2627&amp;","&amp;M2627&amp;","&amp;N2627&amp;","&amp;O2627&amp;","&amp;P2627&amp;")"&amp;IF(P2628=0,";",","))</f>
        <v>(2007,26,'2007.06.30',9,62,69,83,90),</v>
      </c>
    </row>
    <row r="2628" spans="1:18" x14ac:dyDescent="0.25">
      <c r="A2628" s="7" t="s">
        <v>3423</v>
      </c>
      <c r="B2628" s="8" t="s">
        <v>135</v>
      </c>
      <c r="C2628" s="10">
        <f t="shared" si="125"/>
        <v>39270</v>
      </c>
      <c r="D2628" t="s">
        <v>11</v>
      </c>
      <c r="E2628" t="s">
        <v>12</v>
      </c>
      <c r="F2628" t="s">
        <v>20</v>
      </c>
      <c r="G2628" t="s">
        <v>3534</v>
      </c>
      <c r="H2628" t="s">
        <v>3535</v>
      </c>
      <c r="I2628" t="s">
        <v>3536</v>
      </c>
      <c r="J2628" t="s">
        <v>3537</v>
      </c>
      <c r="K2628" t="s">
        <v>3538</v>
      </c>
      <c r="L2628" s="12" t="s">
        <v>44</v>
      </c>
      <c r="M2628" s="12" t="s">
        <v>33</v>
      </c>
      <c r="N2628" s="12" t="s">
        <v>74</v>
      </c>
      <c r="O2628" s="12" t="s">
        <v>64</v>
      </c>
      <c r="P2628" s="12" t="s">
        <v>56</v>
      </c>
      <c r="Q2628" s="7" t="str">
        <f t="shared" si="124"/>
        <v>(2007,27,'2007.07.07',21,24,26,35,71,0),</v>
      </c>
      <c r="R2628" s="7" t="str">
        <f t="shared" si="126"/>
        <v>(2007,27,'2007.07.07',21,24,26,35,71),</v>
      </c>
    </row>
    <row r="2629" spans="1:18" x14ac:dyDescent="0.25">
      <c r="A2629" s="7" t="s">
        <v>3423</v>
      </c>
      <c r="B2629" s="8" t="s">
        <v>126</v>
      </c>
      <c r="C2629" s="10">
        <f t="shared" si="125"/>
        <v>39277</v>
      </c>
      <c r="D2629" t="s">
        <v>11</v>
      </c>
      <c r="E2629" t="s">
        <v>12</v>
      </c>
      <c r="F2629" t="s">
        <v>122</v>
      </c>
      <c r="G2629" t="s">
        <v>3530</v>
      </c>
      <c r="H2629" t="s">
        <v>3477</v>
      </c>
      <c r="I2629" t="s">
        <v>3531</v>
      </c>
      <c r="J2629" t="s">
        <v>3532</v>
      </c>
      <c r="K2629" t="s">
        <v>3533</v>
      </c>
      <c r="L2629" s="12" t="s">
        <v>33</v>
      </c>
      <c r="M2629" s="12" t="s">
        <v>134</v>
      </c>
      <c r="N2629" s="12" t="s">
        <v>239</v>
      </c>
      <c r="O2629" s="12" t="s">
        <v>379</v>
      </c>
      <c r="P2629" s="12" t="s">
        <v>186</v>
      </c>
      <c r="Q2629" s="7" t="str">
        <f t="shared" si="124"/>
        <v>(2007,28,'2007.07.14',24,56,73,89,90,0),</v>
      </c>
      <c r="R2629" s="7" t="str">
        <f t="shared" si="126"/>
        <v>(2007,28,'2007.07.14',24,56,73,89,90),</v>
      </c>
    </row>
    <row r="2630" spans="1:18" x14ac:dyDescent="0.25">
      <c r="A2630" s="7" t="s">
        <v>3423</v>
      </c>
      <c r="B2630" s="8" t="s">
        <v>116</v>
      </c>
      <c r="C2630" s="10">
        <f t="shared" si="125"/>
        <v>39284</v>
      </c>
      <c r="D2630" t="s">
        <v>11</v>
      </c>
      <c r="E2630" t="s">
        <v>12</v>
      </c>
      <c r="F2630" t="s">
        <v>92</v>
      </c>
      <c r="G2630" t="s">
        <v>3526</v>
      </c>
      <c r="H2630" t="s">
        <v>3527</v>
      </c>
      <c r="I2630" t="s">
        <v>3312</v>
      </c>
      <c r="J2630" t="s">
        <v>3528</v>
      </c>
      <c r="K2630" t="s">
        <v>3529</v>
      </c>
      <c r="L2630" s="12" t="s">
        <v>115</v>
      </c>
      <c r="M2630" s="12" t="s">
        <v>13</v>
      </c>
      <c r="N2630" s="12" t="s">
        <v>142</v>
      </c>
      <c r="O2630" s="12" t="s">
        <v>92</v>
      </c>
      <c r="P2630" s="12" t="s">
        <v>56</v>
      </c>
      <c r="Q2630" s="7" t="str">
        <f t="shared" si="124"/>
        <v>(2007,29,'2007.07.21',20,41,44,68,71,0),</v>
      </c>
      <c r="R2630" s="7" t="str">
        <f t="shared" si="126"/>
        <v>(2007,29,'2007.07.21',20,41,44,68,71),</v>
      </c>
    </row>
    <row r="2631" spans="1:18" x14ac:dyDescent="0.25">
      <c r="A2631" s="7" t="s">
        <v>3423</v>
      </c>
      <c r="B2631" s="8" t="s">
        <v>107</v>
      </c>
      <c r="C2631" s="10">
        <f t="shared" si="125"/>
        <v>39291</v>
      </c>
      <c r="D2631" t="s">
        <v>11</v>
      </c>
      <c r="E2631" t="s">
        <v>12</v>
      </c>
      <c r="F2631" t="s">
        <v>21</v>
      </c>
      <c r="G2631" t="s">
        <v>3523</v>
      </c>
      <c r="H2631" t="s">
        <v>2743</v>
      </c>
      <c r="I2631" t="s">
        <v>3524</v>
      </c>
      <c r="J2631" t="s">
        <v>3525</v>
      </c>
      <c r="K2631" t="s">
        <v>2067</v>
      </c>
      <c r="L2631" s="12" t="s">
        <v>65</v>
      </c>
      <c r="M2631" s="12" t="s">
        <v>127</v>
      </c>
      <c r="N2631" s="12" t="s">
        <v>24</v>
      </c>
      <c r="O2631" s="12" t="s">
        <v>215</v>
      </c>
      <c r="P2631" s="12" t="s">
        <v>269</v>
      </c>
      <c r="Q2631" s="7" t="str">
        <f t="shared" si="124"/>
        <v>(2007,30,'2007.07.28',13,14,39,81,87,0),</v>
      </c>
      <c r="R2631" s="7" t="str">
        <f t="shared" si="126"/>
        <v>(2007,30,'2007.07.28',13,14,39,81,87),</v>
      </c>
    </row>
    <row r="2632" spans="1:18" x14ac:dyDescent="0.25">
      <c r="A2632" s="7" t="s">
        <v>3423</v>
      </c>
      <c r="B2632" s="8" t="s">
        <v>71</v>
      </c>
      <c r="C2632" s="10">
        <f t="shared" si="125"/>
        <v>39298</v>
      </c>
      <c r="D2632" t="s">
        <v>11</v>
      </c>
      <c r="E2632" t="s">
        <v>12</v>
      </c>
      <c r="F2632" t="s">
        <v>74</v>
      </c>
      <c r="G2632" t="s">
        <v>3519</v>
      </c>
      <c r="H2632" t="s">
        <v>470</v>
      </c>
      <c r="I2632" t="s">
        <v>3520</v>
      </c>
      <c r="J2632" t="s">
        <v>3521</v>
      </c>
      <c r="K2632" t="s">
        <v>3522</v>
      </c>
      <c r="L2632" s="12" t="s">
        <v>10</v>
      </c>
      <c r="M2632" s="12" t="s">
        <v>192</v>
      </c>
      <c r="N2632" s="12" t="s">
        <v>248</v>
      </c>
      <c r="O2632" s="12" t="s">
        <v>56</v>
      </c>
      <c r="P2632" s="12" t="s">
        <v>143</v>
      </c>
      <c r="Q2632" s="7" t="str">
        <f t="shared" si="124"/>
        <v>(2007,31,'2007.08.04',40,46,63,71,77,0),</v>
      </c>
      <c r="R2632" s="7" t="str">
        <f t="shared" si="126"/>
        <v>(2007,31,'2007.08.04',40,46,63,71,77),</v>
      </c>
    </row>
    <row r="2633" spans="1:18" x14ac:dyDescent="0.25">
      <c r="A2633" s="7" t="s">
        <v>3423</v>
      </c>
      <c r="B2633" s="8" t="s">
        <v>80</v>
      </c>
      <c r="C2633" s="10">
        <f t="shared" si="125"/>
        <v>39305</v>
      </c>
      <c r="D2633" t="s">
        <v>108</v>
      </c>
      <c r="E2633" t="s">
        <v>3513</v>
      </c>
      <c r="F2633" t="s">
        <v>71</v>
      </c>
      <c r="G2633" t="s">
        <v>3514</v>
      </c>
      <c r="H2633" t="s">
        <v>3515</v>
      </c>
      <c r="I2633" t="s">
        <v>3516</v>
      </c>
      <c r="J2633" t="s">
        <v>3517</v>
      </c>
      <c r="K2633" t="s">
        <v>3518</v>
      </c>
      <c r="L2633" s="12" t="s">
        <v>108</v>
      </c>
      <c r="M2633" s="12" t="s">
        <v>42</v>
      </c>
      <c r="N2633" s="12" t="s">
        <v>81</v>
      </c>
      <c r="O2633" s="12" t="s">
        <v>73</v>
      </c>
      <c r="P2633" s="12" t="s">
        <v>63</v>
      </c>
      <c r="Q2633" s="7" t="str">
        <f t="shared" si="124"/>
        <v>(2007,32,'2007.08.11',1,3,47,76,78,0),</v>
      </c>
      <c r="R2633" s="7" t="str">
        <f t="shared" si="126"/>
        <v>(2007,32,'2007.08.11',1,3,47,76,78),</v>
      </c>
    </row>
    <row r="2634" spans="1:18" x14ac:dyDescent="0.25">
      <c r="A2634" s="7" t="s">
        <v>3423</v>
      </c>
      <c r="B2634" s="8" t="s">
        <v>20</v>
      </c>
      <c r="C2634" s="10">
        <f t="shared" si="125"/>
        <v>39312</v>
      </c>
      <c r="D2634" t="s">
        <v>11</v>
      </c>
      <c r="E2634" t="s">
        <v>12</v>
      </c>
      <c r="F2634" t="s">
        <v>54</v>
      </c>
      <c r="G2634" t="s">
        <v>3509</v>
      </c>
      <c r="H2634" t="s">
        <v>3510</v>
      </c>
      <c r="I2634" t="s">
        <v>2213</v>
      </c>
      <c r="J2634" t="s">
        <v>3511</v>
      </c>
      <c r="K2634" t="s">
        <v>3512</v>
      </c>
      <c r="L2634" s="12" t="s">
        <v>126</v>
      </c>
      <c r="M2634" s="12" t="s">
        <v>107</v>
      </c>
      <c r="N2634" s="12" t="s">
        <v>64</v>
      </c>
      <c r="O2634" s="12" t="s">
        <v>192</v>
      </c>
      <c r="P2634" s="12" t="s">
        <v>125</v>
      </c>
      <c r="Q2634" s="7" t="str">
        <f t="shared" si="124"/>
        <v>(2007,33,'2007.08.18',28,30,35,46,83,0),</v>
      </c>
      <c r="R2634" s="7" t="str">
        <f t="shared" si="126"/>
        <v>(2007,33,'2007.08.18',28,30,35,46,83),</v>
      </c>
    </row>
    <row r="2635" spans="1:18" x14ac:dyDescent="0.25">
      <c r="A2635" s="7" t="s">
        <v>3423</v>
      </c>
      <c r="B2635" s="8" t="s">
        <v>25</v>
      </c>
      <c r="C2635" s="10">
        <f t="shared" si="125"/>
        <v>39319</v>
      </c>
      <c r="D2635" t="s">
        <v>11</v>
      </c>
      <c r="E2635" t="s">
        <v>12</v>
      </c>
      <c r="F2635" t="s">
        <v>163</v>
      </c>
      <c r="G2635" t="s">
        <v>3504</v>
      </c>
      <c r="H2635" t="s">
        <v>3505</v>
      </c>
      <c r="I2635" t="s">
        <v>3506</v>
      </c>
      <c r="J2635" t="s">
        <v>3507</v>
      </c>
      <c r="K2635" t="s">
        <v>3508</v>
      </c>
      <c r="L2635" s="12" t="s">
        <v>90</v>
      </c>
      <c r="M2635" s="12" t="s">
        <v>74</v>
      </c>
      <c r="N2635" s="12" t="s">
        <v>150</v>
      </c>
      <c r="O2635" s="12" t="s">
        <v>82</v>
      </c>
      <c r="P2635" s="12" t="s">
        <v>63</v>
      </c>
      <c r="Q2635" s="7" t="str">
        <f t="shared" si="124"/>
        <v>(2007,34,'2007.08.25',17,26,57,59,78,0),</v>
      </c>
      <c r="R2635" s="7" t="str">
        <f t="shared" si="126"/>
        <v>(2007,34,'2007.08.25',17,26,57,59,78),</v>
      </c>
    </row>
    <row r="2636" spans="1:18" x14ac:dyDescent="0.25">
      <c r="A2636" s="7" t="s">
        <v>3423</v>
      </c>
      <c r="B2636" s="8" t="s">
        <v>64</v>
      </c>
      <c r="C2636" s="10">
        <f t="shared" si="125"/>
        <v>39326</v>
      </c>
      <c r="D2636" t="s">
        <v>11</v>
      </c>
      <c r="E2636" t="s">
        <v>12</v>
      </c>
      <c r="F2636" t="s">
        <v>1999</v>
      </c>
      <c r="G2636" t="s">
        <v>3499</v>
      </c>
      <c r="H2636" t="s">
        <v>3500</v>
      </c>
      <c r="I2636" t="s">
        <v>3501</v>
      </c>
      <c r="J2636" t="s">
        <v>3502</v>
      </c>
      <c r="K2636" t="s">
        <v>3503</v>
      </c>
      <c r="L2636" s="12" t="s">
        <v>42</v>
      </c>
      <c r="M2636" s="12" t="s">
        <v>83</v>
      </c>
      <c r="N2636" s="12" t="s">
        <v>33</v>
      </c>
      <c r="O2636" s="12" t="s">
        <v>64</v>
      </c>
      <c r="P2636" s="12" t="s">
        <v>143</v>
      </c>
      <c r="Q2636" s="7" t="str">
        <f t="shared" si="124"/>
        <v>(2007,35,'2007.09.01',3,11,24,35,77,0),</v>
      </c>
      <c r="R2636" s="7" t="str">
        <f t="shared" si="126"/>
        <v>(2007,35,'2007.09.01',3,11,24,35,77),</v>
      </c>
    </row>
    <row r="2637" spans="1:18" x14ac:dyDescent="0.25">
      <c r="A2637" s="7" t="s">
        <v>3423</v>
      </c>
      <c r="B2637" s="8" t="s">
        <v>21</v>
      </c>
      <c r="C2637" s="10">
        <f t="shared" si="125"/>
        <v>39333</v>
      </c>
      <c r="D2637" t="s">
        <v>11</v>
      </c>
      <c r="E2637" t="s">
        <v>12</v>
      </c>
      <c r="F2637" t="s">
        <v>123</v>
      </c>
      <c r="G2637" t="s">
        <v>3495</v>
      </c>
      <c r="H2637" t="s">
        <v>1782</v>
      </c>
      <c r="I2637" t="s">
        <v>3496</v>
      </c>
      <c r="J2637" t="s">
        <v>3497</v>
      </c>
      <c r="K2637" t="s">
        <v>3498</v>
      </c>
      <c r="L2637" s="12" t="s">
        <v>207</v>
      </c>
      <c r="M2637" s="12" t="s">
        <v>168</v>
      </c>
      <c r="N2637" s="12" t="s">
        <v>90</v>
      </c>
      <c r="O2637" s="12" t="s">
        <v>152</v>
      </c>
      <c r="P2637" s="12" t="s">
        <v>13</v>
      </c>
      <c r="Q2637" s="7" t="str">
        <f t="shared" si="124"/>
        <v>(2007,36,'2007.09.08',2,4,17,25,41,0),</v>
      </c>
      <c r="R2637" s="7" t="str">
        <f t="shared" si="126"/>
        <v>(2007,36,'2007.09.08',2,4,17,25,41),</v>
      </c>
    </row>
    <row r="2638" spans="1:18" x14ac:dyDescent="0.25">
      <c r="A2638" s="7" t="s">
        <v>3423</v>
      </c>
      <c r="B2638" s="8" t="s">
        <v>46</v>
      </c>
      <c r="C2638" s="10">
        <f t="shared" si="125"/>
        <v>39340</v>
      </c>
      <c r="D2638" t="s">
        <v>11</v>
      </c>
      <c r="E2638" t="s">
        <v>12</v>
      </c>
      <c r="F2638" t="s">
        <v>152</v>
      </c>
      <c r="G2638" t="s">
        <v>3490</v>
      </c>
      <c r="H2638" t="s">
        <v>3491</v>
      </c>
      <c r="I2638" t="s">
        <v>3492</v>
      </c>
      <c r="J2638" t="s">
        <v>3493</v>
      </c>
      <c r="K2638" t="s">
        <v>3494</v>
      </c>
      <c r="L2638" s="12" t="s">
        <v>198</v>
      </c>
      <c r="M2638" s="12" t="s">
        <v>64</v>
      </c>
      <c r="N2638" s="12" t="s">
        <v>98</v>
      </c>
      <c r="O2638" s="12" t="s">
        <v>269</v>
      </c>
      <c r="P2638" s="12" t="s">
        <v>208</v>
      </c>
      <c r="Q2638" s="7" t="str">
        <f t="shared" si="124"/>
        <v>(2007,37,'2007.09.15',9,35,42,87,88,0),</v>
      </c>
      <c r="R2638" s="7" t="str">
        <f t="shared" si="126"/>
        <v>(2007,37,'2007.09.15',9,35,42,87,88),</v>
      </c>
    </row>
    <row r="2639" spans="1:18" x14ac:dyDescent="0.25">
      <c r="A2639" s="7" t="s">
        <v>3423</v>
      </c>
      <c r="B2639" s="8" t="s">
        <v>36</v>
      </c>
      <c r="C2639" s="10">
        <f t="shared" si="125"/>
        <v>39347</v>
      </c>
      <c r="D2639" t="s">
        <v>11</v>
      </c>
      <c r="E2639" t="s">
        <v>12</v>
      </c>
      <c r="F2639" t="s">
        <v>92</v>
      </c>
      <c r="G2639" t="s">
        <v>3485</v>
      </c>
      <c r="H2639" t="s">
        <v>3486</v>
      </c>
      <c r="I2639" t="s">
        <v>3487</v>
      </c>
      <c r="J2639" t="s">
        <v>3488</v>
      </c>
      <c r="K2639" t="s">
        <v>3489</v>
      </c>
      <c r="L2639" s="12" t="s">
        <v>135</v>
      </c>
      <c r="M2639" s="12" t="s">
        <v>46</v>
      </c>
      <c r="N2639" s="12" t="s">
        <v>24</v>
      </c>
      <c r="O2639" s="12" t="s">
        <v>150</v>
      </c>
      <c r="P2639" s="12" t="s">
        <v>233</v>
      </c>
      <c r="Q2639" s="7" t="str">
        <f t="shared" si="124"/>
        <v>(2007,38,'2007.09.22',27,37,39,57,66,0),</v>
      </c>
      <c r="R2639" s="7" t="str">
        <f t="shared" si="126"/>
        <v>(2007,38,'2007.09.22',27,37,39,57,66),</v>
      </c>
    </row>
    <row r="2640" spans="1:18" x14ac:dyDescent="0.25">
      <c r="A2640" s="7" t="s">
        <v>3423</v>
      </c>
      <c r="B2640" s="8" t="s">
        <v>24</v>
      </c>
      <c r="C2640" s="10">
        <f t="shared" si="125"/>
        <v>39354</v>
      </c>
      <c r="D2640" t="s">
        <v>11</v>
      </c>
      <c r="E2640" t="s">
        <v>12</v>
      </c>
      <c r="F2640" t="s">
        <v>134</v>
      </c>
      <c r="G2640" t="s">
        <v>3480</v>
      </c>
      <c r="H2640" t="s">
        <v>3481</v>
      </c>
      <c r="I2640" t="s">
        <v>3482</v>
      </c>
      <c r="J2640" t="s">
        <v>3483</v>
      </c>
      <c r="K2640" t="s">
        <v>3484</v>
      </c>
      <c r="L2640" s="12" t="s">
        <v>152</v>
      </c>
      <c r="M2640" s="12" t="s">
        <v>36</v>
      </c>
      <c r="N2640" s="12" t="s">
        <v>122</v>
      </c>
      <c r="O2640" s="12" t="s">
        <v>175</v>
      </c>
      <c r="P2640" s="12" t="s">
        <v>468</v>
      </c>
      <c r="Q2640" s="7" t="str">
        <f t="shared" si="124"/>
        <v>(2007,39,'2007.09.29',25,38,51,55,85,0),</v>
      </c>
      <c r="R2640" s="7" t="str">
        <f t="shared" si="126"/>
        <v>(2007,39,'2007.09.29',25,38,51,55,85),</v>
      </c>
    </row>
    <row r="2641" spans="1:18" x14ac:dyDescent="0.25">
      <c r="A2641" s="7" t="s">
        <v>3423</v>
      </c>
      <c r="B2641" s="8" t="s">
        <v>10</v>
      </c>
      <c r="C2641" s="10">
        <f t="shared" si="125"/>
        <v>39361</v>
      </c>
      <c r="D2641" t="s">
        <v>11</v>
      </c>
      <c r="E2641" t="s">
        <v>12</v>
      </c>
      <c r="F2641" t="s">
        <v>10</v>
      </c>
      <c r="G2641" t="s">
        <v>3476</v>
      </c>
      <c r="H2641" t="s">
        <v>3477</v>
      </c>
      <c r="I2641" t="s">
        <v>3478</v>
      </c>
      <c r="J2641" t="s">
        <v>3479</v>
      </c>
      <c r="K2641" t="s">
        <v>3334</v>
      </c>
      <c r="L2641" s="12" t="s">
        <v>108</v>
      </c>
      <c r="M2641" s="12" t="s">
        <v>19</v>
      </c>
      <c r="N2641" s="12" t="s">
        <v>107</v>
      </c>
      <c r="O2641" s="12" t="s">
        <v>47</v>
      </c>
      <c r="P2641" s="12" t="s">
        <v>186</v>
      </c>
      <c r="Q2641" s="7" t="str">
        <f t="shared" si="124"/>
        <v>(2007,40,'2007.10.06',1,18,30,69,90,0),</v>
      </c>
      <c r="R2641" s="7" t="str">
        <f t="shared" si="126"/>
        <v>(2007,40,'2007.10.06',1,18,30,69,90),</v>
      </c>
    </row>
    <row r="2642" spans="1:18" x14ac:dyDescent="0.25">
      <c r="A2642" s="7" t="s">
        <v>3423</v>
      </c>
      <c r="B2642" s="8" t="s">
        <v>13</v>
      </c>
      <c r="C2642" s="10">
        <f t="shared" si="125"/>
        <v>39368</v>
      </c>
      <c r="D2642" t="s">
        <v>11</v>
      </c>
      <c r="E2642" t="s">
        <v>12</v>
      </c>
      <c r="F2642" t="s">
        <v>46</v>
      </c>
      <c r="G2642" t="s">
        <v>3472</v>
      </c>
      <c r="H2642" t="s">
        <v>3473</v>
      </c>
      <c r="I2642" t="s">
        <v>3474</v>
      </c>
      <c r="J2642" t="s">
        <v>3475</v>
      </c>
      <c r="K2642" t="s">
        <v>3204</v>
      </c>
      <c r="L2642" s="12" t="s">
        <v>83</v>
      </c>
      <c r="M2642" s="12" t="s">
        <v>44</v>
      </c>
      <c r="N2642" s="12" t="s">
        <v>80</v>
      </c>
      <c r="O2642" s="12" t="s">
        <v>246</v>
      </c>
      <c r="P2642" s="12" t="s">
        <v>468</v>
      </c>
      <c r="Q2642" s="7" t="str">
        <f t="shared" si="124"/>
        <v>(2007,41,'2007.10.13',11,21,32,84,85,0),</v>
      </c>
      <c r="R2642" s="7" t="str">
        <f t="shared" si="126"/>
        <v>(2007,41,'2007.10.13',11,21,32,84,85),</v>
      </c>
    </row>
    <row r="2643" spans="1:18" x14ac:dyDescent="0.25">
      <c r="A2643" s="7" t="s">
        <v>3423</v>
      </c>
      <c r="B2643" s="8" t="s">
        <v>98</v>
      </c>
      <c r="C2643" s="10">
        <f t="shared" si="125"/>
        <v>39375</v>
      </c>
      <c r="D2643" t="s">
        <v>11</v>
      </c>
      <c r="E2643" t="s">
        <v>12</v>
      </c>
      <c r="F2643" t="s">
        <v>74</v>
      </c>
      <c r="G2643" t="s">
        <v>3467</v>
      </c>
      <c r="H2643" t="s">
        <v>3468</v>
      </c>
      <c r="I2643" t="s">
        <v>3469</v>
      </c>
      <c r="J2643" t="s">
        <v>3470</v>
      </c>
      <c r="K2643" t="s">
        <v>3471</v>
      </c>
      <c r="L2643" s="12" t="s">
        <v>152</v>
      </c>
      <c r="M2643" s="12" t="s">
        <v>107</v>
      </c>
      <c r="N2643" s="12" t="s">
        <v>10</v>
      </c>
      <c r="O2643" s="12" t="s">
        <v>175</v>
      </c>
      <c r="P2643" s="12" t="s">
        <v>245</v>
      </c>
      <c r="Q2643" s="7" t="str">
        <f t="shared" si="124"/>
        <v>(2007,42,'2007.10.20',25,30,40,55,74,0),</v>
      </c>
      <c r="R2643" s="7" t="str">
        <f t="shared" si="126"/>
        <v>(2007,42,'2007.10.20',25,30,40,55,74),</v>
      </c>
    </row>
    <row r="2644" spans="1:18" x14ac:dyDescent="0.25">
      <c r="A2644" s="7" t="s">
        <v>3423</v>
      </c>
      <c r="B2644" s="8" t="s">
        <v>45</v>
      </c>
      <c r="C2644" s="10">
        <f t="shared" si="125"/>
        <v>39382</v>
      </c>
      <c r="D2644" t="s">
        <v>11</v>
      </c>
      <c r="E2644" t="s">
        <v>12</v>
      </c>
      <c r="F2644" t="s">
        <v>46</v>
      </c>
      <c r="G2644" t="s">
        <v>3463</v>
      </c>
      <c r="H2644" t="s">
        <v>1460</v>
      </c>
      <c r="I2644" t="s">
        <v>3464</v>
      </c>
      <c r="J2644" t="s">
        <v>3465</v>
      </c>
      <c r="K2644" t="s">
        <v>3466</v>
      </c>
      <c r="L2644" s="12" t="s">
        <v>126</v>
      </c>
      <c r="M2644" s="12" t="s">
        <v>25</v>
      </c>
      <c r="N2644" s="12" t="s">
        <v>21</v>
      </c>
      <c r="O2644" s="12" t="s">
        <v>98</v>
      </c>
      <c r="P2644" s="12" t="s">
        <v>308</v>
      </c>
      <c r="Q2644" s="7" t="str">
        <f t="shared" si="124"/>
        <v>(2007,43,'2007.10.27',28,34,36,42,86,0),</v>
      </c>
      <c r="R2644" s="7" t="str">
        <f t="shared" si="126"/>
        <v>(2007,43,'2007.10.27',28,34,36,42,86),</v>
      </c>
    </row>
    <row r="2645" spans="1:18" x14ac:dyDescent="0.25">
      <c r="A2645" s="7" t="s">
        <v>3423</v>
      </c>
      <c r="B2645" s="8" t="s">
        <v>142</v>
      </c>
      <c r="C2645" s="10">
        <f t="shared" si="125"/>
        <v>39389</v>
      </c>
      <c r="D2645" t="s">
        <v>11</v>
      </c>
      <c r="E2645" t="s">
        <v>12</v>
      </c>
      <c r="F2645" t="s">
        <v>55</v>
      </c>
      <c r="G2645" t="s">
        <v>3458</v>
      </c>
      <c r="H2645" t="s">
        <v>3459</v>
      </c>
      <c r="I2645" t="s">
        <v>3460</v>
      </c>
      <c r="J2645" t="s">
        <v>3461</v>
      </c>
      <c r="K2645" t="s">
        <v>3462</v>
      </c>
      <c r="L2645" s="12" t="s">
        <v>54</v>
      </c>
      <c r="M2645" s="12" t="s">
        <v>32</v>
      </c>
      <c r="N2645" s="12" t="s">
        <v>163</v>
      </c>
      <c r="O2645" s="12" t="s">
        <v>200</v>
      </c>
      <c r="P2645" s="12" t="s">
        <v>208</v>
      </c>
      <c r="Q2645" s="7" t="str">
        <f t="shared" si="124"/>
        <v>(2007,44,'2007.11.03',15,22,23,70,88,0),</v>
      </c>
      <c r="R2645" s="7" t="str">
        <f t="shared" si="126"/>
        <v>(2007,44,'2007.11.03',15,22,23,70,88),</v>
      </c>
    </row>
    <row r="2646" spans="1:18" x14ac:dyDescent="0.25">
      <c r="A2646" s="7" t="s">
        <v>3423</v>
      </c>
      <c r="B2646" s="8" t="s">
        <v>133</v>
      </c>
      <c r="C2646" s="10">
        <f t="shared" si="125"/>
        <v>39396</v>
      </c>
      <c r="D2646" t="s">
        <v>11</v>
      </c>
      <c r="E2646" t="s">
        <v>12</v>
      </c>
      <c r="F2646" t="s">
        <v>71</v>
      </c>
      <c r="G2646" t="s">
        <v>3454</v>
      </c>
      <c r="H2646" t="s">
        <v>3455</v>
      </c>
      <c r="I2646" t="s">
        <v>3456</v>
      </c>
      <c r="J2646" t="s">
        <v>3457</v>
      </c>
      <c r="K2646" t="s">
        <v>1123</v>
      </c>
      <c r="L2646" s="12" t="s">
        <v>108</v>
      </c>
      <c r="M2646" s="12" t="s">
        <v>54</v>
      </c>
      <c r="N2646" s="12" t="s">
        <v>74</v>
      </c>
      <c r="O2646" s="12" t="s">
        <v>175</v>
      </c>
      <c r="P2646" s="12" t="s">
        <v>82</v>
      </c>
      <c r="Q2646" s="7" t="str">
        <f t="shared" si="124"/>
        <v>(2007,45,'2007.11.10',1,15,26,55,59,0),</v>
      </c>
      <c r="R2646" s="7" t="str">
        <f t="shared" si="126"/>
        <v>(2007,45,'2007.11.10',1,15,26,55,59),</v>
      </c>
    </row>
    <row r="2647" spans="1:18" x14ac:dyDescent="0.25">
      <c r="A2647" s="7" t="s">
        <v>3423</v>
      </c>
      <c r="B2647" s="8" t="s">
        <v>192</v>
      </c>
      <c r="C2647" s="10">
        <f t="shared" si="125"/>
        <v>39403</v>
      </c>
      <c r="D2647" t="s">
        <v>11</v>
      </c>
      <c r="E2647" t="s">
        <v>12</v>
      </c>
      <c r="F2647" t="s">
        <v>55</v>
      </c>
      <c r="G2647" t="s">
        <v>3449</v>
      </c>
      <c r="H2647" t="s">
        <v>3450</v>
      </c>
      <c r="I2647" t="s">
        <v>3451</v>
      </c>
      <c r="J2647" t="s">
        <v>3452</v>
      </c>
      <c r="K2647" t="s">
        <v>3453</v>
      </c>
      <c r="L2647" s="12" t="s">
        <v>198</v>
      </c>
      <c r="M2647" s="12" t="s">
        <v>25</v>
      </c>
      <c r="N2647" s="12" t="s">
        <v>105</v>
      </c>
      <c r="O2647" s="12" t="s">
        <v>248</v>
      </c>
      <c r="P2647" s="12" t="s">
        <v>186</v>
      </c>
      <c r="Q2647" s="7" t="str">
        <f t="shared" si="124"/>
        <v>(2007,46,'2007.11.17',9,34,50,63,90,0),</v>
      </c>
      <c r="R2647" s="7" t="str">
        <f t="shared" si="126"/>
        <v>(2007,46,'2007.11.17',9,34,50,63,90),</v>
      </c>
    </row>
    <row r="2648" spans="1:18" x14ac:dyDescent="0.25">
      <c r="A2648" s="7" t="s">
        <v>3423</v>
      </c>
      <c r="B2648" s="8" t="s">
        <v>81</v>
      </c>
      <c r="C2648" s="10">
        <f t="shared" si="125"/>
        <v>39410</v>
      </c>
      <c r="D2648" t="s">
        <v>11</v>
      </c>
      <c r="E2648" t="s">
        <v>12</v>
      </c>
      <c r="F2648" t="s">
        <v>56</v>
      </c>
      <c r="G2648" t="s">
        <v>3444</v>
      </c>
      <c r="H2648" t="s">
        <v>3445</v>
      </c>
      <c r="I2648" t="s">
        <v>3446</v>
      </c>
      <c r="J2648" t="s">
        <v>3447</v>
      </c>
      <c r="K2648" t="s">
        <v>3448</v>
      </c>
      <c r="L2648" s="12" t="s">
        <v>168</v>
      </c>
      <c r="M2648" s="12" t="s">
        <v>44</v>
      </c>
      <c r="N2648" s="12" t="s">
        <v>74</v>
      </c>
      <c r="O2648" s="12" t="s">
        <v>56</v>
      </c>
      <c r="P2648" s="12" t="s">
        <v>125</v>
      </c>
      <c r="Q2648" s="7" t="str">
        <f t="shared" si="124"/>
        <v>(2007,47,'2007.11.24',4,21,26,71,83,0),</v>
      </c>
      <c r="R2648" s="7" t="str">
        <f t="shared" si="126"/>
        <v>(2007,47,'2007.11.24',4,21,26,71,83),</v>
      </c>
    </row>
    <row r="2649" spans="1:18" x14ac:dyDescent="0.25">
      <c r="A2649" s="7" t="s">
        <v>3423</v>
      </c>
      <c r="B2649" s="8" t="s">
        <v>22</v>
      </c>
      <c r="C2649" s="10">
        <f t="shared" si="125"/>
        <v>39417</v>
      </c>
      <c r="D2649" t="s">
        <v>11</v>
      </c>
      <c r="E2649" t="s">
        <v>12</v>
      </c>
      <c r="F2649" t="s">
        <v>71</v>
      </c>
      <c r="G2649" t="s">
        <v>3440</v>
      </c>
      <c r="H2649" t="s">
        <v>3441</v>
      </c>
      <c r="I2649" t="s">
        <v>3442</v>
      </c>
      <c r="J2649" t="s">
        <v>3443</v>
      </c>
      <c r="K2649" t="s">
        <v>1862</v>
      </c>
      <c r="L2649" s="12" t="s">
        <v>270</v>
      </c>
      <c r="M2649" s="12" t="s">
        <v>135</v>
      </c>
      <c r="N2649" s="12" t="s">
        <v>23</v>
      </c>
      <c r="O2649" s="12" t="s">
        <v>56</v>
      </c>
      <c r="P2649" s="12" t="s">
        <v>622</v>
      </c>
      <c r="Q2649" s="7" t="str">
        <f t="shared" si="124"/>
        <v>(2007,48,'2007.12.01',6,27,60,71,82,0),</v>
      </c>
      <c r="R2649" s="7" t="str">
        <f t="shared" si="126"/>
        <v>(2007,48,'2007.12.01',6,27,60,71,82),</v>
      </c>
    </row>
    <row r="2650" spans="1:18" x14ac:dyDescent="0.25">
      <c r="A2650" s="7" t="s">
        <v>3423</v>
      </c>
      <c r="B2650" s="8" t="s">
        <v>34</v>
      </c>
      <c r="C2650" s="10">
        <f t="shared" si="125"/>
        <v>39424</v>
      </c>
      <c r="D2650" t="s">
        <v>11</v>
      </c>
      <c r="E2650" t="s">
        <v>12</v>
      </c>
      <c r="F2650" t="s">
        <v>107</v>
      </c>
      <c r="G2650" t="s">
        <v>3436</v>
      </c>
      <c r="H2650" t="s">
        <v>3437</v>
      </c>
      <c r="I2650" t="s">
        <v>3438</v>
      </c>
      <c r="J2650" t="s">
        <v>3439</v>
      </c>
      <c r="K2650" t="s">
        <v>2567</v>
      </c>
      <c r="L2650" s="12" t="s">
        <v>10</v>
      </c>
      <c r="M2650" s="12" t="s">
        <v>105</v>
      </c>
      <c r="N2650" s="12" t="s">
        <v>200</v>
      </c>
      <c r="O2650" s="12" t="s">
        <v>239</v>
      </c>
      <c r="P2650" s="12" t="s">
        <v>379</v>
      </c>
      <c r="Q2650" s="7" t="str">
        <f t="shared" si="124"/>
        <v>(2007,49,'2007.12.08',40,50,70,73,89,0),</v>
      </c>
      <c r="R2650" s="7" t="str">
        <f t="shared" si="126"/>
        <v>(2007,49,'2007.12.08',40,50,70,73,89),</v>
      </c>
    </row>
    <row r="2651" spans="1:18" x14ac:dyDescent="0.25">
      <c r="A2651" s="7" t="s">
        <v>3423</v>
      </c>
      <c r="B2651" s="8" t="s">
        <v>105</v>
      </c>
      <c r="C2651" s="10">
        <f t="shared" si="125"/>
        <v>39431</v>
      </c>
      <c r="D2651" t="s">
        <v>11</v>
      </c>
      <c r="E2651" t="s">
        <v>12</v>
      </c>
      <c r="F2651" t="s">
        <v>82</v>
      </c>
      <c r="G2651" t="s">
        <v>3431</v>
      </c>
      <c r="H2651" t="s">
        <v>3432</v>
      </c>
      <c r="I2651" t="s">
        <v>3433</v>
      </c>
      <c r="J2651" t="s">
        <v>3434</v>
      </c>
      <c r="K2651" t="s">
        <v>3435</v>
      </c>
      <c r="L2651" s="12" t="s">
        <v>83</v>
      </c>
      <c r="M2651" s="12" t="s">
        <v>65</v>
      </c>
      <c r="N2651" s="12" t="s">
        <v>19</v>
      </c>
      <c r="O2651" s="12" t="s">
        <v>24</v>
      </c>
      <c r="P2651" s="12" t="s">
        <v>73</v>
      </c>
      <c r="Q2651" s="7" t="str">
        <f t="shared" si="124"/>
        <v>(2007,50,'2007.12.15',11,13,18,39,76,0),</v>
      </c>
      <c r="R2651" s="7" t="str">
        <f t="shared" si="126"/>
        <v>(2007,50,'2007.12.15',11,13,18,39,76),</v>
      </c>
    </row>
    <row r="2652" spans="1:18" x14ac:dyDescent="0.25">
      <c r="A2652" s="7" t="s">
        <v>3423</v>
      </c>
      <c r="B2652" s="8" t="s">
        <v>122</v>
      </c>
      <c r="C2652" s="10">
        <f t="shared" si="125"/>
        <v>39438</v>
      </c>
      <c r="D2652" t="s">
        <v>11</v>
      </c>
      <c r="E2652" t="s">
        <v>12</v>
      </c>
      <c r="F2652" t="s">
        <v>71</v>
      </c>
      <c r="G2652" t="s">
        <v>3428</v>
      </c>
      <c r="H2652" t="s">
        <v>1528</v>
      </c>
      <c r="I2652" t="s">
        <v>3429</v>
      </c>
      <c r="J2652" t="s">
        <v>3430</v>
      </c>
      <c r="K2652" t="s">
        <v>1862</v>
      </c>
      <c r="L2652" s="12" t="s">
        <v>54</v>
      </c>
      <c r="M2652" s="12" t="s">
        <v>90</v>
      </c>
      <c r="N2652" s="12" t="s">
        <v>25</v>
      </c>
      <c r="O2652" s="12" t="s">
        <v>301</v>
      </c>
      <c r="P2652" s="12" t="s">
        <v>186</v>
      </c>
      <c r="Q2652" s="7" t="str">
        <f t="shared" si="124"/>
        <v>(2007,51,'2007.12.22',15,17,34,80,90,0),</v>
      </c>
      <c r="R2652" s="7" t="str">
        <f t="shared" si="126"/>
        <v>(2007,51,'2007.12.22',15,17,34,80,90),</v>
      </c>
    </row>
    <row r="2653" spans="1:18" x14ac:dyDescent="0.25">
      <c r="A2653" s="7" t="s">
        <v>3423</v>
      </c>
      <c r="B2653" s="8" t="s">
        <v>99</v>
      </c>
      <c r="C2653" s="10">
        <f t="shared" si="125"/>
        <v>39445</v>
      </c>
      <c r="D2653" t="s">
        <v>11</v>
      </c>
      <c r="E2653" t="s">
        <v>12</v>
      </c>
      <c r="F2653" t="s">
        <v>123</v>
      </c>
      <c r="G2653" t="s">
        <v>3424</v>
      </c>
      <c r="H2653" t="s">
        <v>3425</v>
      </c>
      <c r="I2653" t="s">
        <v>3426</v>
      </c>
      <c r="J2653" t="s">
        <v>3427</v>
      </c>
      <c r="K2653" t="s">
        <v>3397</v>
      </c>
      <c r="L2653" s="12" t="s">
        <v>198</v>
      </c>
      <c r="M2653" s="12" t="s">
        <v>31</v>
      </c>
      <c r="N2653" s="12" t="s">
        <v>54</v>
      </c>
      <c r="O2653" s="12" t="s">
        <v>34</v>
      </c>
      <c r="P2653" s="12" t="s">
        <v>233</v>
      </c>
      <c r="Q2653" s="7" t="str">
        <f t="shared" si="124"/>
        <v>(2007,52,'2007.12.29',9,12,15,49,66,0),</v>
      </c>
      <c r="R2653" s="7" t="str">
        <f t="shared" si="126"/>
        <v>(2007,52,'2007.12.29',9,12,15,49,66),</v>
      </c>
    </row>
    <row r="2654" spans="1:18" x14ac:dyDescent="0.25">
      <c r="A2654" s="7" t="s">
        <v>1843</v>
      </c>
      <c r="B2654" s="8" t="s">
        <v>108</v>
      </c>
      <c r="C2654" s="10">
        <f t="shared" si="125"/>
        <v>39452</v>
      </c>
      <c r="D2654" t="s">
        <v>11</v>
      </c>
      <c r="E2654" t="s">
        <v>12</v>
      </c>
      <c r="F2654" t="s">
        <v>245</v>
      </c>
      <c r="G2654" t="s">
        <v>3420</v>
      </c>
      <c r="H2654" t="s">
        <v>990</v>
      </c>
      <c r="I2654" t="s">
        <v>3421</v>
      </c>
      <c r="J2654" t="s">
        <v>3422</v>
      </c>
      <c r="K2654" t="s">
        <v>3217</v>
      </c>
      <c r="L2654" s="12" t="s">
        <v>168</v>
      </c>
      <c r="M2654" s="12" t="s">
        <v>127</v>
      </c>
      <c r="N2654" s="12" t="s">
        <v>135</v>
      </c>
      <c r="O2654" s="12" t="s">
        <v>36</v>
      </c>
      <c r="P2654" s="12" t="s">
        <v>13</v>
      </c>
      <c r="Q2654" s="7" t="str">
        <f t="shared" si="124"/>
        <v>(2008,1,'2008.01.05',4,14,27,38,41,0),</v>
      </c>
      <c r="R2654" s="7" t="str">
        <f t="shared" si="126"/>
        <v>(2008,1,'2008.01.05',4,14,27,38,41),</v>
      </c>
    </row>
    <row r="2655" spans="1:18" x14ac:dyDescent="0.25">
      <c r="A2655" s="7" t="s">
        <v>1843</v>
      </c>
      <c r="B2655" s="8" t="s">
        <v>207</v>
      </c>
      <c r="C2655" s="10">
        <f t="shared" si="125"/>
        <v>39459</v>
      </c>
      <c r="D2655" t="s">
        <v>11</v>
      </c>
      <c r="E2655" t="s">
        <v>12</v>
      </c>
      <c r="F2655" t="s">
        <v>92</v>
      </c>
      <c r="G2655" t="s">
        <v>3417</v>
      </c>
      <c r="H2655" t="s">
        <v>3418</v>
      </c>
      <c r="I2655" t="s">
        <v>326</v>
      </c>
      <c r="J2655" t="s">
        <v>3419</v>
      </c>
      <c r="K2655" t="s">
        <v>3384</v>
      </c>
      <c r="L2655" s="12" t="s">
        <v>19</v>
      </c>
      <c r="M2655" s="12" t="s">
        <v>98</v>
      </c>
      <c r="N2655" s="12" t="s">
        <v>133</v>
      </c>
      <c r="O2655" s="12" t="s">
        <v>201</v>
      </c>
      <c r="P2655" s="12" t="s">
        <v>301</v>
      </c>
      <c r="Q2655" s="7" t="str">
        <f t="shared" si="124"/>
        <v>(2008,2,'2008.01.12',18,42,45,72,80,0),</v>
      </c>
      <c r="R2655" s="7" t="str">
        <f t="shared" si="126"/>
        <v>(2008,2,'2008.01.12',18,42,45,72,80),</v>
      </c>
    </row>
    <row r="2656" spans="1:18" x14ac:dyDescent="0.25">
      <c r="A2656" s="7" t="s">
        <v>1843</v>
      </c>
      <c r="B2656" s="8" t="s">
        <v>42</v>
      </c>
      <c r="C2656" s="10">
        <f t="shared" si="125"/>
        <v>39466</v>
      </c>
      <c r="D2656" t="s">
        <v>108</v>
      </c>
      <c r="E2656" t="s">
        <v>3412</v>
      </c>
      <c r="F2656" t="s">
        <v>308</v>
      </c>
      <c r="G2656" t="s">
        <v>3413</v>
      </c>
      <c r="H2656" t="s">
        <v>3414</v>
      </c>
      <c r="I2656" t="s">
        <v>3415</v>
      </c>
      <c r="J2656" t="s">
        <v>3416</v>
      </c>
      <c r="K2656" t="s">
        <v>2321</v>
      </c>
      <c r="L2656" s="12" t="s">
        <v>89</v>
      </c>
      <c r="M2656" s="12" t="s">
        <v>33</v>
      </c>
      <c r="N2656" s="12" t="s">
        <v>82</v>
      </c>
      <c r="O2656" s="12" t="s">
        <v>124</v>
      </c>
      <c r="P2656" s="12" t="s">
        <v>308</v>
      </c>
      <c r="Q2656" s="7" t="str">
        <f t="shared" si="124"/>
        <v>(2008,3,'2008.01.19',5,24,59,62,86,0),</v>
      </c>
      <c r="R2656" s="7" t="str">
        <f t="shared" si="126"/>
        <v>(2008,3,'2008.01.19',5,24,59,62,86),</v>
      </c>
    </row>
    <row r="2657" spans="1:18" x14ac:dyDescent="0.25">
      <c r="A2657" s="7" t="s">
        <v>1843</v>
      </c>
      <c r="B2657" s="8" t="s">
        <v>168</v>
      </c>
      <c r="C2657" s="10">
        <f t="shared" si="125"/>
        <v>39473</v>
      </c>
      <c r="D2657" t="s">
        <v>11</v>
      </c>
      <c r="E2657" t="s">
        <v>12</v>
      </c>
      <c r="F2657" t="s">
        <v>36</v>
      </c>
      <c r="G2657" t="s">
        <v>3409</v>
      </c>
      <c r="H2657" t="s">
        <v>3410</v>
      </c>
      <c r="I2657" t="s">
        <v>2752</v>
      </c>
      <c r="J2657" t="s">
        <v>3411</v>
      </c>
      <c r="K2657" t="s">
        <v>1993</v>
      </c>
      <c r="L2657" s="12" t="s">
        <v>62</v>
      </c>
      <c r="M2657" s="12" t="s">
        <v>163</v>
      </c>
      <c r="N2657" s="12" t="s">
        <v>91</v>
      </c>
      <c r="O2657" s="12" t="s">
        <v>92</v>
      </c>
      <c r="P2657" s="12" t="s">
        <v>201</v>
      </c>
      <c r="Q2657" s="7" t="str">
        <f t="shared" si="124"/>
        <v>(2008,4,'2008.01.26',10,23,61,68,72,0),</v>
      </c>
      <c r="R2657" s="7" t="str">
        <f t="shared" si="126"/>
        <v>(2008,4,'2008.01.26',10,23,61,68,72),</v>
      </c>
    </row>
    <row r="2658" spans="1:18" x14ac:dyDescent="0.25">
      <c r="A2658" s="7" t="s">
        <v>1843</v>
      </c>
      <c r="B2658" s="8" t="s">
        <v>89</v>
      </c>
      <c r="C2658" s="10">
        <f t="shared" si="125"/>
        <v>39480</v>
      </c>
      <c r="D2658" t="s">
        <v>11</v>
      </c>
      <c r="E2658" t="s">
        <v>12</v>
      </c>
      <c r="F2658" t="s">
        <v>13</v>
      </c>
      <c r="G2658" t="s">
        <v>3406</v>
      </c>
      <c r="H2658" t="s">
        <v>3407</v>
      </c>
      <c r="I2658" t="s">
        <v>3377</v>
      </c>
      <c r="J2658" t="s">
        <v>3408</v>
      </c>
      <c r="K2658" t="s">
        <v>2876</v>
      </c>
      <c r="L2658" s="12" t="s">
        <v>42</v>
      </c>
      <c r="M2658" s="12" t="s">
        <v>19</v>
      </c>
      <c r="N2658" s="12" t="s">
        <v>115</v>
      </c>
      <c r="O2658" s="12" t="s">
        <v>56</v>
      </c>
      <c r="P2658" s="12" t="s">
        <v>215</v>
      </c>
      <c r="Q2658" s="7" t="str">
        <f t="shared" si="124"/>
        <v>(2008,5,'2008.02.02',3,18,20,71,81,0),</v>
      </c>
      <c r="R2658" s="7" t="str">
        <f t="shared" si="126"/>
        <v>(2008,5,'2008.02.02',3,18,20,71,81),</v>
      </c>
    </row>
    <row r="2659" spans="1:18" x14ac:dyDescent="0.25">
      <c r="A2659" s="7" t="s">
        <v>1843</v>
      </c>
      <c r="B2659" s="8" t="s">
        <v>270</v>
      </c>
      <c r="C2659" s="10">
        <f t="shared" si="125"/>
        <v>39487</v>
      </c>
      <c r="D2659" t="s">
        <v>11</v>
      </c>
      <c r="E2659" t="s">
        <v>12</v>
      </c>
      <c r="F2659" t="s">
        <v>23</v>
      </c>
      <c r="G2659" t="s">
        <v>3401</v>
      </c>
      <c r="H2659" t="s">
        <v>3402</v>
      </c>
      <c r="I2659" t="s">
        <v>3403</v>
      </c>
      <c r="J2659" t="s">
        <v>3404</v>
      </c>
      <c r="K2659" t="s">
        <v>3405</v>
      </c>
      <c r="L2659" s="12" t="s">
        <v>127</v>
      </c>
      <c r="M2659" s="12" t="s">
        <v>43</v>
      </c>
      <c r="N2659" s="12" t="s">
        <v>126</v>
      </c>
      <c r="O2659" s="12" t="s">
        <v>192</v>
      </c>
      <c r="P2659" s="12" t="s">
        <v>169</v>
      </c>
      <c r="Q2659" s="7" t="str">
        <f t="shared" si="124"/>
        <v>(2008,6,'2008.02.09',14,16,28,46,58,0),</v>
      </c>
      <c r="R2659" s="7" t="str">
        <f t="shared" si="126"/>
        <v>(2008,6,'2008.02.09',14,16,28,46,58),</v>
      </c>
    </row>
    <row r="2660" spans="1:18" x14ac:dyDescent="0.25">
      <c r="A2660" s="7" t="s">
        <v>1843</v>
      </c>
      <c r="B2660" s="8" t="s">
        <v>53</v>
      </c>
      <c r="C2660" s="10">
        <f t="shared" si="125"/>
        <v>39494</v>
      </c>
      <c r="D2660" t="s">
        <v>11</v>
      </c>
      <c r="E2660" t="s">
        <v>12</v>
      </c>
      <c r="F2660" t="s">
        <v>116</v>
      </c>
      <c r="G2660" t="s">
        <v>3398</v>
      </c>
      <c r="H2660" t="s">
        <v>2628</v>
      </c>
      <c r="I2660" t="s">
        <v>3399</v>
      </c>
      <c r="J2660" t="s">
        <v>3400</v>
      </c>
      <c r="K2660" t="s">
        <v>2321</v>
      </c>
      <c r="L2660" s="12" t="s">
        <v>207</v>
      </c>
      <c r="M2660" s="12" t="s">
        <v>33</v>
      </c>
      <c r="N2660" s="12" t="s">
        <v>74</v>
      </c>
      <c r="O2660" s="12" t="s">
        <v>25</v>
      </c>
      <c r="P2660" s="12" t="s">
        <v>208</v>
      </c>
      <c r="Q2660" s="7" t="str">
        <f t="shared" si="124"/>
        <v>(2008,7,'2008.02.16',2,24,26,34,88,0),</v>
      </c>
      <c r="R2660" s="7" t="str">
        <f t="shared" si="126"/>
        <v>(2008,7,'2008.02.16',2,24,26,34,88),</v>
      </c>
    </row>
    <row r="2661" spans="1:18" x14ac:dyDescent="0.25">
      <c r="A2661" s="7" t="s">
        <v>1843</v>
      </c>
      <c r="B2661" s="8" t="s">
        <v>232</v>
      </c>
      <c r="C2661" s="10">
        <f t="shared" si="125"/>
        <v>39501</v>
      </c>
      <c r="D2661" t="s">
        <v>108</v>
      </c>
      <c r="E2661" t="s">
        <v>3393</v>
      </c>
      <c r="F2661" t="s">
        <v>82</v>
      </c>
      <c r="G2661" t="s">
        <v>3394</v>
      </c>
      <c r="H2661" t="s">
        <v>2166</v>
      </c>
      <c r="I2661" t="s">
        <v>3395</v>
      </c>
      <c r="J2661" t="s">
        <v>3396</v>
      </c>
      <c r="K2661" t="s">
        <v>3397</v>
      </c>
      <c r="L2661" s="12" t="s">
        <v>31</v>
      </c>
      <c r="M2661" s="12" t="s">
        <v>135</v>
      </c>
      <c r="N2661" s="12" t="s">
        <v>142</v>
      </c>
      <c r="O2661" s="12" t="s">
        <v>99</v>
      </c>
      <c r="P2661" s="12" t="s">
        <v>150</v>
      </c>
      <c r="Q2661" s="7" t="str">
        <f t="shared" si="124"/>
        <v>(2008,8,'2008.02.23',12,27,44,52,57,0),</v>
      </c>
      <c r="R2661" s="7" t="str">
        <f t="shared" si="126"/>
        <v>(2008,8,'2008.02.23',12,27,44,52,57),</v>
      </c>
    </row>
    <row r="2662" spans="1:18" x14ac:dyDescent="0.25">
      <c r="A2662" s="7" t="s">
        <v>1843</v>
      </c>
      <c r="B2662" s="8" t="s">
        <v>198</v>
      </c>
      <c r="C2662" s="10">
        <f t="shared" si="125"/>
        <v>39508</v>
      </c>
      <c r="D2662" t="s">
        <v>11</v>
      </c>
      <c r="E2662" t="s">
        <v>12</v>
      </c>
      <c r="F2662" t="s">
        <v>64</v>
      </c>
      <c r="G2662" t="s">
        <v>3390</v>
      </c>
      <c r="H2662" t="s">
        <v>3391</v>
      </c>
      <c r="I2662" t="s">
        <v>3202</v>
      </c>
      <c r="J2662" t="s">
        <v>3392</v>
      </c>
      <c r="K2662" t="s">
        <v>1360</v>
      </c>
      <c r="L2662" s="12" t="s">
        <v>83</v>
      </c>
      <c r="M2662" s="12" t="s">
        <v>65</v>
      </c>
      <c r="N2662" s="12" t="s">
        <v>34</v>
      </c>
      <c r="O2662" s="12" t="s">
        <v>150</v>
      </c>
      <c r="P2662" s="12" t="s">
        <v>23</v>
      </c>
      <c r="Q2662" s="7" t="str">
        <f t="shared" si="124"/>
        <v>(2008,9,'2008.03.01',11,13,49,57,60,0),</v>
      </c>
      <c r="R2662" s="7" t="str">
        <f t="shared" si="126"/>
        <v>(2008,9,'2008.03.01',11,13,49,57,60),</v>
      </c>
    </row>
    <row r="2663" spans="1:18" x14ac:dyDescent="0.25">
      <c r="A2663" s="7" t="s">
        <v>1843</v>
      </c>
      <c r="B2663" s="8" t="s">
        <v>62</v>
      </c>
      <c r="C2663" s="10">
        <f t="shared" si="125"/>
        <v>39515</v>
      </c>
      <c r="D2663" t="s">
        <v>11</v>
      </c>
      <c r="E2663" t="s">
        <v>12</v>
      </c>
      <c r="F2663" t="s">
        <v>64</v>
      </c>
      <c r="G2663" t="s">
        <v>3385</v>
      </c>
      <c r="H2663" t="s">
        <v>3386</v>
      </c>
      <c r="I2663" t="s">
        <v>3387</v>
      </c>
      <c r="J2663" t="s">
        <v>3388</v>
      </c>
      <c r="K2663" t="s">
        <v>3389</v>
      </c>
      <c r="L2663" s="12" t="s">
        <v>62</v>
      </c>
      <c r="M2663" s="12" t="s">
        <v>163</v>
      </c>
      <c r="N2663" s="12" t="s">
        <v>116</v>
      </c>
      <c r="O2663" s="12" t="s">
        <v>169</v>
      </c>
      <c r="P2663" s="12" t="s">
        <v>35</v>
      </c>
      <c r="Q2663" s="7" t="str">
        <f t="shared" si="124"/>
        <v>(2008,10,'2008.03.08',10,23,29,58,65,0),</v>
      </c>
      <c r="R2663" s="7" t="str">
        <f t="shared" si="126"/>
        <v>(2008,10,'2008.03.08',10,23,29,58,65),</v>
      </c>
    </row>
    <row r="2664" spans="1:18" x14ac:dyDescent="0.25">
      <c r="A2664" s="7" t="s">
        <v>1843</v>
      </c>
      <c r="B2664" s="8" t="s">
        <v>83</v>
      </c>
      <c r="C2664" s="10">
        <f t="shared" si="125"/>
        <v>39522</v>
      </c>
      <c r="D2664" t="s">
        <v>207</v>
      </c>
      <c r="E2664" t="s">
        <v>3379</v>
      </c>
      <c r="F2664" t="s">
        <v>72</v>
      </c>
      <c r="G2664" t="s">
        <v>3380</v>
      </c>
      <c r="H2664" t="s">
        <v>3381</v>
      </c>
      <c r="I2664" t="s">
        <v>3382</v>
      </c>
      <c r="J2664" t="s">
        <v>3383</v>
      </c>
      <c r="K2664" t="s">
        <v>3384</v>
      </c>
      <c r="L2664" s="12" t="s">
        <v>62</v>
      </c>
      <c r="M2664" s="12" t="s">
        <v>25</v>
      </c>
      <c r="N2664" s="12" t="s">
        <v>98</v>
      </c>
      <c r="O2664" s="12" t="s">
        <v>233</v>
      </c>
      <c r="P2664" s="12" t="s">
        <v>468</v>
      </c>
      <c r="Q2664" s="7" t="str">
        <f t="shared" si="124"/>
        <v>(2008,11,'2008.03.15',10,34,42,66,85,0),</v>
      </c>
      <c r="R2664" s="7" t="str">
        <f t="shared" si="126"/>
        <v>(2008,11,'2008.03.15',10,34,42,66,85),</v>
      </c>
    </row>
    <row r="2665" spans="1:18" x14ac:dyDescent="0.25">
      <c r="A2665" s="7" t="s">
        <v>1843</v>
      </c>
      <c r="B2665" s="8" t="s">
        <v>31</v>
      </c>
      <c r="C2665" s="10">
        <f t="shared" si="125"/>
        <v>39529</v>
      </c>
      <c r="D2665" t="s">
        <v>108</v>
      </c>
      <c r="E2665" t="s">
        <v>3374</v>
      </c>
      <c r="F2665" t="s">
        <v>34</v>
      </c>
      <c r="G2665" t="s">
        <v>3375</v>
      </c>
      <c r="H2665" t="s">
        <v>3376</v>
      </c>
      <c r="I2665" t="s">
        <v>3377</v>
      </c>
      <c r="J2665" t="s">
        <v>3378</v>
      </c>
      <c r="K2665" t="s">
        <v>2973</v>
      </c>
      <c r="L2665" s="12" t="s">
        <v>198</v>
      </c>
      <c r="M2665" s="12" t="s">
        <v>116</v>
      </c>
      <c r="N2665" s="12" t="s">
        <v>150</v>
      </c>
      <c r="O2665" s="12" t="s">
        <v>47</v>
      </c>
      <c r="P2665" s="12" t="s">
        <v>245</v>
      </c>
      <c r="Q2665" s="7" t="str">
        <f t="shared" si="124"/>
        <v>(2008,12,'2008.03.22',9,29,57,69,74,0),</v>
      </c>
      <c r="R2665" s="7" t="str">
        <f t="shared" si="126"/>
        <v>(2008,12,'2008.03.22',9,29,57,69,74),</v>
      </c>
    </row>
    <row r="2666" spans="1:18" x14ac:dyDescent="0.25">
      <c r="A2666" s="7" t="s">
        <v>1843</v>
      </c>
      <c r="B2666" s="8" t="s">
        <v>65</v>
      </c>
      <c r="C2666" s="10">
        <f t="shared" si="125"/>
        <v>39536</v>
      </c>
      <c r="D2666" t="s">
        <v>11</v>
      </c>
      <c r="E2666" t="s">
        <v>12</v>
      </c>
      <c r="F2666" t="s">
        <v>22</v>
      </c>
      <c r="G2666" t="s">
        <v>3370</v>
      </c>
      <c r="H2666" t="s">
        <v>3371</v>
      </c>
      <c r="I2666" t="s">
        <v>3372</v>
      </c>
      <c r="J2666" t="s">
        <v>3373</v>
      </c>
      <c r="K2666" t="s">
        <v>2067</v>
      </c>
      <c r="L2666" s="12" t="s">
        <v>62</v>
      </c>
      <c r="M2666" s="12" t="s">
        <v>127</v>
      </c>
      <c r="N2666" s="12" t="s">
        <v>126</v>
      </c>
      <c r="O2666" s="12" t="s">
        <v>64</v>
      </c>
      <c r="P2666" s="12" t="s">
        <v>13</v>
      </c>
      <c r="Q2666" s="7" t="str">
        <f t="shared" si="124"/>
        <v>(2008,13,'2008.03.29',10,14,28,35,41,0),</v>
      </c>
      <c r="R2666" s="7" t="str">
        <f t="shared" si="126"/>
        <v>(2008,13,'2008.03.29',10,14,28,35,41),</v>
      </c>
    </row>
    <row r="2667" spans="1:18" x14ac:dyDescent="0.25">
      <c r="A2667" s="7" t="s">
        <v>1843</v>
      </c>
      <c r="B2667" s="8" t="s">
        <v>127</v>
      </c>
      <c r="C2667" s="10">
        <f t="shared" si="125"/>
        <v>39543</v>
      </c>
      <c r="D2667" t="s">
        <v>11</v>
      </c>
      <c r="E2667" t="s">
        <v>12</v>
      </c>
      <c r="F2667" t="s">
        <v>152</v>
      </c>
      <c r="G2667" t="s">
        <v>3366</v>
      </c>
      <c r="H2667" t="s">
        <v>3367</v>
      </c>
      <c r="I2667" t="s">
        <v>3368</v>
      </c>
      <c r="J2667" t="s">
        <v>3369</v>
      </c>
      <c r="K2667" t="s">
        <v>1715</v>
      </c>
      <c r="L2667" s="12" t="s">
        <v>43</v>
      </c>
      <c r="M2667" s="12" t="s">
        <v>122</v>
      </c>
      <c r="N2667" s="12" t="s">
        <v>47</v>
      </c>
      <c r="O2667" s="12" t="s">
        <v>63</v>
      </c>
      <c r="P2667" s="12" t="s">
        <v>269</v>
      </c>
      <c r="Q2667" s="7" t="str">
        <f t="shared" si="124"/>
        <v>(2008,14,'2008.04.05',16,51,69,78,87,0),</v>
      </c>
      <c r="R2667" s="7" t="str">
        <f t="shared" si="126"/>
        <v>(2008,14,'2008.04.05',16,51,69,78,87),</v>
      </c>
    </row>
    <row r="2668" spans="1:18" x14ac:dyDescent="0.25">
      <c r="A2668" s="7" t="s">
        <v>1843</v>
      </c>
      <c r="B2668" s="8" t="s">
        <v>54</v>
      </c>
      <c r="C2668" s="10">
        <f t="shared" si="125"/>
        <v>39550</v>
      </c>
      <c r="D2668" t="s">
        <v>11</v>
      </c>
      <c r="E2668" t="s">
        <v>12</v>
      </c>
      <c r="F2668" t="s">
        <v>135</v>
      </c>
      <c r="G2668" t="s">
        <v>3362</v>
      </c>
      <c r="H2668" t="s">
        <v>3363</v>
      </c>
      <c r="I2668" t="s">
        <v>3364</v>
      </c>
      <c r="J2668" t="s">
        <v>3365</v>
      </c>
      <c r="K2668" t="s">
        <v>1916</v>
      </c>
      <c r="L2668" s="12" t="s">
        <v>116</v>
      </c>
      <c r="M2668" s="12" t="s">
        <v>175</v>
      </c>
      <c r="N2668" s="12" t="s">
        <v>214</v>
      </c>
      <c r="O2668" s="12" t="s">
        <v>143</v>
      </c>
      <c r="P2668" s="12" t="s">
        <v>269</v>
      </c>
      <c r="Q2668" s="7" t="str">
        <f t="shared" si="124"/>
        <v>(2008,15,'2008.04.12',29,55,64,77,87,0),</v>
      </c>
      <c r="R2668" s="7" t="str">
        <f t="shared" si="126"/>
        <v>(2008,15,'2008.04.12',29,55,64,77,87),</v>
      </c>
    </row>
    <row r="2669" spans="1:18" x14ac:dyDescent="0.25">
      <c r="A2669" s="7" t="s">
        <v>1843</v>
      </c>
      <c r="B2669" s="8" t="s">
        <v>43</v>
      </c>
      <c r="C2669" s="10">
        <f t="shared" si="125"/>
        <v>39557</v>
      </c>
      <c r="D2669" t="s">
        <v>11</v>
      </c>
      <c r="E2669" t="s">
        <v>12</v>
      </c>
      <c r="F2669" t="s">
        <v>19</v>
      </c>
      <c r="G2669" t="s">
        <v>3358</v>
      </c>
      <c r="H2669" t="s">
        <v>3359</v>
      </c>
      <c r="I2669" t="s">
        <v>3360</v>
      </c>
      <c r="J2669" t="s">
        <v>3361</v>
      </c>
      <c r="K2669" t="s">
        <v>1090</v>
      </c>
      <c r="L2669" s="12" t="s">
        <v>83</v>
      </c>
      <c r="M2669" s="12" t="s">
        <v>21</v>
      </c>
      <c r="N2669" s="12" t="s">
        <v>36</v>
      </c>
      <c r="O2669" s="12" t="s">
        <v>151</v>
      </c>
      <c r="P2669" s="12" t="s">
        <v>379</v>
      </c>
      <c r="Q2669" s="7" t="str">
        <f t="shared" si="124"/>
        <v>(2008,16,'2008.04.19',11,36,38,79,89,0),</v>
      </c>
      <c r="R2669" s="7" t="str">
        <f t="shared" si="126"/>
        <v>(2008,16,'2008.04.19',11,36,38,79,89),</v>
      </c>
    </row>
    <row r="2670" spans="1:18" x14ac:dyDescent="0.25">
      <c r="A2670" s="7" t="s">
        <v>1843</v>
      </c>
      <c r="B2670" s="8" t="s">
        <v>90</v>
      </c>
      <c r="C2670" s="10">
        <f t="shared" si="125"/>
        <v>39564</v>
      </c>
      <c r="D2670" t="s">
        <v>11</v>
      </c>
      <c r="E2670" t="s">
        <v>12</v>
      </c>
      <c r="F2670" t="s">
        <v>22</v>
      </c>
      <c r="G2670" t="s">
        <v>3354</v>
      </c>
      <c r="H2670" t="s">
        <v>3355</v>
      </c>
      <c r="I2670" t="s">
        <v>3356</v>
      </c>
      <c r="J2670" t="s">
        <v>3357</v>
      </c>
      <c r="K2670" t="s">
        <v>3341</v>
      </c>
      <c r="L2670" s="12" t="s">
        <v>53</v>
      </c>
      <c r="M2670" s="12" t="s">
        <v>232</v>
      </c>
      <c r="N2670" s="12" t="s">
        <v>33</v>
      </c>
      <c r="O2670" s="12" t="s">
        <v>134</v>
      </c>
      <c r="P2670" s="12" t="s">
        <v>468</v>
      </c>
      <c r="Q2670" s="7" t="str">
        <f t="shared" si="124"/>
        <v>(2008,17,'2008.04.26',7,8,24,56,85,0),</v>
      </c>
      <c r="R2670" s="7" t="str">
        <f t="shared" si="126"/>
        <v>(2008,17,'2008.04.26',7,8,24,56,85),</v>
      </c>
    </row>
    <row r="2671" spans="1:18" x14ac:dyDescent="0.25">
      <c r="A2671" s="7" t="s">
        <v>1843</v>
      </c>
      <c r="B2671" s="8" t="s">
        <v>19</v>
      </c>
      <c r="C2671" s="10">
        <f t="shared" si="125"/>
        <v>39571</v>
      </c>
      <c r="D2671" t="s">
        <v>11</v>
      </c>
      <c r="E2671" t="s">
        <v>12</v>
      </c>
      <c r="F2671" t="s">
        <v>19</v>
      </c>
      <c r="G2671" t="s">
        <v>3350</v>
      </c>
      <c r="H2671" t="s">
        <v>3351</v>
      </c>
      <c r="I2671" t="s">
        <v>3352</v>
      </c>
      <c r="J2671" t="s">
        <v>3353</v>
      </c>
      <c r="K2671" t="s">
        <v>1058</v>
      </c>
      <c r="L2671" s="12" t="s">
        <v>62</v>
      </c>
      <c r="M2671" s="12" t="s">
        <v>199</v>
      </c>
      <c r="N2671" s="12" t="s">
        <v>123</v>
      </c>
      <c r="O2671" s="12" t="s">
        <v>35</v>
      </c>
      <c r="P2671" s="12" t="s">
        <v>56</v>
      </c>
      <c r="Q2671" s="7" t="str">
        <f t="shared" si="124"/>
        <v>(2008,18,'2008.05.03',10,53,54,65,71,0),</v>
      </c>
      <c r="R2671" s="7" t="str">
        <f t="shared" si="126"/>
        <v>(2008,18,'2008.05.03',10,53,54,65,71),</v>
      </c>
    </row>
    <row r="2672" spans="1:18" x14ac:dyDescent="0.25">
      <c r="A2672" s="7" t="s">
        <v>1843</v>
      </c>
      <c r="B2672" s="8" t="s">
        <v>55</v>
      </c>
      <c r="C2672" s="10">
        <f t="shared" si="125"/>
        <v>39578</v>
      </c>
      <c r="D2672" t="s">
        <v>108</v>
      </c>
      <c r="E2672" t="s">
        <v>3346</v>
      </c>
      <c r="F2672" t="s">
        <v>64</v>
      </c>
      <c r="G2672" t="s">
        <v>3347</v>
      </c>
      <c r="H2672" t="s">
        <v>2069</v>
      </c>
      <c r="I2672" t="s">
        <v>3348</v>
      </c>
      <c r="J2672" t="s">
        <v>3349</v>
      </c>
      <c r="K2672" t="s">
        <v>2339</v>
      </c>
      <c r="L2672" s="12" t="s">
        <v>168</v>
      </c>
      <c r="M2672" s="12" t="s">
        <v>142</v>
      </c>
      <c r="N2672" s="12" t="s">
        <v>81</v>
      </c>
      <c r="O2672" s="12" t="s">
        <v>248</v>
      </c>
      <c r="P2672" s="12" t="s">
        <v>379</v>
      </c>
      <c r="Q2672" s="7" t="str">
        <f t="shared" si="124"/>
        <v>(2008,19,'2008.05.10',4,44,47,63,89,0),</v>
      </c>
      <c r="R2672" s="7" t="str">
        <f t="shared" si="126"/>
        <v>(2008,19,'2008.05.10',4,44,47,63,89),</v>
      </c>
    </row>
    <row r="2673" spans="1:18" x14ac:dyDescent="0.25">
      <c r="A2673" s="7" t="s">
        <v>1843</v>
      </c>
      <c r="B2673" s="8" t="s">
        <v>115</v>
      </c>
      <c r="C2673" s="10">
        <f t="shared" si="125"/>
        <v>39585</v>
      </c>
      <c r="D2673" t="s">
        <v>11</v>
      </c>
      <c r="E2673" t="s">
        <v>12</v>
      </c>
      <c r="F2673" t="s">
        <v>19</v>
      </c>
      <c r="G2673" t="s">
        <v>3342</v>
      </c>
      <c r="H2673" t="s">
        <v>3343</v>
      </c>
      <c r="I2673" t="s">
        <v>3344</v>
      </c>
      <c r="J2673" t="s">
        <v>3345</v>
      </c>
      <c r="K2673" t="s">
        <v>954</v>
      </c>
      <c r="L2673" s="12" t="s">
        <v>199</v>
      </c>
      <c r="M2673" s="12" t="s">
        <v>150</v>
      </c>
      <c r="N2673" s="12" t="s">
        <v>124</v>
      </c>
      <c r="O2673" s="12" t="s">
        <v>622</v>
      </c>
      <c r="P2673" s="12" t="s">
        <v>186</v>
      </c>
      <c r="Q2673" s="7" t="str">
        <f t="shared" si="124"/>
        <v>(2008,20,'2008.05.17',53,57,62,82,90,0),</v>
      </c>
      <c r="R2673" s="7" t="str">
        <f t="shared" si="126"/>
        <v>(2008,20,'2008.05.17',53,57,62,82,90),</v>
      </c>
    </row>
    <row r="2674" spans="1:18" x14ac:dyDescent="0.25">
      <c r="A2674" s="7" t="s">
        <v>1843</v>
      </c>
      <c r="B2674" s="8" t="s">
        <v>44</v>
      </c>
      <c r="C2674" s="10">
        <f t="shared" si="125"/>
        <v>39592</v>
      </c>
      <c r="D2674" t="s">
        <v>11</v>
      </c>
      <c r="E2674" t="s">
        <v>12</v>
      </c>
      <c r="F2674" t="s">
        <v>233</v>
      </c>
      <c r="G2674" t="s">
        <v>3338</v>
      </c>
      <c r="H2674" t="s">
        <v>3339</v>
      </c>
      <c r="I2674" t="s">
        <v>3340</v>
      </c>
      <c r="J2674" t="s">
        <v>3199</v>
      </c>
      <c r="K2674" t="s">
        <v>3341</v>
      </c>
      <c r="L2674" s="12" t="s">
        <v>42</v>
      </c>
      <c r="M2674" s="12" t="s">
        <v>83</v>
      </c>
      <c r="N2674" s="12" t="s">
        <v>126</v>
      </c>
      <c r="O2674" s="12" t="s">
        <v>45</v>
      </c>
      <c r="P2674" s="12" t="s">
        <v>106</v>
      </c>
      <c r="Q2674" s="7" t="str">
        <f t="shared" si="124"/>
        <v>(2008,21,'2008.05.24',3,11,28,43,75,0),</v>
      </c>
      <c r="R2674" s="7" t="str">
        <f t="shared" si="126"/>
        <v>(2008,21,'2008.05.24',3,11,28,43,75),</v>
      </c>
    </row>
    <row r="2675" spans="1:18" x14ac:dyDescent="0.25">
      <c r="A2675" s="7" t="s">
        <v>1843</v>
      </c>
      <c r="B2675" s="8" t="s">
        <v>32</v>
      </c>
      <c r="C2675" s="10">
        <f t="shared" si="125"/>
        <v>39599</v>
      </c>
      <c r="D2675" t="s">
        <v>11</v>
      </c>
      <c r="E2675" t="s">
        <v>12</v>
      </c>
      <c r="F2675" t="s">
        <v>81</v>
      </c>
      <c r="G2675" t="s">
        <v>3335</v>
      </c>
      <c r="H2675" t="s">
        <v>1240</v>
      </c>
      <c r="I2675" t="s">
        <v>3336</v>
      </c>
      <c r="J2675" t="s">
        <v>3337</v>
      </c>
      <c r="K2675" t="s">
        <v>2947</v>
      </c>
      <c r="L2675" s="12" t="s">
        <v>168</v>
      </c>
      <c r="M2675" s="12" t="s">
        <v>232</v>
      </c>
      <c r="N2675" s="12" t="s">
        <v>19</v>
      </c>
      <c r="O2675" s="12" t="s">
        <v>308</v>
      </c>
      <c r="P2675" s="12" t="s">
        <v>379</v>
      </c>
      <c r="Q2675" s="7" t="str">
        <f t="shared" si="124"/>
        <v>(2008,22,'2008.05.31',4,8,18,86,89,0),</v>
      </c>
      <c r="R2675" s="7" t="str">
        <f t="shared" si="126"/>
        <v>(2008,22,'2008.05.31',4,8,18,86,89),</v>
      </c>
    </row>
    <row r="2676" spans="1:18" x14ac:dyDescent="0.25">
      <c r="A2676" s="7" t="s">
        <v>1843</v>
      </c>
      <c r="B2676" s="8" t="s">
        <v>163</v>
      </c>
      <c r="C2676" s="10">
        <f t="shared" si="125"/>
        <v>39606</v>
      </c>
      <c r="D2676" t="s">
        <v>11</v>
      </c>
      <c r="E2676" t="s">
        <v>12</v>
      </c>
      <c r="F2676" t="s">
        <v>34</v>
      </c>
      <c r="G2676" t="s">
        <v>3330</v>
      </c>
      <c r="H2676" t="s">
        <v>3331</v>
      </c>
      <c r="I2676" t="s">
        <v>3332</v>
      </c>
      <c r="J2676" t="s">
        <v>3333</v>
      </c>
      <c r="K2676" t="s">
        <v>3334</v>
      </c>
      <c r="L2676" s="12" t="s">
        <v>135</v>
      </c>
      <c r="M2676" s="12" t="s">
        <v>20</v>
      </c>
      <c r="N2676" s="12" t="s">
        <v>24</v>
      </c>
      <c r="O2676" s="12" t="s">
        <v>35</v>
      </c>
      <c r="P2676" s="12" t="s">
        <v>125</v>
      </c>
      <c r="Q2676" s="7" t="str">
        <f t="shared" si="124"/>
        <v>(2008,23,'2008.06.07',27,33,39,65,83,0),</v>
      </c>
      <c r="R2676" s="7" t="str">
        <f t="shared" si="126"/>
        <v>(2008,23,'2008.06.07',27,33,39,65,83),</v>
      </c>
    </row>
    <row r="2677" spans="1:18" x14ac:dyDescent="0.25">
      <c r="A2677" s="7" t="s">
        <v>1843</v>
      </c>
      <c r="B2677" s="8" t="s">
        <v>33</v>
      </c>
      <c r="C2677" s="10">
        <f t="shared" si="125"/>
        <v>39613</v>
      </c>
      <c r="D2677" t="s">
        <v>11</v>
      </c>
      <c r="E2677" t="s">
        <v>12</v>
      </c>
      <c r="F2677" t="s">
        <v>81</v>
      </c>
      <c r="G2677" t="s">
        <v>3326</v>
      </c>
      <c r="H2677" t="s">
        <v>3327</v>
      </c>
      <c r="I2677" t="s">
        <v>3328</v>
      </c>
      <c r="J2677" t="s">
        <v>3329</v>
      </c>
      <c r="K2677" t="s">
        <v>2876</v>
      </c>
      <c r="L2677" s="12" t="s">
        <v>42</v>
      </c>
      <c r="M2677" s="12" t="s">
        <v>54</v>
      </c>
      <c r="N2677" s="12" t="s">
        <v>43</v>
      </c>
      <c r="O2677" s="12" t="s">
        <v>134</v>
      </c>
      <c r="P2677" s="12" t="s">
        <v>379</v>
      </c>
      <c r="Q2677" s="7" t="str">
        <f t="shared" si="124"/>
        <v>(2008,24,'2008.06.14',3,15,16,56,89,0),</v>
      </c>
      <c r="R2677" s="7" t="str">
        <f t="shared" si="126"/>
        <v>(2008,24,'2008.06.14',3,15,16,56,89),</v>
      </c>
    </row>
    <row r="2678" spans="1:18" x14ac:dyDescent="0.25">
      <c r="A2678" s="7" t="s">
        <v>1843</v>
      </c>
      <c r="B2678" s="8" t="s">
        <v>152</v>
      </c>
      <c r="C2678" s="10">
        <f t="shared" si="125"/>
        <v>39620</v>
      </c>
      <c r="D2678" t="s">
        <v>11</v>
      </c>
      <c r="E2678" t="s">
        <v>12</v>
      </c>
      <c r="F2678" t="s">
        <v>123</v>
      </c>
      <c r="G2678" t="s">
        <v>3322</v>
      </c>
      <c r="H2678" t="s">
        <v>3323</v>
      </c>
      <c r="I2678" t="s">
        <v>3324</v>
      </c>
      <c r="J2678" t="s">
        <v>3325</v>
      </c>
      <c r="K2678" t="s">
        <v>2067</v>
      </c>
      <c r="L2678" s="12" t="s">
        <v>89</v>
      </c>
      <c r="M2678" s="12" t="s">
        <v>43</v>
      </c>
      <c r="N2678" s="12" t="s">
        <v>107</v>
      </c>
      <c r="O2678" s="12" t="s">
        <v>105</v>
      </c>
      <c r="P2678" s="12" t="s">
        <v>175</v>
      </c>
      <c r="Q2678" s="7" t="str">
        <f t="shared" si="124"/>
        <v>(2008,25,'2008.06.21',5,16,30,50,55,0),</v>
      </c>
      <c r="R2678" s="7" t="str">
        <f t="shared" si="126"/>
        <v>(2008,25,'2008.06.21',5,16,30,50,55),</v>
      </c>
    </row>
    <row r="2679" spans="1:18" x14ac:dyDescent="0.25">
      <c r="A2679" s="7" t="s">
        <v>1843</v>
      </c>
      <c r="B2679" s="8" t="s">
        <v>74</v>
      </c>
      <c r="C2679" s="10">
        <f t="shared" si="125"/>
        <v>39627</v>
      </c>
      <c r="D2679" t="s">
        <v>11</v>
      </c>
      <c r="E2679" t="s">
        <v>12</v>
      </c>
      <c r="F2679" t="s">
        <v>105</v>
      </c>
      <c r="G2679" t="s">
        <v>3317</v>
      </c>
      <c r="H2679" t="s">
        <v>3318</v>
      </c>
      <c r="I2679" t="s">
        <v>3319</v>
      </c>
      <c r="J2679" t="s">
        <v>3320</v>
      </c>
      <c r="K2679" t="s">
        <v>3321</v>
      </c>
      <c r="L2679" s="12" t="s">
        <v>168</v>
      </c>
      <c r="M2679" s="12" t="s">
        <v>53</v>
      </c>
      <c r="N2679" s="12" t="s">
        <v>134</v>
      </c>
      <c r="O2679" s="12" t="s">
        <v>56</v>
      </c>
      <c r="P2679" s="12" t="s">
        <v>125</v>
      </c>
      <c r="Q2679" s="7" t="str">
        <f t="shared" si="124"/>
        <v>(2008,26,'2008.06.28',4,7,56,71,83,0),</v>
      </c>
      <c r="R2679" s="7" t="str">
        <f t="shared" si="126"/>
        <v>(2008,26,'2008.06.28',4,7,56,71,83),</v>
      </c>
    </row>
    <row r="2680" spans="1:18" x14ac:dyDescent="0.25">
      <c r="A2680" s="7" t="s">
        <v>1843</v>
      </c>
      <c r="B2680" s="8" t="s">
        <v>135</v>
      </c>
      <c r="C2680" s="10">
        <f t="shared" si="125"/>
        <v>39634</v>
      </c>
      <c r="D2680" t="s">
        <v>11</v>
      </c>
      <c r="E2680" t="s">
        <v>12</v>
      </c>
      <c r="F2680" t="s">
        <v>31</v>
      </c>
      <c r="G2680" t="s">
        <v>3314</v>
      </c>
      <c r="H2680" t="s">
        <v>3315</v>
      </c>
      <c r="I2680" t="s">
        <v>189</v>
      </c>
      <c r="J2680" t="s">
        <v>3316</v>
      </c>
      <c r="K2680" t="s">
        <v>1090</v>
      </c>
      <c r="L2680" s="12" t="s">
        <v>115</v>
      </c>
      <c r="M2680" s="12" t="s">
        <v>135</v>
      </c>
      <c r="N2680" s="12" t="s">
        <v>248</v>
      </c>
      <c r="O2680" s="12" t="s">
        <v>215</v>
      </c>
      <c r="P2680" s="12" t="s">
        <v>622</v>
      </c>
      <c r="Q2680" s="7" t="str">
        <f t="shared" si="124"/>
        <v>(2008,27,'2008.07.05',20,27,63,81,82,0),</v>
      </c>
      <c r="R2680" s="7" t="str">
        <f t="shared" si="126"/>
        <v>(2008,27,'2008.07.05',20,27,63,81,82),</v>
      </c>
    </row>
    <row r="2681" spans="1:18" x14ac:dyDescent="0.25">
      <c r="A2681" s="7" t="s">
        <v>1843</v>
      </c>
      <c r="B2681" s="8" t="s">
        <v>126</v>
      </c>
      <c r="C2681" s="10">
        <f t="shared" si="125"/>
        <v>39641</v>
      </c>
      <c r="D2681" t="s">
        <v>11</v>
      </c>
      <c r="E2681" t="s">
        <v>12</v>
      </c>
      <c r="F2681" t="s">
        <v>45</v>
      </c>
      <c r="G2681" t="s">
        <v>3310</v>
      </c>
      <c r="H2681" t="s">
        <v>3311</v>
      </c>
      <c r="I2681" t="s">
        <v>3312</v>
      </c>
      <c r="J2681" t="s">
        <v>3313</v>
      </c>
      <c r="K2681" t="s">
        <v>3295</v>
      </c>
      <c r="L2681" s="12" t="s">
        <v>207</v>
      </c>
      <c r="M2681" s="12" t="s">
        <v>163</v>
      </c>
      <c r="N2681" s="12" t="s">
        <v>74</v>
      </c>
      <c r="O2681" s="12" t="s">
        <v>135</v>
      </c>
      <c r="P2681" s="12" t="s">
        <v>105</v>
      </c>
      <c r="Q2681" s="7" t="str">
        <f t="shared" si="124"/>
        <v>(2008,28,'2008.07.12',2,23,26,27,50,0),</v>
      </c>
      <c r="R2681" s="7" t="str">
        <f t="shared" si="126"/>
        <v>(2008,28,'2008.07.12',2,23,26,27,50),</v>
      </c>
    </row>
    <row r="2682" spans="1:18" x14ac:dyDescent="0.25">
      <c r="A2682" s="7" t="s">
        <v>1843</v>
      </c>
      <c r="B2682" s="8" t="s">
        <v>116</v>
      </c>
      <c r="C2682" s="10">
        <f t="shared" si="125"/>
        <v>39648</v>
      </c>
      <c r="D2682" t="s">
        <v>11</v>
      </c>
      <c r="E2682" t="s">
        <v>12</v>
      </c>
      <c r="F2682" t="s">
        <v>19</v>
      </c>
      <c r="G2682" t="s">
        <v>3307</v>
      </c>
      <c r="H2682" t="s">
        <v>3308</v>
      </c>
      <c r="I2682" t="s">
        <v>1284</v>
      </c>
      <c r="J2682" t="s">
        <v>3309</v>
      </c>
      <c r="K2682" t="s">
        <v>1739</v>
      </c>
      <c r="L2682" s="12" t="s">
        <v>127</v>
      </c>
      <c r="M2682" s="12" t="s">
        <v>33</v>
      </c>
      <c r="N2682" s="12" t="s">
        <v>214</v>
      </c>
      <c r="O2682" s="12" t="s">
        <v>245</v>
      </c>
      <c r="P2682" s="12" t="s">
        <v>215</v>
      </c>
      <c r="Q2682" s="7" t="str">
        <f t="shared" si="124"/>
        <v>(2008,29,'2008.07.19',14,24,64,74,81,0),</v>
      </c>
      <c r="R2682" s="7" t="str">
        <f t="shared" si="126"/>
        <v>(2008,29,'2008.07.19',14,24,64,74,81),</v>
      </c>
    </row>
    <row r="2683" spans="1:18" x14ac:dyDescent="0.25">
      <c r="A2683" s="7" t="s">
        <v>1843</v>
      </c>
      <c r="B2683" s="8" t="s">
        <v>107</v>
      </c>
      <c r="C2683" s="10">
        <f t="shared" si="125"/>
        <v>39655</v>
      </c>
      <c r="D2683" t="s">
        <v>11</v>
      </c>
      <c r="E2683" t="s">
        <v>12</v>
      </c>
      <c r="F2683" t="s">
        <v>126</v>
      </c>
      <c r="G2683" t="s">
        <v>3303</v>
      </c>
      <c r="H2683" t="s">
        <v>3304</v>
      </c>
      <c r="I2683" t="s">
        <v>3305</v>
      </c>
      <c r="J2683" t="s">
        <v>3306</v>
      </c>
      <c r="K2683" t="s">
        <v>1277</v>
      </c>
      <c r="L2683" s="12" t="s">
        <v>80</v>
      </c>
      <c r="M2683" s="12" t="s">
        <v>46</v>
      </c>
      <c r="N2683" s="12" t="s">
        <v>22</v>
      </c>
      <c r="O2683" s="12" t="s">
        <v>200</v>
      </c>
      <c r="P2683" s="12" t="s">
        <v>269</v>
      </c>
      <c r="Q2683" s="7" t="str">
        <f t="shared" si="124"/>
        <v>(2008,30,'2008.07.26',32,37,48,70,87,0),</v>
      </c>
      <c r="R2683" s="7" t="str">
        <f t="shared" si="126"/>
        <v>(2008,30,'2008.07.26',32,37,48,70,87),</v>
      </c>
    </row>
    <row r="2684" spans="1:18" x14ac:dyDescent="0.25">
      <c r="A2684" s="7" t="s">
        <v>1843</v>
      </c>
      <c r="B2684" s="8" t="s">
        <v>71</v>
      </c>
      <c r="C2684" s="10">
        <f t="shared" si="125"/>
        <v>39662</v>
      </c>
      <c r="D2684" t="s">
        <v>11</v>
      </c>
      <c r="E2684" t="s">
        <v>12</v>
      </c>
      <c r="F2684" t="s">
        <v>32</v>
      </c>
      <c r="G2684" t="s">
        <v>3299</v>
      </c>
      <c r="H2684" t="s">
        <v>3300</v>
      </c>
      <c r="I2684" t="s">
        <v>3301</v>
      </c>
      <c r="J2684" t="s">
        <v>3302</v>
      </c>
      <c r="K2684" t="s">
        <v>838</v>
      </c>
      <c r="L2684" s="12" t="s">
        <v>207</v>
      </c>
      <c r="M2684" s="12" t="s">
        <v>36</v>
      </c>
      <c r="N2684" s="12" t="s">
        <v>10</v>
      </c>
      <c r="O2684" s="12" t="s">
        <v>105</v>
      </c>
      <c r="P2684" s="12" t="s">
        <v>246</v>
      </c>
      <c r="Q2684" s="7" t="str">
        <f t="shared" si="124"/>
        <v>(2008,31,'2008.08.02',2,38,40,50,84,0),</v>
      </c>
      <c r="R2684" s="7" t="str">
        <f t="shared" si="126"/>
        <v>(2008,31,'2008.08.02',2,38,40,50,84),</v>
      </c>
    </row>
    <row r="2685" spans="1:18" x14ac:dyDescent="0.25">
      <c r="A2685" s="7" t="s">
        <v>1843</v>
      </c>
      <c r="B2685" s="8" t="s">
        <v>80</v>
      </c>
      <c r="C2685" s="10">
        <f t="shared" si="125"/>
        <v>39669</v>
      </c>
      <c r="D2685" t="s">
        <v>11</v>
      </c>
      <c r="E2685" t="s">
        <v>12</v>
      </c>
      <c r="F2685" t="s">
        <v>133</v>
      </c>
      <c r="G2685" t="s">
        <v>3296</v>
      </c>
      <c r="H2685" t="s">
        <v>2069</v>
      </c>
      <c r="I2685" t="s">
        <v>3297</v>
      </c>
      <c r="J2685" t="s">
        <v>3298</v>
      </c>
      <c r="K2685" t="s">
        <v>993</v>
      </c>
      <c r="L2685" s="12" t="s">
        <v>108</v>
      </c>
      <c r="M2685" s="12" t="s">
        <v>20</v>
      </c>
      <c r="N2685" s="12" t="s">
        <v>98</v>
      </c>
      <c r="O2685" s="12" t="s">
        <v>35</v>
      </c>
      <c r="P2685" s="12" t="s">
        <v>200</v>
      </c>
      <c r="Q2685" s="7" t="str">
        <f t="shared" si="124"/>
        <v>(2008,32,'2008.08.09',1,33,42,65,70,0),</v>
      </c>
      <c r="R2685" s="7" t="str">
        <f t="shared" si="126"/>
        <v>(2008,32,'2008.08.09',1,33,42,65,70),</v>
      </c>
    </row>
    <row r="2686" spans="1:18" x14ac:dyDescent="0.25">
      <c r="A2686" s="7" t="s">
        <v>1843</v>
      </c>
      <c r="B2686" s="8" t="s">
        <v>20</v>
      </c>
      <c r="C2686" s="10">
        <f t="shared" si="125"/>
        <v>39676</v>
      </c>
      <c r="D2686" t="s">
        <v>11</v>
      </c>
      <c r="E2686" t="s">
        <v>12</v>
      </c>
      <c r="F2686" t="s">
        <v>56</v>
      </c>
      <c r="G2686" t="s">
        <v>3291</v>
      </c>
      <c r="H2686" t="s">
        <v>3292</v>
      </c>
      <c r="I2686" t="s">
        <v>3293</v>
      </c>
      <c r="J2686" t="s">
        <v>3294</v>
      </c>
      <c r="K2686" t="s">
        <v>3295</v>
      </c>
      <c r="L2686" s="12" t="s">
        <v>53</v>
      </c>
      <c r="M2686" s="12" t="s">
        <v>43</v>
      </c>
      <c r="N2686" s="12" t="s">
        <v>20</v>
      </c>
      <c r="O2686" s="12" t="s">
        <v>35</v>
      </c>
      <c r="P2686" s="12" t="s">
        <v>63</v>
      </c>
      <c r="Q2686" s="7" t="str">
        <f t="shared" si="124"/>
        <v>(2008,33,'2008.08.16',7,16,33,65,78,0),</v>
      </c>
      <c r="R2686" s="7" t="str">
        <f t="shared" si="126"/>
        <v>(2008,33,'2008.08.16',7,16,33,65,78),</v>
      </c>
    </row>
    <row r="2687" spans="1:18" x14ac:dyDescent="0.25">
      <c r="A2687" s="7" t="s">
        <v>1843</v>
      </c>
      <c r="B2687" s="8" t="s">
        <v>25</v>
      </c>
      <c r="C2687" s="10">
        <f t="shared" si="125"/>
        <v>39683</v>
      </c>
      <c r="D2687" t="s">
        <v>11</v>
      </c>
      <c r="E2687" t="s">
        <v>12</v>
      </c>
      <c r="F2687" t="s">
        <v>44</v>
      </c>
      <c r="G2687" t="s">
        <v>3287</v>
      </c>
      <c r="H2687" t="s">
        <v>3288</v>
      </c>
      <c r="I2687" t="s">
        <v>3289</v>
      </c>
      <c r="J2687" t="s">
        <v>3290</v>
      </c>
      <c r="K2687" t="s">
        <v>1785</v>
      </c>
      <c r="L2687" s="12" t="s">
        <v>83</v>
      </c>
      <c r="M2687" s="12" t="s">
        <v>115</v>
      </c>
      <c r="N2687" s="12" t="s">
        <v>142</v>
      </c>
      <c r="O2687" s="12" t="s">
        <v>192</v>
      </c>
      <c r="P2687" s="12" t="s">
        <v>208</v>
      </c>
      <c r="Q2687" s="7" t="str">
        <f t="shared" si="124"/>
        <v>(2008,34,'2008.08.23',11,20,44,46,88,0),</v>
      </c>
      <c r="R2687" s="7" t="str">
        <f t="shared" si="126"/>
        <v>(2008,34,'2008.08.23',11,20,44,46,88),</v>
      </c>
    </row>
    <row r="2688" spans="1:18" x14ac:dyDescent="0.25">
      <c r="A2688" s="7" t="s">
        <v>1843</v>
      </c>
      <c r="B2688" s="8" t="s">
        <v>64</v>
      </c>
      <c r="C2688" s="10">
        <f t="shared" si="125"/>
        <v>39690</v>
      </c>
      <c r="D2688" t="s">
        <v>11</v>
      </c>
      <c r="E2688" t="s">
        <v>12</v>
      </c>
      <c r="F2688" t="s">
        <v>116</v>
      </c>
      <c r="G2688" t="s">
        <v>3283</v>
      </c>
      <c r="H2688" t="s">
        <v>3284</v>
      </c>
      <c r="I2688" t="s">
        <v>3285</v>
      </c>
      <c r="J2688" t="s">
        <v>3286</v>
      </c>
      <c r="K2688" t="s">
        <v>540</v>
      </c>
      <c r="L2688" s="12" t="s">
        <v>42</v>
      </c>
      <c r="M2688" s="12" t="s">
        <v>10</v>
      </c>
      <c r="N2688" s="12" t="s">
        <v>150</v>
      </c>
      <c r="O2688" s="12" t="s">
        <v>106</v>
      </c>
      <c r="P2688" s="12" t="s">
        <v>125</v>
      </c>
      <c r="Q2688" s="7" t="str">
        <f t="shared" si="124"/>
        <v>(2008,35,'2008.08.30',3,40,57,75,83,0),</v>
      </c>
      <c r="R2688" s="7" t="str">
        <f t="shared" si="126"/>
        <v>(2008,35,'2008.08.30',3,40,57,75,83),</v>
      </c>
    </row>
    <row r="2689" spans="1:18" x14ac:dyDescent="0.25">
      <c r="A2689" s="7" t="s">
        <v>1843</v>
      </c>
      <c r="B2689" s="8" t="s">
        <v>21</v>
      </c>
      <c r="C2689" s="10">
        <f t="shared" si="125"/>
        <v>39697</v>
      </c>
      <c r="D2689" t="s">
        <v>11</v>
      </c>
      <c r="E2689" t="s">
        <v>12</v>
      </c>
      <c r="F2689" t="s">
        <v>10</v>
      </c>
      <c r="G2689" t="s">
        <v>3280</v>
      </c>
      <c r="H2689" t="s">
        <v>3281</v>
      </c>
      <c r="I2689" t="s">
        <v>2583</v>
      </c>
      <c r="J2689" t="s">
        <v>3282</v>
      </c>
      <c r="K2689" t="s">
        <v>1572</v>
      </c>
      <c r="L2689" s="12" t="s">
        <v>32</v>
      </c>
      <c r="M2689" s="12" t="s">
        <v>163</v>
      </c>
      <c r="N2689" s="12" t="s">
        <v>71</v>
      </c>
      <c r="O2689" s="12" t="s">
        <v>98</v>
      </c>
      <c r="P2689" s="12" t="s">
        <v>239</v>
      </c>
      <c r="Q2689" s="7" t="str">
        <f t="shared" si="124"/>
        <v>(2008,36,'2008.09.06',22,23,31,42,73,0),</v>
      </c>
      <c r="R2689" s="7" t="str">
        <f t="shared" si="126"/>
        <v>(2008,36,'2008.09.06',22,23,31,42,73),</v>
      </c>
    </row>
    <row r="2690" spans="1:18" x14ac:dyDescent="0.25">
      <c r="A2690" s="7" t="s">
        <v>1843</v>
      </c>
      <c r="B2690" s="8" t="s">
        <v>46</v>
      </c>
      <c r="C2690" s="10">
        <f t="shared" si="125"/>
        <v>39704</v>
      </c>
      <c r="D2690" t="s">
        <v>11</v>
      </c>
      <c r="E2690" t="s">
        <v>12</v>
      </c>
      <c r="F2690" t="s">
        <v>44</v>
      </c>
      <c r="G2690" t="s">
        <v>3276</v>
      </c>
      <c r="H2690" t="s">
        <v>3277</v>
      </c>
      <c r="I2690" t="s">
        <v>3278</v>
      </c>
      <c r="J2690" t="s">
        <v>3279</v>
      </c>
      <c r="K2690" t="s">
        <v>448</v>
      </c>
      <c r="L2690" s="12" t="s">
        <v>25</v>
      </c>
      <c r="M2690" s="12" t="s">
        <v>13</v>
      </c>
      <c r="N2690" s="12" t="s">
        <v>91</v>
      </c>
      <c r="O2690" s="12" t="s">
        <v>73</v>
      </c>
      <c r="P2690" s="12" t="s">
        <v>246</v>
      </c>
      <c r="Q2690" s="7" t="str">
        <f t="shared" ref="Q2690:Q2753" si="127">"("&amp;A2690&amp;","&amp;B2690&amp;",'"&amp;TEXT(C2690,"éééé.hh.nn")&amp;"',"&amp;L2690&amp;","&amp;M2690&amp;","&amp;N2690&amp;","&amp;O2690&amp;","&amp;P2690&amp;",0)"&amp;IF(P2691&lt;&gt;0,",","")</f>
        <v>(2008,37,'2008.09.13',34,41,61,76,84,0),</v>
      </c>
      <c r="R2690" s="7" t="str">
        <f t="shared" si="126"/>
        <v>(2008,37,'2008.09.13',34,41,61,76,84),</v>
      </c>
    </row>
    <row r="2691" spans="1:18" x14ac:dyDescent="0.25">
      <c r="A2691" s="7" t="s">
        <v>1843</v>
      </c>
      <c r="B2691" s="8" t="s">
        <v>36</v>
      </c>
      <c r="C2691" s="10">
        <f t="shared" ref="C2691:C2754" si="128">+C2690+7</f>
        <v>39711</v>
      </c>
      <c r="D2691" t="s">
        <v>11</v>
      </c>
      <c r="E2691" t="s">
        <v>12</v>
      </c>
      <c r="F2691" t="s">
        <v>133</v>
      </c>
      <c r="G2691" t="s">
        <v>3273</v>
      </c>
      <c r="H2691" t="s">
        <v>3274</v>
      </c>
      <c r="I2691" t="s">
        <v>2851</v>
      </c>
      <c r="J2691" t="s">
        <v>3275</v>
      </c>
      <c r="K2691" t="s">
        <v>1123</v>
      </c>
      <c r="L2691" s="12" t="s">
        <v>32</v>
      </c>
      <c r="M2691" s="12" t="s">
        <v>71</v>
      </c>
      <c r="N2691" s="12" t="s">
        <v>199</v>
      </c>
      <c r="O2691" s="12" t="s">
        <v>72</v>
      </c>
      <c r="P2691" s="12" t="s">
        <v>246</v>
      </c>
      <c r="Q2691" s="7" t="str">
        <f t="shared" si="127"/>
        <v>(2008,38,'2008.09.20',22,31,53,67,84,0),</v>
      </c>
      <c r="R2691" s="7" t="str">
        <f t="shared" ref="R2691:R2754" si="129">IF(TRIM(P2691)="","","("&amp;A2691&amp;","&amp;B2691&amp;",'"&amp;TEXT(C2691,"éééé.hh.nn")&amp;"',"&amp;L2691&amp;","&amp;M2691&amp;","&amp;N2691&amp;","&amp;O2691&amp;","&amp;P2691&amp;")"&amp;IF(P2692=0,";",","))</f>
        <v>(2008,38,'2008.09.20',22,31,53,67,84),</v>
      </c>
    </row>
    <row r="2692" spans="1:18" x14ac:dyDescent="0.25">
      <c r="A2692" s="7" t="s">
        <v>1843</v>
      </c>
      <c r="B2692" s="8" t="s">
        <v>24</v>
      </c>
      <c r="C2692" s="10">
        <f t="shared" si="128"/>
        <v>39718</v>
      </c>
      <c r="D2692" t="s">
        <v>11</v>
      </c>
      <c r="E2692" t="s">
        <v>12</v>
      </c>
      <c r="F2692" t="s">
        <v>134</v>
      </c>
      <c r="G2692" t="s">
        <v>3271</v>
      </c>
      <c r="H2692" t="s">
        <v>1708</v>
      </c>
      <c r="I2692" t="s">
        <v>2851</v>
      </c>
      <c r="J2692" t="s">
        <v>3272</v>
      </c>
      <c r="K2692" t="s">
        <v>1123</v>
      </c>
      <c r="L2692" s="12" t="s">
        <v>20</v>
      </c>
      <c r="M2692" s="12" t="s">
        <v>133</v>
      </c>
      <c r="N2692" s="12" t="s">
        <v>150</v>
      </c>
      <c r="O2692" s="12" t="s">
        <v>239</v>
      </c>
      <c r="P2692" s="12" t="s">
        <v>208</v>
      </c>
      <c r="Q2692" s="7" t="str">
        <f t="shared" si="127"/>
        <v>(2008,39,'2008.09.27',33,45,57,73,88,0),</v>
      </c>
      <c r="R2692" s="7" t="str">
        <f t="shared" si="129"/>
        <v>(2008,39,'2008.09.27',33,45,57,73,88),</v>
      </c>
    </row>
    <row r="2693" spans="1:18" x14ac:dyDescent="0.25">
      <c r="A2693" s="7" t="s">
        <v>1843</v>
      </c>
      <c r="B2693" s="8" t="s">
        <v>10</v>
      </c>
      <c r="C2693" s="10">
        <f t="shared" si="128"/>
        <v>39725</v>
      </c>
      <c r="D2693" t="s">
        <v>11</v>
      </c>
      <c r="E2693" t="s">
        <v>12</v>
      </c>
      <c r="F2693" t="s">
        <v>152</v>
      </c>
      <c r="G2693" t="s">
        <v>3267</v>
      </c>
      <c r="H2693" t="s">
        <v>3268</v>
      </c>
      <c r="I2693" t="s">
        <v>3269</v>
      </c>
      <c r="J2693" t="s">
        <v>3270</v>
      </c>
      <c r="K2693" t="s">
        <v>1369</v>
      </c>
      <c r="L2693" s="12" t="s">
        <v>108</v>
      </c>
      <c r="M2693" s="12" t="s">
        <v>152</v>
      </c>
      <c r="N2693" s="12" t="s">
        <v>36</v>
      </c>
      <c r="O2693" s="12" t="s">
        <v>56</v>
      </c>
      <c r="P2693" s="12" t="s">
        <v>245</v>
      </c>
      <c r="Q2693" s="7" t="str">
        <f t="shared" si="127"/>
        <v>(2008,40,'2008.10.04',1,25,38,71,74,0),</v>
      </c>
      <c r="R2693" s="7" t="str">
        <f t="shared" si="129"/>
        <v>(2008,40,'2008.10.04',1,25,38,71,74),</v>
      </c>
    </row>
    <row r="2694" spans="1:18" x14ac:dyDescent="0.25">
      <c r="A2694" s="7" t="s">
        <v>1843</v>
      </c>
      <c r="B2694" s="8" t="s">
        <v>13</v>
      </c>
      <c r="C2694" s="10">
        <f t="shared" si="128"/>
        <v>39732</v>
      </c>
      <c r="D2694" t="s">
        <v>11</v>
      </c>
      <c r="E2694" t="s">
        <v>12</v>
      </c>
      <c r="F2694" t="s">
        <v>105</v>
      </c>
      <c r="G2694" t="s">
        <v>3263</v>
      </c>
      <c r="H2694" t="s">
        <v>3264</v>
      </c>
      <c r="I2694" t="s">
        <v>3265</v>
      </c>
      <c r="J2694" t="s">
        <v>3266</v>
      </c>
      <c r="K2694" t="s">
        <v>3041</v>
      </c>
      <c r="L2694" s="12" t="s">
        <v>83</v>
      </c>
      <c r="M2694" s="12" t="s">
        <v>135</v>
      </c>
      <c r="N2694" s="12" t="s">
        <v>47</v>
      </c>
      <c r="O2694" s="12" t="s">
        <v>201</v>
      </c>
      <c r="P2694" s="12" t="s">
        <v>143</v>
      </c>
      <c r="Q2694" s="7" t="str">
        <f t="shared" si="127"/>
        <v>(2008,41,'2008.10.11',11,27,69,72,77,0),</v>
      </c>
      <c r="R2694" s="7" t="str">
        <f t="shared" si="129"/>
        <v>(2008,41,'2008.10.11',11,27,69,72,77),</v>
      </c>
    </row>
    <row r="2695" spans="1:18" x14ac:dyDescent="0.25">
      <c r="A2695" s="7" t="s">
        <v>1843</v>
      </c>
      <c r="B2695" s="8" t="s">
        <v>98</v>
      </c>
      <c r="C2695" s="10">
        <f t="shared" si="128"/>
        <v>39739</v>
      </c>
      <c r="D2695" t="s">
        <v>11</v>
      </c>
      <c r="E2695" t="s">
        <v>12</v>
      </c>
      <c r="F2695" t="s">
        <v>46</v>
      </c>
      <c r="G2695" t="s">
        <v>3260</v>
      </c>
      <c r="H2695" t="s">
        <v>3261</v>
      </c>
      <c r="I2695" t="s">
        <v>401</v>
      </c>
      <c r="J2695" t="s">
        <v>3262</v>
      </c>
      <c r="K2695" t="s">
        <v>1039</v>
      </c>
      <c r="L2695" s="12" t="s">
        <v>71</v>
      </c>
      <c r="M2695" s="12" t="s">
        <v>99</v>
      </c>
      <c r="N2695" s="12" t="s">
        <v>175</v>
      </c>
      <c r="O2695" s="12" t="s">
        <v>82</v>
      </c>
      <c r="P2695" s="12" t="s">
        <v>124</v>
      </c>
      <c r="Q2695" s="7" t="str">
        <f t="shared" si="127"/>
        <v>(2008,42,'2008.10.18',31,52,55,59,62,0),</v>
      </c>
      <c r="R2695" s="7" t="str">
        <f t="shared" si="129"/>
        <v>(2008,42,'2008.10.18',31,52,55,59,62),</v>
      </c>
    </row>
    <row r="2696" spans="1:18" x14ac:dyDescent="0.25">
      <c r="A2696" s="7" t="s">
        <v>1843</v>
      </c>
      <c r="B2696" s="8" t="s">
        <v>45</v>
      </c>
      <c r="C2696" s="10">
        <f t="shared" si="128"/>
        <v>39746</v>
      </c>
      <c r="D2696" t="s">
        <v>11</v>
      </c>
      <c r="E2696" t="s">
        <v>12</v>
      </c>
      <c r="F2696" t="s">
        <v>72</v>
      </c>
      <c r="G2696" t="s">
        <v>3256</v>
      </c>
      <c r="H2696" t="s">
        <v>3257</v>
      </c>
      <c r="I2696" t="s">
        <v>3258</v>
      </c>
      <c r="J2696" t="s">
        <v>3259</v>
      </c>
      <c r="K2696" t="s">
        <v>2978</v>
      </c>
      <c r="L2696" s="12" t="s">
        <v>89</v>
      </c>
      <c r="M2696" s="12" t="s">
        <v>127</v>
      </c>
      <c r="N2696" s="12" t="s">
        <v>21</v>
      </c>
      <c r="O2696" s="12" t="s">
        <v>192</v>
      </c>
      <c r="P2696" s="12" t="s">
        <v>123</v>
      </c>
      <c r="Q2696" s="7" t="str">
        <f t="shared" si="127"/>
        <v>(2008,43,'2008.10.25',5,14,36,46,54,0),</v>
      </c>
      <c r="R2696" s="7" t="str">
        <f t="shared" si="129"/>
        <v>(2008,43,'2008.10.25',5,14,36,46,54),</v>
      </c>
    </row>
    <row r="2697" spans="1:18" x14ac:dyDescent="0.25">
      <c r="A2697" s="7" t="s">
        <v>1843</v>
      </c>
      <c r="B2697" s="8" t="s">
        <v>142</v>
      </c>
      <c r="C2697" s="10">
        <f t="shared" si="128"/>
        <v>39753</v>
      </c>
      <c r="D2697" t="s">
        <v>108</v>
      </c>
      <c r="E2697" t="s">
        <v>3250</v>
      </c>
      <c r="F2697" t="s">
        <v>622</v>
      </c>
      <c r="G2697" t="s">
        <v>3251</v>
      </c>
      <c r="H2697" t="s">
        <v>3252</v>
      </c>
      <c r="I2697" t="s">
        <v>3253</v>
      </c>
      <c r="J2697" t="s">
        <v>3254</v>
      </c>
      <c r="K2697" t="s">
        <v>3255</v>
      </c>
      <c r="L2697" s="12" t="s">
        <v>207</v>
      </c>
      <c r="M2697" s="12" t="s">
        <v>198</v>
      </c>
      <c r="N2697" s="12" t="s">
        <v>24</v>
      </c>
      <c r="O2697" s="12" t="s">
        <v>47</v>
      </c>
      <c r="P2697" s="12" t="s">
        <v>106</v>
      </c>
      <c r="Q2697" s="7" t="str">
        <f t="shared" si="127"/>
        <v>(2008,44,'2008.11.01',2,9,39,69,75,0),</v>
      </c>
      <c r="R2697" s="7" t="str">
        <f t="shared" si="129"/>
        <v>(2008,44,'2008.11.01',2,9,39,69,75),</v>
      </c>
    </row>
    <row r="2698" spans="1:18" x14ac:dyDescent="0.25">
      <c r="A2698" s="7" t="s">
        <v>1843</v>
      </c>
      <c r="B2698" s="8" t="s">
        <v>133</v>
      </c>
      <c r="C2698" s="10">
        <f t="shared" si="128"/>
        <v>39760</v>
      </c>
      <c r="D2698" t="s">
        <v>11</v>
      </c>
      <c r="E2698" t="s">
        <v>12</v>
      </c>
      <c r="F2698" t="s">
        <v>25</v>
      </c>
      <c r="G2698" t="s">
        <v>3246</v>
      </c>
      <c r="H2698" t="s">
        <v>3247</v>
      </c>
      <c r="I2698" t="s">
        <v>3248</v>
      </c>
      <c r="J2698" t="s">
        <v>3249</v>
      </c>
      <c r="K2698" t="s">
        <v>1767</v>
      </c>
      <c r="L2698" s="12" t="s">
        <v>198</v>
      </c>
      <c r="M2698" s="12" t="s">
        <v>32</v>
      </c>
      <c r="N2698" s="12" t="s">
        <v>33</v>
      </c>
      <c r="O2698" s="12" t="s">
        <v>34</v>
      </c>
      <c r="P2698" s="12" t="s">
        <v>208</v>
      </c>
      <c r="Q2698" s="7" t="str">
        <f t="shared" si="127"/>
        <v>(2008,45,'2008.11.08',9,22,24,49,88,0),</v>
      </c>
      <c r="R2698" s="7" t="str">
        <f t="shared" si="129"/>
        <v>(2008,45,'2008.11.08',9,22,24,49,88),</v>
      </c>
    </row>
    <row r="2699" spans="1:18" x14ac:dyDescent="0.25">
      <c r="A2699" s="7" t="s">
        <v>1843</v>
      </c>
      <c r="B2699" s="8" t="s">
        <v>192</v>
      </c>
      <c r="C2699" s="10">
        <f t="shared" si="128"/>
        <v>39767</v>
      </c>
      <c r="D2699" t="s">
        <v>108</v>
      </c>
      <c r="E2699" t="s">
        <v>3240</v>
      </c>
      <c r="F2699" t="s">
        <v>2942</v>
      </c>
      <c r="G2699" t="s">
        <v>3241</v>
      </c>
      <c r="H2699" t="s">
        <v>3242</v>
      </c>
      <c r="I2699" t="s">
        <v>3243</v>
      </c>
      <c r="J2699" t="s">
        <v>3244</v>
      </c>
      <c r="K2699" t="s">
        <v>3245</v>
      </c>
      <c r="L2699" s="12" t="s">
        <v>198</v>
      </c>
      <c r="M2699" s="12" t="s">
        <v>65</v>
      </c>
      <c r="N2699" s="12" t="s">
        <v>116</v>
      </c>
      <c r="O2699" s="12" t="s">
        <v>20</v>
      </c>
      <c r="P2699" s="12" t="s">
        <v>214</v>
      </c>
      <c r="Q2699" s="7" t="str">
        <f t="shared" si="127"/>
        <v>(2008,46,'2008.11.15',9,13,29,33,64,0),</v>
      </c>
      <c r="R2699" s="7" t="str">
        <f t="shared" si="129"/>
        <v>(2008,46,'2008.11.15',9,13,29,33,64),</v>
      </c>
    </row>
    <row r="2700" spans="1:18" x14ac:dyDescent="0.25">
      <c r="A2700" s="7" t="s">
        <v>1843</v>
      </c>
      <c r="B2700" s="8" t="s">
        <v>81</v>
      </c>
      <c r="C2700" s="10">
        <f t="shared" si="128"/>
        <v>39774</v>
      </c>
      <c r="D2700" t="s">
        <v>11</v>
      </c>
      <c r="E2700" t="s">
        <v>12</v>
      </c>
      <c r="F2700" t="s">
        <v>2942</v>
      </c>
      <c r="G2700" t="s">
        <v>3235</v>
      </c>
      <c r="H2700" t="s">
        <v>3236</v>
      </c>
      <c r="I2700" t="s">
        <v>3237</v>
      </c>
      <c r="J2700" t="s">
        <v>3238</v>
      </c>
      <c r="K2700" t="s">
        <v>3239</v>
      </c>
      <c r="L2700" s="12" t="s">
        <v>198</v>
      </c>
      <c r="M2700" s="12" t="s">
        <v>65</v>
      </c>
      <c r="N2700" s="12" t="s">
        <v>43</v>
      </c>
      <c r="O2700" s="12" t="s">
        <v>24</v>
      </c>
      <c r="P2700" s="12" t="s">
        <v>72</v>
      </c>
      <c r="Q2700" s="7" t="str">
        <f t="shared" si="127"/>
        <v>(2008,47,'2008.11.22',9,13,16,39,67,0),</v>
      </c>
      <c r="R2700" s="7" t="str">
        <f t="shared" si="129"/>
        <v>(2008,47,'2008.11.22',9,13,16,39,67),</v>
      </c>
    </row>
    <row r="2701" spans="1:18" x14ac:dyDescent="0.25">
      <c r="A2701" s="7" t="s">
        <v>1843</v>
      </c>
      <c r="B2701" s="8" t="s">
        <v>22</v>
      </c>
      <c r="C2701" s="10">
        <f t="shared" si="128"/>
        <v>39781</v>
      </c>
      <c r="D2701" t="s">
        <v>108</v>
      </c>
      <c r="E2701" t="s">
        <v>3230</v>
      </c>
      <c r="F2701" t="s">
        <v>150</v>
      </c>
      <c r="G2701" t="s">
        <v>3231</v>
      </c>
      <c r="H2701" t="s">
        <v>3232</v>
      </c>
      <c r="I2701" t="s">
        <v>3233</v>
      </c>
      <c r="J2701" t="s">
        <v>3234</v>
      </c>
      <c r="K2701" t="s">
        <v>2997</v>
      </c>
      <c r="L2701" s="12" t="s">
        <v>62</v>
      </c>
      <c r="M2701" s="12" t="s">
        <v>65</v>
      </c>
      <c r="N2701" s="12" t="s">
        <v>126</v>
      </c>
      <c r="O2701" s="12" t="s">
        <v>99</v>
      </c>
      <c r="P2701" s="12" t="s">
        <v>35</v>
      </c>
      <c r="Q2701" s="7" t="str">
        <f t="shared" si="127"/>
        <v>(2008,48,'2008.11.29',10,13,28,52,65,0),</v>
      </c>
      <c r="R2701" s="7" t="str">
        <f t="shared" si="129"/>
        <v>(2008,48,'2008.11.29',10,13,28,52,65),</v>
      </c>
    </row>
    <row r="2702" spans="1:18" x14ac:dyDescent="0.25">
      <c r="A2702" s="7" t="s">
        <v>1843</v>
      </c>
      <c r="B2702" s="8" t="s">
        <v>34</v>
      </c>
      <c r="C2702" s="10">
        <f t="shared" si="128"/>
        <v>39788</v>
      </c>
      <c r="D2702" t="s">
        <v>11</v>
      </c>
      <c r="E2702" t="s">
        <v>12</v>
      </c>
      <c r="F2702" t="s">
        <v>33</v>
      </c>
      <c r="G2702" t="s">
        <v>3226</v>
      </c>
      <c r="H2702" t="s">
        <v>3227</v>
      </c>
      <c r="I2702" t="s">
        <v>3228</v>
      </c>
      <c r="J2702" t="s">
        <v>3229</v>
      </c>
      <c r="K2702" t="s">
        <v>1551</v>
      </c>
      <c r="L2702" s="12" t="s">
        <v>83</v>
      </c>
      <c r="M2702" s="12" t="s">
        <v>33</v>
      </c>
      <c r="N2702" s="12" t="s">
        <v>71</v>
      </c>
      <c r="O2702" s="12" t="s">
        <v>23</v>
      </c>
      <c r="P2702" s="12" t="s">
        <v>246</v>
      </c>
      <c r="Q2702" s="7" t="str">
        <f t="shared" si="127"/>
        <v>(2008,49,'2008.12.06',11,24,31,60,84,0),</v>
      </c>
      <c r="R2702" s="7" t="str">
        <f t="shared" si="129"/>
        <v>(2008,49,'2008.12.06',11,24,31,60,84),</v>
      </c>
    </row>
    <row r="2703" spans="1:18" x14ac:dyDescent="0.25">
      <c r="A2703" s="7" t="s">
        <v>1843</v>
      </c>
      <c r="B2703" s="8" t="s">
        <v>105</v>
      </c>
      <c r="C2703" s="10">
        <f t="shared" si="128"/>
        <v>39795</v>
      </c>
      <c r="D2703" t="s">
        <v>11</v>
      </c>
      <c r="E2703" t="s">
        <v>12</v>
      </c>
      <c r="F2703" t="s">
        <v>33</v>
      </c>
      <c r="G2703" t="s">
        <v>3223</v>
      </c>
      <c r="H2703" t="s">
        <v>344</v>
      </c>
      <c r="I2703" t="s">
        <v>3224</v>
      </c>
      <c r="J2703" t="s">
        <v>3225</v>
      </c>
      <c r="K2703" t="s">
        <v>1021</v>
      </c>
      <c r="L2703" s="12" t="s">
        <v>108</v>
      </c>
      <c r="M2703" s="12" t="s">
        <v>54</v>
      </c>
      <c r="N2703" s="12" t="s">
        <v>45</v>
      </c>
      <c r="O2703" s="12" t="s">
        <v>142</v>
      </c>
      <c r="P2703" s="12" t="s">
        <v>122</v>
      </c>
      <c r="Q2703" s="7" t="str">
        <f t="shared" si="127"/>
        <v>(2008,50,'2008.12.13',1,15,43,44,51,0),</v>
      </c>
      <c r="R2703" s="7" t="str">
        <f t="shared" si="129"/>
        <v>(2008,50,'2008.12.13',1,15,43,44,51),</v>
      </c>
    </row>
    <row r="2704" spans="1:18" x14ac:dyDescent="0.25">
      <c r="A2704" s="7" t="s">
        <v>1843</v>
      </c>
      <c r="B2704" s="8" t="s">
        <v>122</v>
      </c>
      <c r="C2704" s="10">
        <f t="shared" si="128"/>
        <v>39802</v>
      </c>
      <c r="D2704" t="s">
        <v>11</v>
      </c>
      <c r="E2704" t="s">
        <v>12</v>
      </c>
      <c r="F2704" t="s">
        <v>33</v>
      </c>
      <c r="G2704" t="s">
        <v>3220</v>
      </c>
      <c r="H2704" t="s">
        <v>3177</v>
      </c>
      <c r="I2704" t="s">
        <v>3221</v>
      </c>
      <c r="J2704" t="s">
        <v>3222</v>
      </c>
      <c r="K2704" t="s">
        <v>1369</v>
      </c>
      <c r="L2704" s="12" t="s">
        <v>108</v>
      </c>
      <c r="M2704" s="12" t="s">
        <v>163</v>
      </c>
      <c r="N2704" s="12" t="s">
        <v>33</v>
      </c>
      <c r="O2704" s="12" t="s">
        <v>24</v>
      </c>
      <c r="P2704" s="12" t="s">
        <v>124</v>
      </c>
      <c r="Q2704" s="7" t="str">
        <f t="shared" si="127"/>
        <v>(2008,51,'2008.12.20',1,23,24,39,62,0),</v>
      </c>
      <c r="R2704" s="7" t="str">
        <f t="shared" si="129"/>
        <v>(2008,51,'2008.12.20',1,23,24,39,62),</v>
      </c>
    </row>
    <row r="2705" spans="1:18" x14ac:dyDescent="0.25">
      <c r="A2705" s="7" t="s">
        <v>1843</v>
      </c>
      <c r="B2705" s="8" t="s">
        <v>99</v>
      </c>
      <c r="C2705" s="10">
        <f t="shared" si="128"/>
        <v>39809</v>
      </c>
      <c r="D2705" t="s">
        <v>11</v>
      </c>
      <c r="E2705" t="s">
        <v>12</v>
      </c>
      <c r="F2705" t="s">
        <v>135</v>
      </c>
      <c r="G2705" t="s">
        <v>3218</v>
      </c>
      <c r="H2705" t="s">
        <v>1644</v>
      </c>
      <c r="I2705" t="s">
        <v>1032</v>
      </c>
      <c r="J2705" t="s">
        <v>3219</v>
      </c>
      <c r="K2705" t="s">
        <v>2321</v>
      </c>
      <c r="L2705" s="12" t="s">
        <v>74</v>
      </c>
      <c r="M2705" s="12" t="s">
        <v>25</v>
      </c>
      <c r="N2705" s="12" t="s">
        <v>233</v>
      </c>
      <c r="O2705" s="12" t="s">
        <v>72</v>
      </c>
      <c r="P2705" s="12" t="s">
        <v>125</v>
      </c>
      <c r="Q2705" s="7" t="str">
        <f t="shared" si="127"/>
        <v>(2008,52,'2008.12.27',26,34,66,67,83,0),</v>
      </c>
      <c r="R2705" s="7" t="str">
        <f t="shared" si="129"/>
        <v>(2008,52,'2008.12.27',26,34,66,67,83),</v>
      </c>
    </row>
    <row r="2706" spans="1:18" x14ac:dyDescent="0.25">
      <c r="A2706" s="7" t="s">
        <v>1648</v>
      </c>
      <c r="B2706" s="8" t="s">
        <v>108</v>
      </c>
      <c r="C2706" s="10">
        <f t="shared" si="128"/>
        <v>39816</v>
      </c>
      <c r="D2706" t="s">
        <v>11</v>
      </c>
      <c r="E2706" t="s">
        <v>12</v>
      </c>
      <c r="F2706" t="s">
        <v>46</v>
      </c>
      <c r="G2706" t="s">
        <v>3214</v>
      </c>
      <c r="H2706" t="s">
        <v>2582</v>
      </c>
      <c r="I2706" t="s">
        <v>3215</v>
      </c>
      <c r="J2706" t="s">
        <v>3216</v>
      </c>
      <c r="K2706" t="s">
        <v>3217</v>
      </c>
      <c r="L2706" s="12" t="s">
        <v>198</v>
      </c>
      <c r="M2706" s="12" t="s">
        <v>31</v>
      </c>
      <c r="N2706" s="12" t="s">
        <v>21</v>
      </c>
      <c r="O2706" s="12" t="s">
        <v>122</v>
      </c>
      <c r="P2706" s="12" t="s">
        <v>23</v>
      </c>
      <c r="Q2706" s="7" t="str">
        <f t="shared" si="127"/>
        <v>(2009,1,'2009.01.03',9,12,36,51,60,0),</v>
      </c>
      <c r="R2706" s="7" t="str">
        <f t="shared" si="129"/>
        <v>(2009,1,'2009.01.03',9,12,36,51,60),</v>
      </c>
    </row>
    <row r="2707" spans="1:18" x14ac:dyDescent="0.25">
      <c r="A2707" s="7" t="s">
        <v>1648</v>
      </c>
      <c r="B2707" s="8" t="s">
        <v>207</v>
      </c>
      <c r="C2707" s="10">
        <f t="shared" si="128"/>
        <v>39823</v>
      </c>
      <c r="D2707" t="s">
        <v>11</v>
      </c>
      <c r="E2707" t="s">
        <v>12</v>
      </c>
      <c r="F2707" t="s">
        <v>116</v>
      </c>
      <c r="G2707" t="s">
        <v>3212</v>
      </c>
      <c r="H2707" t="s">
        <v>605</v>
      </c>
      <c r="I2707" t="s">
        <v>1253</v>
      </c>
      <c r="J2707" t="s">
        <v>3213</v>
      </c>
      <c r="K2707" t="s">
        <v>1123</v>
      </c>
      <c r="L2707" s="12" t="s">
        <v>168</v>
      </c>
      <c r="M2707" s="12" t="s">
        <v>13</v>
      </c>
      <c r="N2707" s="12" t="s">
        <v>134</v>
      </c>
      <c r="O2707" s="12" t="s">
        <v>246</v>
      </c>
      <c r="P2707" s="12" t="s">
        <v>468</v>
      </c>
      <c r="Q2707" s="7" t="str">
        <f t="shared" si="127"/>
        <v>(2009,2,'2009.01.10',4,41,56,84,85,0),</v>
      </c>
      <c r="R2707" s="7" t="str">
        <f t="shared" si="129"/>
        <v>(2009,2,'2009.01.10',4,41,56,84,85),</v>
      </c>
    </row>
    <row r="2708" spans="1:18" x14ac:dyDescent="0.25">
      <c r="A2708" s="7" t="s">
        <v>1648</v>
      </c>
      <c r="B2708" s="8" t="s">
        <v>42</v>
      </c>
      <c r="C2708" s="10">
        <f t="shared" si="128"/>
        <v>39830</v>
      </c>
      <c r="D2708" t="s">
        <v>11</v>
      </c>
      <c r="E2708" t="s">
        <v>12</v>
      </c>
      <c r="F2708" t="s">
        <v>10</v>
      </c>
      <c r="G2708" t="s">
        <v>3208</v>
      </c>
      <c r="H2708" t="s">
        <v>3209</v>
      </c>
      <c r="I2708" t="s">
        <v>3210</v>
      </c>
      <c r="J2708" t="s">
        <v>3211</v>
      </c>
      <c r="K2708" t="s">
        <v>393</v>
      </c>
      <c r="L2708" s="12" t="s">
        <v>43</v>
      </c>
      <c r="M2708" s="12" t="s">
        <v>45</v>
      </c>
      <c r="N2708" s="12" t="s">
        <v>22</v>
      </c>
      <c r="O2708" s="12" t="s">
        <v>73</v>
      </c>
      <c r="P2708" s="12" t="s">
        <v>308</v>
      </c>
      <c r="Q2708" s="7" t="str">
        <f t="shared" si="127"/>
        <v>(2009,3,'2009.01.17',16,43,48,76,86,0),</v>
      </c>
      <c r="R2708" s="7" t="str">
        <f t="shared" si="129"/>
        <v>(2009,3,'2009.01.17',16,43,48,76,86),</v>
      </c>
    </row>
    <row r="2709" spans="1:18" x14ac:dyDescent="0.25">
      <c r="A2709" s="7" t="s">
        <v>1648</v>
      </c>
      <c r="B2709" s="8" t="s">
        <v>168</v>
      </c>
      <c r="C2709" s="10">
        <f t="shared" si="128"/>
        <v>39837</v>
      </c>
      <c r="D2709" t="s">
        <v>11</v>
      </c>
      <c r="E2709" t="s">
        <v>12</v>
      </c>
      <c r="F2709" t="s">
        <v>44</v>
      </c>
      <c r="G2709" t="s">
        <v>3205</v>
      </c>
      <c r="H2709" t="s">
        <v>3206</v>
      </c>
      <c r="I2709" t="s">
        <v>656</v>
      </c>
      <c r="J2709" t="s">
        <v>3207</v>
      </c>
      <c r="K2709" t="s">
        <v>393</v>
      </c>
      <c r="L2709" s="12" t="s">
        <v>207</v>
      </c>
      <c r="M2709" s="12" t="s">
        <v>116</v>
      </c>
      <c r="N2709" s="12" t="s">
        <v>71</v>
      </c>
      <c r="O2709" s="12" t="s">
        <v>45</v>
      </c>
      <c r="P2709" s="12" t="s">
        <v>468</v>
      </c>
      <c r="Q2709" s="7" t="str">
        <f t="shared" si="127"/>
        <v>(2009,4,'2009.01.24',2,29,31,43,85,0),</v>
      </c>
      <c r="R2709" s="7" t="str">
        <f t="shared" si="129"/>
        <v>(2009,4,'2009.01.24',2,29,31,43,85),</v>
      </c>
    </row>
    <row r="2710" spans="1:18" x14ac:dyDescent="0.25">
      <c r="A2710" s="7" t="s">
        <v>1648</v>
      </c>
      <c r="B2710" s="8" t="s">
        <v>89</v>
      </c>
      <c r="C2710" s="10">
        <f t="shared" si="128"/>
        <v>39844</v>
      </c>
      <c r="D2710" t="s">
        <v>11</v>
      </c>
      <c r="E2710" t="s">
        <v>12</v>
      </c>
      <c r="F2710" t="s">
        <v>107</v>
      </c>
      <c r="G2710" t="s">
        <v>3200</v>
      </c>
      <c r="H2710" t="s">
        <v>3201</v>
      </c>
      <c r="I2710" t="s">
        <v>3202</v>
      </c>
      <c r="J2710" t="s">
        <v>3203</v>
      </c>
      <c r="K2710" t="s">
        <v>3204</v>
      </c>
      <c r="L2710" s="12" t="s">
        <v>135</v>
      </c>
      <c r="M2710" s="12" t="s">
        <v>45</v>
      </c>
      <c r="N2710" s="12" t="s">
        <v>199</v>
      </c>
      <c r="O2710" s="12" t="s">
        <v>245</v>
      </c>
      <c r="P2710" s="12" t="s">
        <v>106</v>
      </c>
      <c r="Q2710" s="7" t="str">
        <f t="shared" si="127"/>
        <v>(2009,5,'2009.01.31',27,43,53,74,75,0),</v>
      </c>
      <c r="R2710" s="7" t="str">
        <f t="shared" si="129"/>
        <v>(2009,5,'2009.01.31',27,43,53,74,75),</v>
      </c>
    </row>
    <row r="2711" spans="1:18" x14ac:dyDescent="0.25">
      <c r="A2711" s="7" t="s">
        <v>1648</v>
      </c>
      <c r="B2711" s="8" t="s">
        <v>270</v>
      </c>
      <c r="C2711" s="10">
        <f t="shared" si="128"/>
        <v>39851</v>
      </c>
      <c r="D2711" t="s">
        <v>108</v>
      </c>
      <c r="E2711" t="s">
        <v>3195</v>
      </c>
      <c r="F2711" t="s">
        <v>199</v>
      </c>
      <c r="G2711" t="s">
        <v>3196</v>
      </c>
      <c r="H2711" t="s">
        <v>3197</v>
      </c>
      <c r="I2711" t="s">
        <v>3198</v>
      </c>
      <c r="J2711" t="s">
        <v>3199</v>
      </c>
      <c r="K2711" t="s">
        <v>1585</v>
      </c>
      <c r="L2711" s="12" t="s">
        <v>19</v>
      </c>
      <c r="M2711" s="12" t="s">
        <v>32</v>
      </c>
      <c r="N2711" s="12" t="s">
        <v>116</v>
      </c>
      <c r="O2711" s="12" t="s">
        <v>81</v>
      </c>
      <c r="P2711" s="12" t="s">
        <v>122</v>
      </c>
      <c r="Q2711" s="7" t="str">
        <f t="shared" si="127"/>
        <v>(2009,6,'2009.02.07',18,22,29,47,51,0),</v>
      </c>
      <c r="R2711" s="7" t="str">
        <f t="shared" si="129"/>
        <v>(2009,6,'2009.02.07',18,22,29,47,51),</v>
      </c>
    </row>
    <row r="2712" spans="1:18" x14ac:dyDescent="0.25">
      <c r="A2712" s="7" t="s">
        <v>1648</v>
      </c>
      <c r="B2712" s="8" t="s">
        <v>53</v>
      </c>
      <c r="C2712" s="10">
        <f t="shared" si="128"/>
        <v>39858</v>
      </c>
      <c r="D2712" t="s">
        <v>11</v>
      </c>
      <c r="E2712" t="s">
        <v>12</v>
      </c>
      <c r="F2712" t="s">
        <v>2131</v>
      </c>
      <c r="G2712" t="s">
        <v>3191</v>
      </c>
      <c r="H2712" t="s">
        <v>3192</v>
      </c>
      <c r="I2712" t="s">
        <v>3193</v>
      </c>
      <c r="J2712" t="s">
        <v>3194</v>
      </c>
      <c r="K2712" t="s">
        <v>1360</v>
      </c>
      <c r="L2712" s="12" t="s">
        <v>168</v>
      </c>
      <c r="M2712" s="12" t="s">
        <v>43</v>
      </c>
      <c r="N2712" s="12" t="s">
        <v>32</v>
      </c>
      <c r="O2712" s="12" t="s">
        <v>24</v>
      </c>
      <c r="P2712" s="12" t="s">
        <v>47</v>
      </c>
      <c r="Q2712" s="7" t="str">
        <f t="shared" si="127"/>
        <v>(2009,7,'2009.02.14',4,16,22,39,69,0),</v>
      </c>
      <c r="R2712" s="7" t="str">
        <f t="shared" si="129"/>
        <v>(2009,7,'2009.02.14',4,16,22,39,69),</v>
      </c>
    </row>
    <row r="2713" spans="1:18" x14ac:dyDescent="0.25">
      <c r="A2713" s="7" t="s">
        <v>1648</v>
      </c>
      <c r="B2713" s="8" t="s">
        <v>232</v>
      </c>
      <c r="C2713" s="10">
        <f t="shared" si="128"/>
        <v>39865</v>
      </c>
      <c r="D2713" t="s">
        <v>11</v>
      </c>
      <c r="E2713" t="s">
        <v>12</v>
      </c>
      <c r="F2713" t="s">
        <v>47</v>
      </c>
      <c r="G2713" t="s">
        <v>3187</v>
      </c>
      <c r="H2713" t="s">
        <v>3188</v>
      </c>
      <c r="I2713" t="s">
        <v>3189</v>
      </c>
      <c r="J2713" t="s">
        <v>3190</v>
      </c>
      <c r="K2713" t="s">
        <v>3136</v>
      </c>
      <c r="L2713" s="12" t="s">
        <v>89</v>
      </c>
      <c r="M2713" s="12" t="s">
        <v>55</v>
      </c>
      <c r="N2713" s="12" t="s">
        <v>74</v>
      </c>
      <c r="O2713" s="12" t="s">
        <v>124</v>
      </c>
      <c r="P2713" s="12" t="s">
        <v>214</v>
      </c>
      <c r="Q2713" s="7" t="str">
        <f t="shared" si="127"/>
        <v>(2009,8,'2009.02.21',5,19,26,62,64,0),</v>
      </c>
      <c r="R2713" s="7" t="str">
        <f t="shared" si="129"/>
        <v>(2009,8,'2009.02.21',5,19,26,62,64),</v>
      </c>
    </row>
    <row r="2714" spans="1:18" x14ac:dyDescent="0.25">
      <c r="A2714" s="7" t="s">
        <v>1648</v>
      </c>
      <c r="B2714" s="8" t="s">
        <v>198</v>
      </c>
      <c r="C2714" s="10">
        <f t="shared" si="128"/>
        <v>39872</v>
      </c>
      <c r="D2714" t="s">
        <v>11</v>
      </c>
      <c r="E2714" t="s">
        <v>12</v>
      </c>
      <c r="F2714" t="s">
        <v>32</v>
      </c>
      <c r="G2714" t="s">
        <v>3183</v>
      </c>
      <c r="H2714" t="s">
        <v>3184</v>
      </c>
      <c r="I2714" t="s">
        <v>3185</v>
      </c>
      <c r="J2714" t="s">
        <v>3186</v>
      </c>
      <c r="K2714" t="s">
        <v>1655</v>
      </c>
      <c r="L2714" s="12" t="s">
        <v>53</v>
      </c>
      <c r="M2714" s="12" t="s">
        <v>32</v>
      </c>
      <c r="N2714" s="12" t="s">
        <v>151</v>
      </c>
      <c r="O2714" s="12" t="s">
        <v>308</v>
      </c>
      <c r="P2714" s="12" t="s">
        <v>208</v>
      </c>
      <c r="Q2714" s="7" t="str">
        <f t="shared" si="127"/>
        <v>(2009,9,'2009.02.28',7,22,79,86,88,0),</v>
      </c>
      <c r="R2714" s="7" t="str">
        <f t="shared" si="129"/>
        <v>(2009,9,'2009.02.28',7,22,79,86,88),</v>
      </c>
    </row>
    <row r="2715" spans="1:18" x14ac:dyDescent="0.25">
      <c r="A2715" s="7" t="s">
        <v>1648</v>
      </c>
      <c r="B2715" s="8" t="s">
        <v>62</v>
      </c>
      <c r="C2715" s="10">
        <f t="shared" si="128"/>
        <v>39879</v>
      </c>
      <c r="D2715" t="s">
        <v>11</v>
      </c>
      <c r="E2715" t="s">
        <v>12</v>
      </c>
      <c r="F2715" t="s">
        <v>10</v>
      </c>
      <c r="G2715" t="s">
        <v>3180</v>
      </c>
      <c r="H2715" t="s">
        <v>3181</v>
      </c>
      <c r="I2715" t="s">
        <v>2497</v>
      </c>
      <c r="J2715" t="s">
        <v>3182</v>
      </c>
      <c r="K2715" t="s">
        <v>1058</v>
      </c>
      <c r="L2715" s="12" t="s">
        <v>83</v>
      </c>
      <c r="M2715" s="12" t="s">
        <v>152</v>
      </c>
      <c r="N2715" s="12" t="s">
        <v>150</v>
      </c>
      <c r="O2715" s="12" t="s">
        <v>151</v>
      </c>
      <c r="P2715" s="12" t="s">
        <v>308</v>
      </c>
      <c r="Q2715" s="7" t="str">
        <f t="shared" si="127"/>
        <v>(2009,10,'2009.03.07',11,25,57,79,86,0),</v>
      </c>
      <c r="R2715" s="7" t="str">
        <f t="shared" si="129"/>
        <v>(2009,10,'2009.03.07',11,25,57,79,86),</v>
      </c>
    </row>
    <row r="2716" spans="1:18" x14ac:dyDescent="0.25">
      <c r="A2716" s="7" t="s">
        <v>1648</v>
      </c>
      <c r="B2716" s="8" t="s">
        <v>83</v>
      </c>
      <c r="C2716" s="10">
        <f t="shared" si="128"/>
        <v>39886</v>
      </c>
      <c r="D2716" t="s">
        <v>11</v>
      </c>
      <c r="E2716" t="s">
        <v>12</v>
      </c>
      <c r="F2716" t="s">
        <v>33</v>
      </c>
      <c r="G2716" t="s">
        <v>3176</v>
      </c>
      <c r="H2716" t="s">
        <v>3177</v>
      </c>
      <c r="I2716" t="s">
        <v>3178</v>
      </c>
      <c r="J2716" t="s">
        <v>3179</v>
      </c>
      <c r="K2716" t="s">
        <v>2778</v>
      </c>
      <c r="L2716" s="12" t="s">
        <v>74</v>
      </c>
      <c r="M2716" s="12" t="s">
        <v>71</v>
      </c>
      <c r="N2716" s="12" t="s">
        <v>20</v>
      </c>
      <c r="O2716" s="12" t="s">
        <v>21</v>
      </c>
      <c r="P2716" s="12" t="s">
        <v>46</v>
      </c>
      <c r="Q2716" s="7" t="str">
        <f t="shared" si="127"/>
        <v>(2009,11,'2009.03.14',26,31,33,36,37,0),</v>
      </c>
      <c r="R2716" s="7" t="str">
        <f t="shared" si="129"/>
        <v>(2009,11,'2009.03.14',26,31,33,36,37),</v>
      </c>
    </row>
    <row r="2717" spans="1:18" x14ac:dyDescent="0.25">
      <c r="A2717" s="7" t="s">
        <v>1648</v>
      </c>
      <c r="B2717" s="8" t="s">
        <v>31</v>
      </c>
      <c r="C2717" s="10">
        <f t="shared" si="128"/>
        <v>39893</v>
      </c>
      <c r="D2717" t="s">
        <v>11</v>
      </c>
      <c r="E2717" t="s">
        <v>12</v>
      </c>
      <c r="F2717" t="s">
        <v>33</v>
      </c>
      <c r="G2717" t="s">
        <v>3173</v>
      </c>
      <c r="H2717" t="s">
        <v>3174</v>
      </c>
      <c r="I2717" t="s">
        <v>1226</v>
      </c>
      <c r="J2717" t="s">
        <v>3175</v>
      </c>
      <c r="K2717" t="s">
        <v>1497</v>
      </c>
      <c r="L2717" s="12" t="s">
        <v>115</v>
      </c>
      <c r="M2717" s="12" t="s">
        <v>142</v>
      </c>
      <c r="N2717" s="12" t="s">
        <v>99</v>
      </c>
      <c r="O2717" s="12" t="s">
        <v>245</v>
      </c>
      <c r="P2717" s="12" t="s">
        <v>468</v>
      </c>
      <c r="Q2717" s="7" t="str">
        <f t="shared" si="127"/>
        <v>(2009,12,'2009.03.21',20,44,52,74,85,0),</v>
      </c>
      <c r="R2717" s="7" t="str">
        <f t="shared" si="129"/>
        <v>(2009,12,'2009.03.21',20,44,52,74,85),</v>
      </c>
    </row>
    <row r="2718" spans="1:18" x14ac:dyDescent="0.25">
      <c r="A2718" s="7" t="s">
        <v>1648</v>
      </c>
      <c r="B2718" s="8" t="s">
        <v>65</v>
      </c>
      <c r="C2718" s="10">
        <f t="shared" si="128"/>
        <v>39900</v>
      </c>
      <c r="D2718" t="s">
        <v>11</v>
      </c>
      <c r="E2718" t="s">
        <v>12</v>
      </c>
      <c r="F2718" t="s">
        <v>135</v>
      </c>
      <c r="G2718" t="s">
        <v>3169</v>
      </c>
      <c r="H2718" t="s">
        <v>3170</v>
      </c>
      <c r="I2718" t="s">
        <v>3171</v>
      </c>
      <c r="J2718" t="s">
        <v>3172</v>
      </c>
      <c r="K2718" t="s">
        <v>617</v>
      </c>
      <c r="L2718" s="12" t="s">
        <v>127</v>
      </c>
      <c r="M2718" s="12" t="s">
        <v>80</v>
      </c>
      <c r="N2718" s="12" t="s">
        <v>199</v>
      </c>
      <c r="O2718" s="12" t="s">
        <v>200</v>
      </c>
      <c r="P2718" s="12" t="s">
        <v>308</v>
      </c>
      <c r="Q2718" s="7" t="str">
        <f t="shared" si="127"/>
        <v>(2009,13,'2009.03.28',14,32,53,70,86,0),</v>
      </c>
      <c r="R2718" s="7" t="str">
        <f t="shared" si="129"/>
        <v>(2009,13,'2009.03.28',14,32,53,70,86),</v>
      </c>
    </row>
    <row r="2719" spans="1:18" x14ac:dyDescent="0.25">
      <c r="A2719" s="7" t="s">
        <v>1648</v>
      </c>
      <c r="B2719" s="8" t="s">
        <v>127</v>
      </c>
      <c r="C2719" s="10">
        <f t="shared" si="128"/>
        <v>39907</v>
      </c>
      <c r="D2719" t="s">
        <v>11</v>
      </c>
      <c r="E2719" t="s">
        <v>12</v>
      </c>
      <c r="F2719" t="s">
        <v>46</v>
      </c>
      <c r="G2719" t="s">
        <v>3165</v>
      </c>
      <c r="H2719" t="s">
        <v>3166</v>
      </c>
      <c r="I2719" t="s">
        <v>3167</v>
      </c>
      <c r="J2719" t="s">
        <v>3168</v>
      </c>
      <c r="K2719" t="s">
        <v>3069</v>
      </c>
      <c r="L2719" s="12" t="s">
        <v>53</v>
      </c>
      <c r="M2719" s="12" t="s">
        <v>83</v>
      </c>
      <c r="N2719" s="12" t="s">
        <v>54</v>
      </c>
      <c r="O2719" s="12" t="s">
        <v>233</v>
      </c>
      <c r="P2719" s="12" t="s">
        <v>151</v>
      </c>
      <c r="Q2719" s="7" t="str">
        <f t="shared" si="127"/>
        <v>(2009,14,'2009.04.04',7,11,15,66,79,0),</v>
      </c>
      <c r="R2719" s="7" t="str">
        <f t="shared" si="129"/>
        <v>(2009,14,'2009.04.04',7,11,15,66,79),</v>
      </c>
    </row>
    <row r="2720" spans="1:18" x14ac:dyDescent="0.25">
      <c r="A2720" s="7" t="s">
        <v>1648</v>
      </c>
      <c r="B2720" s="8" t="s">
        <v>54</v>
      </c>
      <c r="C2720" s="10">
        <f t="shared" si="128"/>
        <v>39914</v>
      </c>
      <c r="D2720" t="s">
        <v>11</v>
      </c>
      <c r="E2720" t="s">
        <v>12</v>
      </c>
      <c r="F2720" t="s">
        <v>3160</v>
      </c>
      <c r="G2720" t="s">
        <v>3161</v>
      </c>
      <c r="H2720" t="s">
        <v>1481</v>
      </c>
      <c r="I2720" t="s">
        <v>3162</v>
      </c>
      <c r="J2720" t="s">
        <v>3163</v>
      </c>
      <c r="K2720" t="s">
        <v>3164</v>
      </c>
      <c r="L2720" s="12" t="s">
        <v>168</v>
      </c>
      <c r="M2720" s="12" t="s">
        <v>53</v>
      </c>
      <c r="N2720" s="12" t="s">
        <v>71</v>
      </c>
      <c r="O2720" s="12" t="s">
        <v>123</v>
      </c>
      <c r="P2720" s="12" t="s">
        <v>150</v>
      </c>
      <c r="Q2720" s="7" t="str">
        <f t="shared" si="127"/>
        <v>(2009,15,'2009.04.11',4,7,31,54,57,0),</v>
      </c>
      <c r="R2720" s="7" t="str">
        <f t="shared" si="129"/>
        <v>(2009,15,'2009.04.11',4,7,31,54,57),</v>
      </c>
    </row>
    <row r="2721" spans="1:18" x14ac:dyDescent="0.25">
      <c r="A2721" s="7" t="s">
        <v>1648</v>
      </c>
      <c r="B2721" s="8" t="s">
        <v>43</v>
      </c>
      <c r="C2721" s="10">
        <f t="shared" si="128"/>
        <v>39921</v>
      </c>
      <c r="D2721" t="s">
        <v>11</v>
      </c>
      <c r="E2721" t="s">
        <v>12</v>
      </c>
      <c r="F2721" t="s">
        <v>142</v>
      </c>
      <c r="G2721" t="s">
        <v>3156</v>
      </c>
      <c r="H2721" t="s">
        <v>3157</v>
      </c>
      <c r="I2721" t="s">
        <v>3158</v>
      </c>
      <c r="J2721" t="s">
        <v>3159</v>
      </c>
      <c r="K2721" t="s">
        <v>1767</v>
      </c>
      <c r="L2721" s="12" t="s">
        <v>90</v>
      </c>
      <c r="M2721" s="12" t="s">
        <v>44</v>
      </c>
      <c r="N2721" s="12" t="s">
        <v>150</v>
      </c>
      <c r="O2721" s="12" t="s">
        <v>124</v>
      </c>
      <c r="P2721" s="12" t="s">
        <v>56</v>
      </c>
      <c r="Q2721" s="7" t="str">
        <f t="shared" si="127"/>
        <v>(2009,16,'2009.04.18',17,21,57,62,71,0),</v>
      </c>
      <c r="R2721" s="7" t="str">
        <f t="shared" si="129"/>
        <v>(2009,16,'2009.04.18',17,21,57,62,71),</v>
      </c>
    </row>
    <row r="2722" spans="1:18" x14ac:dyDescent="0.25">
      <c r="A2722" s="7" t="s">
        <v>1648</v>
      </c>
      <c r="B2722" s="8" t="s">
        <v>90</v>
      </c>
      <c r="C2722" s="10">
        <f t="shared" si="128"/>
        <v>39928</v>
      </c>
      <c r="D2722" t="s">
        <v>11</v>
      </c>
      <c r="E2722" t="s">
        <v>12</v>
      </c>
      <c r="F2722" t="s">
        <v>44</v>
      </c>
      <c r="G2722" t="s">
        <v>3152</v>
      </c>
      <c r="H2722" t="s">
        <v>3153</v>
      </c>
      <c r="I2722" t="s">
        <v>3154</v>
      </c>
      <c r="J2722" t="s">
        <v>3155</v>
      </c>
      <c r="K2722" t="s">
        <v>857</v>
      </c>
      <c r="L2722" s="12" t="s">
        <v>115</v>
      </c>
      <c r="M2722" s="12" t="s">
        <v>45</v>
      </c>
      <c r="N2722" s="12" t="s">
        <v>199</v>
      </c>
      <c r="O2722" s="12" t="s">
        <v>123</v>
      </c>
      <c r="P2722" s="12" t="s">
        <v>169</v>
      </c>
      <c r="Q2722" s="7" t="str">
        <f t="shared" si="127"/>
        <v>(2009,17,'2009.04.25',20,43,53,54,58,0),</v>
      </c>
      <c r="R2722" s="7" t="str">
        <f t="shared" si="129"/>
        <v>(2009,17,'2009.04.25',20,43,53,54,58),</v>
      </c>
    </row>
    <row r="2723" spans="1:18" x14ac:dyDescent="0.25">
      <c r="A2723" s="7" t="s">
        <v>1648</v>
      </c>
      <c r="B2723" s="8" t="s">
        <v>19</v>
      </c>
      <c r="C2723" s="10">
        <f t="shared" si="128"/>
        <v>39935</v>
      </c>
      <c r="D2723" t="s">
        <v>11</v>
      </c>
      <c r="E2723" t="s">
        <v>12</v>
      </c>
      <c r="F2723" t="s">
        <v>36</v>
      </c>
      <c r="G2723" t="s">
        <v>3148</v>
      </c>
      <c r="H2723" t="s">
        <v>3149</v>
      </c>
      <c r="I2723" t="s">
        <v>3150</v>
      </c>
      <c r="J2723" t="s">
        <v>3151</v>
      </c>
      <c r="K2723" t="s">
        <v>1585</v>
      </c>
      <c r="L2723" s="12" t="s">
        <v>62</v>
      </c>
      <c r="M2723" s="12" t="s">
        <v>43</v>
      </c>
      <c r="N2723" s="12" t="s">
        <v>116</v>
      </c>
      <c r="O2723" s="12" t="s">
        <v>25</v>
      </c>
      <c r="P2723" s="12" t="s">
        <v>98</v>
      </c>
      <c r="Q2723" s="7" t="str">
        <f t="shared" si="127"/>
        <v>(2009,18,'2009.05.02',10,16,29,34,42,0),</v>
      </c>
      <c r="R2723" s="7" t="str">
        <f t="shared" si="129"/>
        <v>(2009,18,'2009.05.02',10,16,29,34,42),</v>
      </c>
    </row>
    <row r="2724" spans="1:18" x14ac:dyDescent="0.25">
      <c r="A2724" s="7" t="s">
        <v>1648</v>
      </c>
      <c r="B2724" s="8" t="s">
        <v>55</v>
      </c>
      <c r="C2724" s="10">
        <f t="shared" si="128"/>
        <v>39942</v>
      </c>
      <c r="D2724" t="s">
        <v>108</v>
      </c>
      <c r="E2724" t="s">
        <v>3142</v>
      </c>
      <c r="F2724" t="s">
        <v>82</v>
      </c>
      <c r="G2724" t="s">
        <v>3143</v>
      </c>
      <c r="H2724" t="s">
        <v>3144</v>
      </c>
      <c r="I2724" t="s">
        <v>3145</v>
      </c>
      <c r="J2724" t="s">
        <v>3146</v>
      </c>
      <c r="K2724" t="s">
        <v>3147</v>
      </c>
      <c r="L2724" s="12" t="s">
        <v>135</v>
      </c>
      <c r="M2724" s="12" t="s">
        <v>20</v>
      </c>
      <c r="N2724" s="12" t="s">
        <v>36</v>
      </c>
      <c r="O2724" s="12" t="s">
        <v>56</v>
      </c>
      <c r="P2724" s="12" t="s">
        <v>215</v>
      </c>
      <c r="Q2724" s="7" t="str">
        <f t="shared" si="127"/>
        <v>(2009,19,'2009.05.09',27,33,38,71,81,0),</v>
      </c>
      <c r="R2724" s="7" t="str">
        <f t="shared" si="129"/>
        <v>(2009,19,'2009.05.09',27,33,38,71,81),</v>
      </c>
    </row>
    <row r="2725" spans="1:18" x14ac:dyDescent="0.25">
      <c r="A2725" s="7" t="s">
        <v>1648</v>
      </c>
      <c r="B2725" s="8" t="s">
        <v>115</v>
      </c>
      <c r="C2725" s="10">
        <f t="shared" si="128"/>
        <v>39949</v>
      </c>
      <c r="D2725" t="s">
        <v>11</v>
      </c>
      <c r="E2725" t="s">
        <v>12</v>
      </c>
      <c r="F2725" t="s">
        <v>19</v>
      </c>
      <c r="G2725" t="s">
        <v>3137</v>
      </c>
      <c r="H2725" t="s">
        <v>3138</v>
      </c>
      <c r="I2725" t="s">
        <v>3139</v>
      </c>
      <c r="J2725" t="s">
        <v>3140</v>
      </c>
      <c r="K2725" t="s">
        <v>3141</v>
      </c>
      <c r="L2725" s="12" t="s">
        <v>207</v>
      </c>
      <c r="M2725" s="12" t="s">
        <v>36</v>
      </c>
      <c r="N2725" s="12" t="s">
        <v>142</v>
      </c>
      <c r="O2725" s="12" t="s">
        <v>91</v>
      </c>
      <c r="P2725" s="12" t="s">
        <v>73</v>
      </c>
      <c r="Q2725" s="7" t="str">
        <f t="shared" si="127"/>
        <v>(2009,20,'2009.05.16',2,38,44,61,76,0),</v>
      </c>
      <c r="R2725" s="7" t="str">
        <f t="shared" si="129"/>
        <v>(2009,20,'2009.05.16',2,38,44,61,76),</v>
      </c>
    </row>
    <row r="2726" spans="1:18" x14ac:dyDescent="0.25">
      <c r="A2726" s="7" t="s">
        <v>1648</v>
      </c>
      <c r="B2726" s="8" t="s">
        <v>44</v>
      </c>
      <c r="C2726" s="10">
        <f t="shared" si="128"/>
        <v>39956</v>
      </c>
      <c r="D2726" t="s">
        <v>11</v>
      </c>
      <c r="E2726" t="s">
        <v>12</v>
      </c>
      <c r="F2726" t="s">
        <v>214</v>
      </c>
      <c r="G2726" t="s">
        <v>3132</v>
      </c>
      <c r="H2726" t="s">
        <v>3133</v>
      </c>
      <c r="I2726" t="s">
        <v>3134</v>
      </c>
      <c r="J2726" t="s">
        <v>3135</v>
      </c>
      <c r="K2726" t="s">
        <v>3136</v>
      </c>
      <c r="L2726" s="12" t="s">
        <v>108</v>
      </c>
      <c r="M2726" s="12" t="s">
        <v>65</v>
      </c>
      <c r="N2726" s="12" t="s">
        <v>20</v>
      </c>
      <c r="O2726" s="12" t="s">
        <v>192</v>
      </c>
      <c r="P2726" s="12" t="s">
        <v>123</v>
      </c>
      <c r="Q2726" s="7" t="str">
        <f t="shared" si="127"/>
        <v>(2009,21,'2009.05.23',1,13,33,46,54,0),</v>
      </c>
      <c r="R2726" s="7" t="str">
        <f t="shared" si="129"/>
        <v>(2009,21,'2009.05.23',1,13,33,46,54),</v>
      </c>
    </row>
    <row r="2727" spans="1:18" x14ac:dyDescent="0.25">
      <c r="A2727" s="7" t="s">
        <v>1648</v>
      </c>
      <c r="B2727" s="8" t="s">
        <v>32</v>
      </c>
      <c r="C2727" s="10">
        <f t="shared" si="128"/>
        <v>39963</v>
      </c>
      <c r="D2727" t="s">
        <v>11</v>
      </c>
      <c r="E2727" t="s">
        <v>12</v>
      </c>
      <c r="F2727" t="s">
        <v>32</v>
      </c>
      <c r="G2727" t="s">
        <v>3129</v>
      </c>
      <c r="H2727" t="s">
        <v>2375</v>
      </c>
      <c r="I2727" t="s">
        <v>3130</v>
      </c>
      <c r="J2727" t="s">
        <v>3131</v>
      </c>
      <c r="K2727" t="s">
        <v>1277</v>
      </c>
      <c r="L2727" s="12" t="s">
        <v>152</v>
      </c>
      <c r="M2727" s="12" t="s">
        <v>233</v>
      </c>
      <c r="N2727" s="12" t="s">
        <v>73</v>
      </c>
      <c r="O2727" s="12" t="s">
        <v>143</v>
      </c>
      <c r="P2727" s="12" t="s">
        <v>186</v>
      </c>
      <c r="Q2727" s="7" t="str">
        <f t="shared" si="127"/>
        <v>(2009,22,'2009.05.30',25,66,76,77,90,0),</v>
      </c>
      <c r="R2727" s="7" t="str">
        <f t="shared" si="129"/>
        <v>(2009,22,'2009.05.30',25,66,76,77,90),</v>
      </c>
    </row>
    <row r="2728" spans="1:18" x14ac:dyDescent="0.25">
      <c r="A2728" s="7" t="s">
        <v>1648</v>
      </c>
      <c r="B2728" s="8" t="s">
        <v>163</v>
      </c>
      <c r="C2728" s="10">
        <f t="shared" si="128"/>
        <v>39970</v>
      </c>
      <c r="D2728" t="s">
        <v>11</v>
      </c>
      <c r="E2728" t="s">
        <v>12</v>
      </c>
      <c r="F2728" t="s">
        <v>43</v>
      </c>
      <c r="G2728" t="s">
        <v>3125</v>
      </c>
      <c r="H2728" t="s">
        <v>3126</v>
      </c>
      <c r="I2728" t="s">
        <v>3127</v>
      </c>
      <c r="J2728" t="s">
        <v>3128</v>
      </c>
      <c r="K2728" t="s">
        <v>1003</v>
      </c>
      <c r="L2728" s="12" t="s">
        <v>71</v>
      </c>
      <c r="M2728" s="12" t="s">
        <v>46</v>
      </c>
      <c r="N2728" s="12" t="s">
        <v>233</v>
      </c>
      <c r="O2728" s="12" t="s">
        <v>239</v>
      </c>
      <c r="P2728" s="12" t="s">
        <v>143</v>
      </c>
      <c r="Q2728" s="7" t="str">
        <f t="shared" si="127"/>
        <v>(2009,23,'2009.06.06',31,37,66,73,77,0),</v>
      </c>
      <c r="R2728" s="7" t="str">
        <f t="shared" si="129"/>
        <v>(2009,23,'2009.06.06',31,37,66,73,77),</v>
      </c>
    </row>
    <row r="2729" spans="1:18" x14ac:dyDescent="0.25">
      <c r="A2729" s="7" t="s">
        <v>1648</v>
      </c>
      <c r="B2729" s="8" t="s">
        <v>33</v>
      </c>
      <c r="C2729" s="10">
        <f t="shared" si="128"/>
        <v>39977</v>
      </c>
      <c r="D2729" t="s">
        <v>11</v>
      </c>
      <c r="E2729" t="s">
        <v>12</v>
      </c>
      <c r="F2729" t="s">
        <v>72</v>
      </c>
      <c r="G2729" t="s">
        <v>3121</v>
      </c>
      <c r="H2729" t="s">
        <v>3122</v>
      </c>
      <c r="I2729" t="s">
        <v>3123</v>
      </c>
      <c r="J2729" t="s">
        <v>3124</v>
      </c>
      <c r="K2729" t="s">
        <v>2848</v>
      </c>
      <c r="L2729" s="12" t="s">
        <v>108</v>
      </c>
      <c r="M2729" s="12" t="s">
        <v>53</v>
      </c>
      <c r="N2729" s="12" t="s">
        <v>90</v>
      </c>
      <c r="O2729" s="12" t="s">
        <v>10</v>
      </c>
      <c r="P2729" s="12" t="s">
        <v>215</v>
      </c>
      <c r="Q2729" s="7" t="str">
        <f t="shared" si="127"/>
        <v>(2009,24,'2009.06.13',1,7,17,40,81,0),</v>
      </c>
      <c r="R2729" s="7" t="str">
        <f t="shared" si="129"/>
        <v>(2009,24,'2009.06.13',1,7,17,40,81),</v>
      </c>
    </row>
    <row r="2730" spans="1:18" x14ac:dyDescent="0.25">
      <c r="A2730" s="7" t="s">
        <v>1648</v>
      </c>
      <c r="B2730" s="8" t="s">
        <v>152</v>
      </c>
      <c r="C2730" s="10">
        <f t="shared" si="128"/>
        <v>39984</v>
      </c>
      <c r="D2730" t="s">
        <v>11</v>
      </c>
      <c r="E2730" t="s">
        <v>12</v>
      </c>
      <c r="F2730" t="s">
        <v>32</v>
      </c>
      <c r="G2730" t="s">
        <v>3117</v>
      </c>
      <c r="H2730" t="s">
        <v>3118</v>
      </c>
      <c r="I2730" t="s">
        <v>3119</v>
      </c>
      <c r="J2730" t="s">
        <v>3120</v>
      </c>
      <c r="K2730" t="s">
        <v>1476</v>
      </c>
      <c r="L2730" s="12" t="s">
        <v>42</v>
      </c>
      <c r="M2730" s="12" t="s">
        <v>168</v>
      </c>
      <c r="N2730" s="12" t="s">
        <v>80</v>
      </c>
      <c r="O2730" s="12" t="s">
        <v>125</v>
      </c>
      <c r="P2730" s="12" t="s">
        <v>186</v>
      </c>
      <c r="Q2730" s="7" t="str">
        <f t="shared" si="127"/>
        <v>(2009,25,'2009.06.20',3,4,32,83,90,0),</v>
      </c>
      <c r="R2730" s="7" t="str">
        <f t="shared" si="129"/>
        <v>(2009,25,'2009.06.20',3,4,32,83,90),</v>
      </c>
    </row>
    <row r="2731" spans="1:18" x14ac:dyDescent="0.25">
      <c r="A2731" s="7" t="s">
        <v>1648</v>
      </c>
      <c r="B2731" s="8" t="s">
        <v>74</v>
      </c>
      <c r="C2731" s="10">
        <f t="shared" si="128"/>
        <v>39991</v>
      </c>
      <c r="D2731" t="s">
        <v>11</v>
      </c>
      <c r="E2731" t="s">
        <v>12</v>
      </c>
      <c r="F2731" t="s">
        <v>125</v>
      </c>
      <c r="G2731" t="s">
        <v>3112</v>
      </c>
      <c r="H2731" t="s">
        <v>3113</v>
      </c>
      <c r="I2731" t="s">
        <v>3114</v>
      </c>
      <c r="J2731" t="s">
        <v>3115</v>
      </c>
      <c r="K2731" t="s">
        <v>3116</v>
      </c>
      <c r="L2731" s="12" t="s">
        <v>168</v>
      </c>
      <c r="M2731" s="12" t="s">
        <v>198</v>
      </c>
      <c r="N2731" s="12" t="s">
        <v>65</v>
      </c>
      <c r="O2731" s="12" t="s">
        <v>80</v>
      </c>
      <c r="P2731" s="12" t="s">
        <v>200</v>
      </c>
      <c r="Q2731" s="7" t="str">
        <f t="shared" si="127"/>
        <v>(2009,26,'2009.06.27',4,9,13,32,70,0),</v>
      </c>
      <c r="R2731" s="7" t="str">
        <f t="shared" si="129"/>
        <v>(2009,26,'2009.06.27',4,9,13,32,70),</v>
      </c>
    </row>
    <row r="2732" spans="1:18" x14ac:dyDescent="0.25">
      <c r="A2732" s="7" t="s">
        <v>1648</v>
      </c>
      <c r="B2732" s="8" t="s">
        <v>135</v>
      </c>
      <c r="C2732" s="10">
        <f t="shared" si="128"/>
        <v>39998</v>
      </c>
      <c r="D2732" t="s">
        <v>11</v>
      </c>
      <c r="E2732" t="s">
        <v>12</v>
      </c>
      <c r="F2732" t="s">
        <v>44</v>
      </c>
      <c r="G2732" t="s">
        <v>3108</v>
      </c>
      <c r="H2732" t="s">
        <v>3109</v>
      </c>
      <c r="I2732" t="s">
        <v>3110</v>
      </c>
      <c r="J2732" t="s">
        <v>3111</v>
      </c>
      <c r="K2732" t="s">
        <v>1021</v>
      </c>
      <c r="L2732" s="12" t="s">
        <v>207</v>
      </c>
      <c r="M2732" s="12" t="s">
        <v>123</v>
      </c>
      <c r="N2732" s="12" t="s">
        <v>233</v>
      </c>
      <c r="O2732" s="12" t="s">
        <v>63</v>
      </c>
      <c r="P2732" s="12" t="s">
        <v>215</v>
      </c>
      <c r="Q2732" s="7" t="str">
        <f t="shared" si="127"/>
        <v>(2009,27,'2009.07.04',2,54,66,78,81,0),</v>
      </c>
      <c r="R2732" s="7" t="str">
        <f t="shared" si="129"/>
        <v>(2009,27,'2009.07.04',2,54,66,78,81),</v>
      </c>
    </row>
    <row r="2733" spans="1:18" x14ac:dyDescent="0.25">
      <c r="A2733" s="7" t="s">
        <v>1648</v>
      </c>
      <c r="B2733" s="8" t="s">
        <v>126</v>
      </c>
      <c r="C2733" s="10">
        <f t="shared" si="128"/>
        <v>40005</v>
      </c>
      <c r="D2733" t="s">
        <v>11</v>
      </c>
      <c r="E2733" t="s">
        <v>12</v>
      </c>
      <c r="F2733" t="s">
        <v>24</v>
      </c>
      <c r="G2733" t="s">
        <v>3105</v>
      </c>
      <c r="H2733" t="s">
        <v>2775</v>
      </c>
      <c r="I2733" t="s">
        <v>3106</v>
      </c>
      <c r="J2733" t="s">
        <v>3107</v>
      </c>
      <c r="K2733" t="s">
        <v>2365</v>
      </c>
      <c r="L2733" s="12" t="s">
        <v>168</v>
      </c>
      <c r="M2733" s="12" t="s">
        <v>126</v>
      </c>
      <c r="N2733" s="12" t="s">
        <v>169</v>
      </c>
      <c r="O2733" s="12" t="s">
        <v>82</v>
      </c>
      <c r="P2733" s="12" t="s">
        <v>468</v>
      </c>
      <c r="Q2733" s="7" t="str">
        <f t="shared" si="127"/>
        <v>(2009,28,'2009.07.11',4,28,58,59,85,0),</v>
      </c>
      <c r="R2733" s="7" t="str">
        <f t="shared" si="129"/>
        <v>(2009,28,'2009.07.11',4,28,58,59,85),</v>
      </c>
    </row>
    <row r="2734" spans="1:18" x14ac:dyDescent="0.25">
      <c r="A2734" s="7" t="s">
        <v>1648</v>
      </c>
      <c r="B2734" s="8" t="s">
        <v>116</v>
      </c>
      <c r="C2734" s="10">
        <f t="shared" si="128"/>
        <v>40012</v>
      </c>
      <c r="D2734" t="s">
        <v>11</v>
      </c>
      <c r="E2734" t="s">
        <v>12</v>
      </c>
      <c r="F2734" t="s">
        <v>192</v>
      </c>
      <c r="G2734" t="s">
        <v>3101</v>
      </c>
      <c r="H2734" t="s">
        <v>3102</v>
      </c>
      <c r="I2734" t="s">
        <v>3103</v>
      </c>
      <c r="J2734" t="s">
        <v>3104</v>
      </c>
      <c r="K2734" t="s">
        <v>1526</v>
      </c>
      <c r="L2734" s="12" t="s">
        <v>108</v>
      </c>
      <c r="M2734" s="12" t="s">
        <v>270</v>
      </c>
      <c r="N2734" s="12" t="s">
        <v>115</v>
      </c>
      <c r="O2734" s="12" t="s">
        <v>20</v>
      </c>
      <c r="P2734" s="12" t="s">
        <v>36</v>
      </c>
      <c r="Q2734" s="7" t="str">
        <f t="shared" si="127"/>
        <v>(2009,29,'2009.07.18',1,6,20,33,38,0),</v>
      </c>
      <c r="R2734" s="7" t="str">
        <f t="shared" si="129"/>
        <v>(2009,29,'2009.07.18',1,6,20,33,38),</v>
      </c>
    </row>
    <row r="2735" spans="1:18" x14ac:dyDescent="0.25">
      <c r="A2735" s="7" t="s">
        <v>1648</v>
      </c>
      <c r="B2735" s="8" t="s">
        <v>107</v>
      </c>
      <c r="C2735" s="10">
        <f t="shared" si="128"/>
        <v>40019</v>
      </c>
      <c r="D2735" t="s">
        <v>11</v>
      </c>
      <c r="E2735" t="s">
        <v>12</v>
      </c>
      <c r="F2735" t="s">
        <v>81</v>
      </c>
      <c r="G2735" t="s">
        <v>3098</v>
      </c>
      <c r="H2735" t="s">
        <v>3099</v>
      </c>
      <c r="I2735" t="s">
        <v>1032</v>
      </c>
      <c r="J2735" t="s">
        <v>3100</v>
      </c>
      <c r="K2735" t="s">
        <v>2791</v>
      </c>
      <c r="L2735" s="12" t="s">
        <v>152</v>
      </c>
      <c r="M2735" s="12" t="s">
        <v>116</v>
      </c>
      <c r="N2735" s="12" t="s">
        <v>22</v>
      </c>
      <c r="O2735" s="12" t="s">
        <v>233</v>
      </c>
      <c r="P2735" s="12" t="s">
        <v>379</v>
      </c>
      <c r="Q2735" s="7" t="str">
        <f t="shared" si="127"/>
        <v>(2009,30,'2009.07.25',25,29,48,66,89,0),</v>
      </c>
      <c r="R2735" s="7" t="str">
        <f t="shared" si="129"/>
        <v>(2009,30,'2009.07.25',25,29,48,66,89),</v>
      </c>
    </row>
    <row r="2736" spans="1:18" x14ac:dyDescent="0.25">
      <c r="A2736" s="7" t="s">
        <v>1648</v>
      </c>
      <c r="B2736" s="8" t="s">
        <v>71</v>
      </c>
      <c r="C2736" s="10">
        <f t="shared" si="128"/>
        <v>40026</v>
      </c>
      <c r="D2736" t="s">
        <v>11</v>
      </c>
      <c r="E2736" t="s">
        <v>12</v>
      </c>
      <c r="F2736" t="s">
        <v>3093</v>
      </c>
      <c r="G2736" t="s">
        <v>3094</v>
      </c>
      <c r="H2736" t="s">
        <v>3095</v>
      </c>
      <c r="I2736" t="s">
        <v>3096</v>
      </c>
      <c r="J2736" t="s">
        <v>3097</v>
      </c>
      <c r="K2736" t="s">
        <v>2973</v>
      </c>
      <c r="L2736" s="12" t="s">
        <v>54</v>
      </c>
      <c r="M2736" s="12" t="s">
        <v>163</v>
      </c>
      <c r="N2736" s="12" t="s">
        <v>13</v>
      </c>
      <c r="O2736" s="12" t="s">
        <v>72</v>
      </c>
      <c r="P2736" s="12" t="s">
        <v>239</v>
      </c>
      <c r="Q2736" s="7" t="str">
        <f t="shared" si="127"/>
        <v>(2009,31,'2009.08.01',15,23,41,67,73,0),</v>
      </c>
      <c r="R2736" s="7" t="str">
        <f t="shared" si="129"/>
        <v>(2009,31,'2009.08.01',15,23,41,67,73),</v>
      </c>
    </row>
    <row r="2737" spans="1:18" x14ac:dyDescent="0.25">
      <c r="A2737" s="7" t="s">
        <v>1648</v>
      </c>
      <c r="B2737" s="8" t="s">
        <v>80</v>
      </c>
      <c r="C2737" s="10">
        <f t="shared" si="128"/>
        <v>40033</v>
      </c>
      <c r="D2737" t="s">
        <v>11</v>
      </c>
      <c r="E2737" t="s">
        <v>12</v>
      </c>
      <c r="F2737" t="s">
        <v>150</v>
      </c>
      <c r="G2737" t="s">
        <v>3088</v>
      </c>
      <c r="H2737" t="s">
        <v>3089</v>
      </c>
      <c r="I2737" t="s">
        <v>3090</v>
      </c>
      <c r="J2737" t="s">
        <v>3091</v>
      </c>
      <c r="K2737" t="s">
        <v>3092</v>
      </c>
      <c r="L2737" s="12" t="s">
        <v>108</v>
      </c>
      <c r="M2737" s="12" t="s">
        <v>207</v>
      </c>
      <c r="N2737" s="12" t="s">
        <v>43</v>
      </c>
      <c r="O2737" s="12" t="s">
        <v>122</v>
      </c>
      <c r="P2737" s="12" t="s">
        <v>186</v>
      </c>
      <c r="Q2737" s="7" t="str">
        <f t="shared" si="127"/>
        <v>(2009,32,'2009.08.08',1,2,16,51,90,0),</v>
      </c>
      <c r="R2737" s="7" t="str">
        <f t="shared" si="129"/>
        <v>(2009,32,'2009.08.08',1,2,16,51,90),</v>
      </c>
    </row>
    <row r="2738" spans="1:18" x14ac:dyDescent="0.25">
      <c r="A2738" s="7" t="s">
        <v>1648</v>
      </c>
      <c r="B2738" s="8" t="s">
        <v>20</v>
      </c>
      <c r="C2738" s="10">
        <f t="shared" si="128"/>
        <v>40040</v>
      </c>
      <c r="D2738" t="s">
        <v>11</v>
      </c>
      <c r="E2738" t="s">
        <v>12</v>
      </c>
      <c r="F2738" t="s">
        <v>74</v>
      </c>
      <c r="G2738" t="s">
        <v>3084</v>
      </c>
      <c r="H2738" t="s">
        <v>3085</v>
      </c>
      <c r="I2738" t="s">
        <v>3086</v>
      </c>
      <c r="J2738" t="s">
        <v>3087</v>
      </c>
      <c r="K2738" t="s">
        <v>1998</v>
      </c>
      <c r="L2738" s="12" t="s">
        <v>168</v>
      </c>
      <c r="M2738" s="12" t="s">
        <v>45</v>
      </c>
      <c r="N2738" s="12" t="s">
        <v>91</v>
      </c>
      <c r="O2738" s="12" t="s">
        <v>143</v>
      </c>
      <c r="P2738" s="12" t="s">
        <v>301</v>
      </c>
      <c r="Q2738" s="7" t="str">
        <f t="shared" si="127"/>
        <v>(2009,33,'2009.08.15',4,43,61,77,80,0),</v>
      </c>
      <c r="R2738" s="7" t="str">
        <f t="shared" si="129"/>
        <v>(2009,33,'2009.08.15',4,43,61,77,80),</v>
      </c>
    </row>
    <row r="2739" spans="1:18" x14ac:dyDescent="0.25">
      <c r="A2739" s="7" t="s">
        <v>1648</v>
      </c>
      <c r="B2739" s="8" t="s">
        <v>25</v>
      </c>
      <c r="C2739" s="10">
        <f t="shared" si="128"/>
        <v>40047</v>
      </c>
      <c r="D2739" t="s">
        <v>11</v>
      </c>
      <c r="E2739" t="s">
        <v>12</v>
      </c>
      <c r="F2739" t="s">
        <v>34</v>
      </c>
      <c r="G2739" t="s">
        <v>3080</v>
      </c>
      <c r="H2739" t="s">
        <v>3081</v>
      </c>
      <c r="I2739" t="s">
        <v>3082</v>
      </c>
      <c r="J2739" t="s">
        <v>3083</v>
      </c>
      <c r="K2739" t="s">
        <v>2973</v>
      </c>
      <c r="L2739" s="12" t="s">
        <v>83</v>
      </c>
      <c r="M2739" s="12" t="s">
        <v>25</v>
      </c>
      <c r="N2739" s="12" t="s">
        <v>13</v>
      </c>
      <c r="O2739" s="12" t="s">
        <v>134</v>
      </c>
      <c r="P2739" s="12" t="s">
        <v>47</v>
      </c>
      <c r="Q2739" s="7" t="str">
        <f t="shared" si="127"/>
        <v>(2009,34,'2009.08.22',11,34,41,56,69,0),</v>
      </c>
      <c r="R2739" s="7" t="str">
        <f t="shared" si="129"/>
        <v>(2009,34,'2009.08.22',11,34,41,56,69),</v>
      </c>
    </row>
    <row r="2740" spans="1:18" x14ac:dyDescent="0.25">
      <c r="A2740" s="7" t="s">
        <v>1648</v>
      </c>
      <c r="B2740" s="8" t="s">
        <v>64</v>
      </c>
      <c r="C2740" s="10">
        <f t="shared" si="128"/>
        <v>40054</v>
      </c>
      <c r="D2740" t="s">
        <v>11</v>
      </c>
      <c r="E2740" t="s">
        <v>12</v>
      </c>
      <c r="F2740" t="s">
        <v>2559</v>
      </c>
      <c r="G2740" t="s">
        <v>3075</v>
      </c>
      <c r="H2740" t="s">
        <v>3076</v>
      </c>
      <c r="I2740" t="s">
        <v>3077</v>
      </c>
      <c r="J2740" t="s">
        <v>3078</v>
      </c>
      <c r="K2740" t="s">
        <v>3079</v>
      </c>
      <c r="L2740" s="12" t="s">
        <v>198</v>
      </c>
      <c r="M2740" s="12" t="s">
        <v>31</v>
      </c>
      <c r="N2740" s="12" t="s">
        <v>64</v>
      </c>
      <c r="O2740" s="12" t="s">
        <v>134</v>
      </c>
      <c r="P2740" s="12" t="s">
        <v>169</v>
      </c>
      <c r="Q2740" s="7" t="str">
        <f t="shared" si="127"/>
        <v>(2009,35,'2009.08.29',9,12,35,56,58,0),</v>
      </c>
      <c r="R2740" s="7" t="str">
        <f t="shared" si="129"/>
        <v>(2009,35,'2009.08.29',9,12,35,56,58),</v>
      </c>
    </row>
    <row r="2741" spans="1:18" x14ac:dyDescent="0.25">
      <c r="A2741" s="7" t="s">
        <v>1648</v>
      </c>
      <c r="B2741" s="8" t="s">
        <v>21</v>
      </c>
      <c r="C2741" s="10">
        <f t="shared" si="128"/>
        <v>40061</v>
      </c>
      <c r="D2741" t="s">
        <v>11</v>
      </c>
      <c r="E2741" t="s">
        <v>12</v>
      </c>
      <c r="F2741" t="s">
        <v>468</v>
      </c>
      <c r="G2741" t="s">
        <v>3070</v>
      </c>
      <c r="H2741" t="s">
        <v>3071</v>
      </c>
      <c r="I2741" t="s">
        <v>3072</v>
      </c>
      <c r="J2741" t="s">
        <v>3073</v>
      </c>
      <c r="K2741" t="s">
        <v>3074</v>
      </c>
      <c r="L2741" s="12" t="s">
        <v>198</v>
      </c>
      <c r="M2741" s="12" t="s">
        <v>127</v>
      </c>
      <c r="N2741" s="12" t="s">
        <v>54</v>
      </c>
      <c r="O2741" s="12" t="s">
        <v>74</v>
      </c>
      <c r="P2741" s="12" t="s">
        <v>133</v>
      </c>
      <c r="Q2741" s="7" t="str">
        <f t="shared" si="127"/>
        <v>(2009,36,'2009.09.05',9,14,15,26,45,0),</v>
      </c>
      <c r="R2741" s="7" t="str">
        <f t="shared" si="129"/>
        <v>(2009,36,'2009.09.05',9,14,15,26,45),</v>
      </c>
    </row>
    <row r="2742" spans="1:18" x14ac:dyDescent="0.25">
      <c r="A2742" s="7" t="s">
        <v>1648</v>
      </c>
      <c r="B2742" s="8" t="s">
        <v>46</v>
      </c>
      <c r="C2742" s="10">
        <f t="shared" si="128"/>
        <v>40068</v>
      </c>
      <c r="D2742" t="s">
        <v>11</v>
      </c>
      <c r="E2742" t="s">
        <v>12</v>
      </c>
      <c r="F2742" t="s">
        <v>3065</v>
      </c>
      <c r="G2742" t="s">
        <v>3066</v>
      </c>
      <c r="H2742" t="s">
        <v>3067</v>
      </c>
      <c r="I2742" t="s">
        <v>2945</v>
      </c>
      <c r="J2742" t="s">
        <v>3068</v>
      </c>
      <c r="K2742" t="s">
        <v>3069</v>
      </c>
      <c r="L2742" s="12" t="s">
        <v>108</v>
      </c>
      <c r="M2742" s="12" t="s">
        <v>83</v>
      </c>
      <c r="N2742" s="12" t="s">
        <v>44</v>
      </c>
      <c r="O2742" s="12" t="s">
        <v>116</v>
      </c>
      <c r="P2742" s="12" t="s">
        <v>215</v>
      </c>
      <c r="Q2742" s="7" t="str">
        <f t="shared" si="127"/>
        <v>(2009,37,'2009.09.12',1,11,21,29,81,0),</v>
      </c>
      <c r="R2742" s="7" t="str">
        <f t="shared" si="129"/>
        <v>(2009,37,'2009.09.12',1,11,21,29,81),</v>
      </c>
    </row>
    <row r="2743" spans="1:18" x14ac:dyDescent="0.25">
      <c r="A2743" s="7" t="s">
        <v>1648</v>
      </c>
      <c r="B2743" s="8" t="s">
        <v>36</v>
      </c>
      <c r="C2743" s="10">
        <f t="shared" si="128"/>
        <v>40075</v>
      </c>
      <c r="D2743" t="s">
        <v>11</v>
      </c>
      <c r="E2743" t="s">
        <v>12</v>
      </c>
      <c r="F2743" t="s">
        <v>124</v>
      </c>
      <c r="G2743" t="s">
        <v>3061</v>
      </c>
      <c r="H2743" t="s">
        <v>3062</v>
      </c>
      <c r="I2743" t="s">
        <v>3063</v>
      </c>
      <c r="J2743" t="s">
        <v>3064</v>
      </c>
      <c r="K2743" t="s">
        <v>1767</v>
      </c>
      <c r="L2743" s="12" t="s">
        <v>198</v>
      </c>
      <c r="M2743" s="12" t="s">
        <v>43</v>
      </c>
      <c r="N2743" s="12" t="s">
        <v>74</v>
      </c>
      <c r="O2743" s="12" t="s">
        <v>239</v>
      </c>
      <c r="P2743" s="12" t="s">
        <v>106</v>
      </c>
      <c r="Q2743" s="7" t="str">
        <f t="shared" si="127"/>
        <v>(2009,38,'2009.09.19',9,16,26,73,75,0),</v>
      </c>
      <c r="R2743" s="7" t="str">
        <f t="shared" si="129"/>
        <v>(2009,38,'2009.09.19',9,16,26,73,75),</v>
      </c>
    </row>
    <row r="2744" spans="1:18" x14ac:dyDescent="0.25">
      <c r="A2744" s="7" t="s">
        <v>1648</v>
      </c>
      <c r="B2744" s="8" t="s">
        <v>24</v>
      </c>
      <c r="C2744" s="10">
        <f t="shared" si="128"/>
        <v>40082</v>
      </c>
      <c r="D2744" t="s">
        <v>11</v>
      </c>
      <c r="E2744" t="s">
        <v>12</v>
      </c>
      <c r="F2744" t="s">
        <v>269</v>
      </c>
      <c r="G2744" t="s">
        <v>3057</v>
      </c>
      <c r="H2744" t="s">
        <v>3058</v>
      </c>
      <c r="I2744" t="s">
        <v>3059</v>
      </c>
      <c r="J2744" t="s">
        <v>3060</v>
      </c>
      <c r="K2744" t="s">
        <v>1526</v>
      </c>
      <c r="L2744" s="12" t="s">
        <v>43</v>
      </c>
      <c r="M2744" s="12" t="s">
        <v>33</v>
      </c>
      <c r="N2744" s="12" t="s">
        <v>20</v>
      </c>
      <c r="O2744" s="12" t="s">
        <v>123</v>
      </c>
      <c r="P2744" s="12" t="s">
        <v>246</v>
      </c>
      <c r="Q2744" s="7" t="str">
        <f t="shared" si="127"/>
        <v>(2009,39,'2009.09.26',16,24,33,54,84,0),</v>
      </c>
      <c r="R2744" s="7" t="str">
        <f t="shared" si="129"/>
        <v>(2009,39,'2009.09.26',16,24,33,54,84),</v>
      </c>
    </row>
    <row r="2745" spans="1:18" x14ac:dyDescent="0.25">
      <c r="A2745" s="7" t="s">
        <v>1648</v>
      </c>
      <c r="B2745" s="8" t="s">
        <v>10</v>
      </c>
      <c r="C2745" s="10">
        <f t="shared" si="128"/>
        <v>40089</v>
      </c>
      <c r="D2745" t="s">
        <v>11</v>
      </c>
      <c r="E2745" t="s">
        <v>12</v>
      </c>
      <c r="F2745" t="s">
        <v>91</v>
      </c>
      <c r="G2745" t="s">
        <v>3053</v>
      </c>
      <c r="H2745" t="s">
        <v>3054</v>
      </c>
      <c r="I2745" t="s">
        <v>3055</v>
      </c>
      <c r="J2745" t="s">
        <v>3056</v>
      </c>
      <c r="K2745" t="s">
        <v>1898</v>
      </c>
      <c r="L2745" s="12" t="s">
        <v>108</v>
      </c>
      <c r="M2745" s="12" t="s">
        <v>270</v>
      </c>
      <c r="N2745" s="12" t="s">
        <v>232</v>
      </c>
      <c r="O2745" s="12" t="s">
        <v>82</v>
      </c>
      <c r="P2745" s="12" t="s">
        <v>56</v>
      </c>
      <c r="Q2745" s="7" t="str">
        <f t="shared" si="127"/>
        <v>(2009,40,'2009.10.03',1,6,8,59,71,0),</v>
      </c>
      <c r="R2745" s="7" t="str">
        <f t="shared" si="129"/>
        <v>(2009,40,'2009.10.03',1,6,8,59,71),</v>
      </c>
    </row>
    <row r="2746" spans="1:18" x14ac:dyDescent="0.25">
      <c r="A2746" s="7" t="s">
        <v>1648</v>
      </c>
      <c r="B2746" s="8" t="s">
        <v>13</v>
      </c>
      <c r="C2746" s="10">
        <f t="shared" si="128"/>
        <v>40096</v>
      </c>
      <c r="D2746" t="s">
        <v>108</v>
      </c>
      <c r="E2746" t="s">
        <v>3048</v>
      </c>
      <c r="F2746" t="s">
        <v>150</v>
      </c>
      <c r="G2746" t="s">
        <v>3049</v>
      </c>
      <c r="H2746" t="s">
        <v>3050</v>
      </c>
      <c r="I2746" t="s">
        <v>3051</v>
      </c>
      <c r="J2746" t="s">
        <v>3052</v>
      </c>
      <c r="K2746" t="s">
        <v>1095</v>
      </c>
      <c r="L2746" s="12" t="s">
        <v>54</v>
      </c>
      <c r="M2746" s="12" t="s">
        <v>126</v>
      </c>
      <c r="N2746" s="12" t="s">
        <v>122</v>
      </c>
      <c r="O2746" s="12" t="s">
        <v>99</v>
      </c>
      <c r="P2746" s="12" t="s">
        <v>239</v>
      </c>
      <c r="Q2746" s="7" t="str">
        <f t="shared" si="127"/>
        <v>(2009,41,'2009.10.10',15,28,51,52,73,0),</v>
      </c>
      <c r="R2746" s="7" t="str">
        <f t="shared" si="129"/>
        <v>(2009,41,'2009.10.10',15,28,51,52,73),</v>
      </c>
    </row>
    <row r="2747" spans="1:18" x14ac:dyDescent="0.25">
      <c r="A2747" s="7" t="s">
        <v>1648</v>
      </c>
      <c r="B2747" s="8" t="s">
        <v>98</v>
      </c>
      <c r="C2747" s="10">
        <f t="shared" si="128"/>
        <v>40103</v>
      </c>
      <c r="D2747" t="s">
        <v>108</v>
      </c>
      <c r="E2747" t="s">
        <v>3042</v>
      </c>
      <c r="F2747" t="s">
        <v>22</v>
      </c>
      <c r="G2747" t="s">
        <v>3043</v>
      </c>
      <c r="H2747" t="s">
        <v>3044</v>
      </c>
      <c r="I2747" t="s">
        <v>3045</v>
      </c>
      <c r="J2747" t="s">
        <v>3046</v>
      </c>
      <c r="K2747" t="s">
        <v>3047</v>
      </c>
      <c r="L2747" s="12" t="s">
        <v>168</v>
      </c>
      <c r="M2747" s="12" t="s">
        <v>135</v>
      </c>
      <c r="N2747" s="12" t="s">
        <v>116</v>
      </c>
      <c r="O2747" s="12" t="s">
        <v>124</v>
      </c>
      <c r="P2747" s="12" t="s">
        <v>201</v>
      </c>
      <c r="Q2747" s="7" t="str">
        <f t="shared" si="127"/>
        <v>(2009,42,'2009.10.17',4,27,29,62,72,0),</v>
      </c>
      <c r="R2747" s="7" t="str">
        <f t="shared" si="129"/>
        <v>(2009,42,'2009.10.17',4,27,29,62,72),</v>
      </c>
    </row>
    <row r="2748" spans="1:18" x14ac:dyDescent="0.25">
      <c r="A2748" s="7" t="s">
        <v>1648</v>
      </c>
      <c r="B2748" s="8" t="s">
        <v>45</v>
      </c>
      <c r="C2748" s="10">
        <f t="shared" si="128"/>
        <v>40110</v>
      </c>
      <c r="D2748" t="s">
        <v>11</v>
      </c>
      <c r="E2748" t="s">
        <v>12</v>
      </c>
      <c r="F2748" t="s">
        <v>98</v>
      </c>
      <c r="G2748" t="s">
        <v>3038</v>
      </c>
      <c r="H2748" t="s">
        <v>3039</v>
      </c>
      <c r="I2748" t="s">
        <v>391</v>
      </c>
      <c r="J2748" t="s">
        <v>3040</v>
      </c>
      <c r="K2748" t="s">
        <v>3041</v>
      </c>
      <c r="L2748" s="12" t="s">
        <v>19</v>
      </c>
      <c r="M2748" s="12" t="s">
        <v>55</v>
      </c>
      <c r="N2748" s="12" t="s">
        <v>123</v>
      </c>
      <c r="O2748" s="12" t="s">
        <v>150</v>
      </c>
      <c r="P2748" s="12" t="s">
        <v>246</v>
      </c>
      <c r="Q2748" s="7" t="str">
        <f t="shared" si="127"/>
        <v>(2009,43,'2009.10.24',18,19,54,57,84,0),</v>
      </c>
      <c r="R2748" s="7" t="str">
        <f t="shared" si="129"/>
        <v>(2009,43,'2009.10.24',18,19,54,57,84),</v>
      </c>
    </row>
    <row r="2749" spans="1:18" x14ac:dyDescent="0.25">
      <c r="A2749" s="7" t="s">
        <v>1648</v>
      </c>
      <c r="B2749" s="8" t="s">
        <v>142</v>
      </c>
      <c r="C2749" s="10">
        <f t="shared" si="128"/>
        <v>40117</v>
      </c>
      <c r="D2749" t="s">
        <v>11</v>
      </c>
      <c r="E2749" t="s">
        <v>12</v>
      </c>
      <c r="F2749" t="s">
        <v>123</v>
      </c>
      <c r="G2749" t="s">
        <v>3034</v>
      </c>
      <c r="H2749" t="s">
        <v>3035</v>
      </c>
      <c r="I2749" t="s">
        <v>3036</v>
      </c>
      <c r="J2749" t="s">
        <v>3037</v>
      </c>
      <c r="K2749" t="s">
        <v>1898</v>
      </c>
      <c r="L2749" s="12" t="s">
        <v>89</v>
      </c>
      <c r="M2749" s="12" t="s">
        <v>64</v>
      </c>
      <c r="N2749" s="12" t="s">
        <v>81</v>
      </c>
      <c r="O2749" s="12" t="s">
        <v>233</v>
      </c>
      <c r="P2749" s="12" t="s">
        <v>63</v>
      </c>
      <c r="Q2749" s="7" t="str">
        <f t="shared" si="127"/>
        <v>(2009,44,'2009.10.31',5,35,47,66,78,0),</v>
      </c>
      <c r="R2749" s="7" t="str">
        <f t="shared" si="129"/>
        <v>(2009,44,'2009.10.31',5,35,47,66,78),</v>
      </c>
    </row>
    <row r="2750" spans="1:18" x14ac:dyDescent="0.25">
      <c r="A2750" s="7" t="s">
        <v>1648</v>
      </c>
      <c r="B2750" s="8" t="s">
        <v>133</v>
      </c>
      <c r="C2750" s="10">
        <f t="shared" si="128"/>
        <v>40124</v>
      </c>
      <c r="D2750" t="s">
        <v>11</v>
      </c>
      <c r="E2750" t="s">
        <v>12</v>
      </c>
      <c r="F2750" t="s">
        <v>21</v>
      </c>
      <c r="G2750" t="s">
        <v>3031</v>
      </c>
      <c r="H2750" t="s">
        <v>3032</v>
      </c>
      <c r="I2750" t="s">
        <v>112</v>
      </c>
      <c r="J2750" t="s">
        <v>3033</v>
      </c>
      <c r="K2750" t="s">
        <v>1841</v>
      </c>
      <c r="L2750" s="12" t="s">
        <v>270</v>
      </c>
      <c r="M2750" s="12" t="s">
        <v>80</v>
      </c>
      <c r="N2750" s="12" t="s">
        <v>150</v>
      </c>
      <c r="O2750" s="12" t="s">
        <v>233</v>
      </c>
      <c r="P2750" s="12" t="s">
        <v>143</v>
      </c>
      <c r="Q2750" s="7" t="str">
        <f t="shared" si="127"/>
        <v>(2009,45,'2009.11.07',6,32,57,66,77,0),</v>
      </c>
      <c r="R2750" s="7" t="str">
        <f t="shared" si="129"/>
        <v>(2009,45,'2009.11.07',6,32,57,66,77),</v>
      </c>
    </row>
    <row r="2751" spans="1:18" x14ac:dyDescent="0.25">
      <c r="A2751" s="7" t="s">
        <v>1648</v>
      </c>
      <c r="B2751" s="8" t="s">
        <v>192</v>
      </c>
      <c r="C2751" s="10">
        <f t="shared" si="128"/>
        <v>40131</v>
      </c>
      <c r="D2751" t="s">
        <v>108</v>
      </c>
      <c r="E2751" t="s">
        <v>3026</v>
      </c>
      <c r="F2751" t="s">
        <v>33</v>
      </c>
      <c r="G2751" t="s">
        <v>3027</v>
      </c>
      <c r="H2751" t="s">
        <v>3028</v>
      </c>
      <c r="I2751" t="s">
        <v>3029</v>
      </c>
      <c r="J2751" t="s">
        <v>3030</v>
      </c>
      <c r="K2751" t="s">
        <v>2728</v>
      </c>
      <c r="L2751" s="12" t="s">
        <v>175</v>
      </c>
      <c r="M2751" s="12" t="s">
        <v>91</v>
      </c>
      <c r="N2751" s="12" t="s">
        <v>248</v>
      </c>
      <c r="O2751" s="12" t="s">
        <v>308</v>
      </c>
      <c r="P2751" s="12" t="s">
        <v>186</v>
      </c>
      <c r="Q2751" s="7" t="str">
        <f t="shared" si="127"/>
        <v>(2009,46,'2009.11.14',55,61,63,86,90,0),</v>
      </c>
      <c r="R2751" s="7" t="str">
        <f t="shared" si="129"/>
        <v>(2009,46,'2009.11.14',55,61,63,86,90),</v>
      </c>
    </row>
    <row r="2752" spans="1:18" x14ac:dyDescent="0.25">
      <c r="A2752" s="7" t="s">
        <v>1648</v>
      </c>
      <c r="B2752" s="8" t="s">
        <v>81</v>
      </c>
      <c r="C2752" s="10">
        <f t="shared" si="128"/>
        <v>40138</v>
      </c>
      <c r="D2752" t="s">
        <v>11</v>
      </c>
      <c r="E2752" t="s">
        <v>12</v>
      </c>
      <c r="F2752" t="s">
        <v>198</v>
      </c>
      <c r="G2752" t="s">
        <v>3022</v>
      </c>
      <c r="H2752" t="s">
        <v>3023</v>
      </c>
      <c r="I2752" t="s">
        <v>3024</v>
      </c>
      <c r="J2752" t="s">
        <v>3025</v>
      </c>
      <c r="K2752" t="s">
        <v>589</v>
      </c>
      <c r="L2752" s="12" t="s">
        <v>23</v>
      </c>
      <c r="M2752" s="12" t="s">
        <v>239</v>
      </c>
      <c r="N2752" s="12" t="s">
        <v>106</v>
      </c>
      <c r="O2752" s="12" t="s">
        <v>622</v>
      </c>
      <c r="P2752" s="12" t="s">
        <v>308</v>
      </c>
      <c r="Q2752" s="7" t="str">
        <f t="shared" si="127"/>
        <v>(2009,47,'2009.11.21',60,73,75,82,86,0),</v>
      </c>
      <c r="R2752" s="7" t="str">
        <f t="shared" si="129"/>
        <v>(2009,47,'2009.11.21',60,73,75,82,86),</v>
      </c>
    </row>
    <row r="2753" spans="1:18" x14ac:dyDescent="0.25">
      <c r="A2753" s="7" t="s">
        <v>1648</v>
      </c>
      <c r="B2753" s="8" t="s">
        <v>22</v>
      </c>
      <c r="C2753" s="10">
        <f t="shared" si="128"/>
        <v>40145</v>
      </c>
      <c r="D2753" t="s">
        <v>42</v>
      </c>
      <c r="E2753" t="s">
        <v>3016</v>
      </c>
      <c r="F2753" t="s">
        <v>63</v>
      </c>
      <c r="G2753" t="s">
        <v>3017</v>
      </c>
      <c r="H2753" t="s">
        <v>3018</v>
      </c>
      <c r="I2753" t="s">
        <v>3019</v>
      </c>
      <c r="J2753" t="s">
        <v>3020</v>
      </c>
      <c r="K2753" t="s">
        <v>3021</v>
      </c>
      <c r="L2753" s="12" t="s">
        <v>54</v>
      </c>
      <c r="M2753" s="12" t="s">
        <v>55</v>
      </c>
      <c r="N2753" s="12" t="s">
        <v>133</v>
      </c>
      <c r="O2753" s="12" t="s">
        <v>248</v>
      </c>
      <c r="P2753" s="12" t="s">
        <v>92</v>
      </c>
      <c r="Q2753" s="7" t="str">
        <f t="shared" si="127"/>
        <v>(2009,48,'2009.11.28',15,19,45,63,68,0),</v>
      </c>
      <c r="R2753" s="7" t="str">
        <f t="shared" si="129"/>
        <v>(2009,48,'2009.11.28',15,19,45,63,68),</v>
      </c>
    </row>
    <row r="2754" spans="1:18" x14ac:dyDescent="0.25">
      <c r="A2754" s="7" t="s">
        <v>1648</v>
      </c>
      <c r="B2754" s="8" t="s">
        <v>34</v>
      </c>
      <c r="C2754" s="10">
        <f t="shared" si="128"/>
        <v>40152</v>
      </c>
      <c r="D2754" t="s">
        <v>11</v>
      </c>
      <c r="E2754" t="s">
        <v>12</v>
      </c>
      <c r="F2754" t="s">
        <v>43</v>
      </c>
      <c r="G2754" t="s">
        <v>3013</v>
      </c>
      <c r="H2754" t="s">
        <v>1301</v>
      </c>
      <c r="I2754" t="s">
        <v>3014</v>
      </c>
      <c r="J2754" t="s">
        <v>3015</v>
      </c>
      <c r="K2754" t="s">
        <v>1090</v>
      </c>
      <c r="L2754" s="12" t="s">
        <v>44</v>
      </c>
      <c r="M2754" s="12" t="s">
        <v>36</v>
      </c>
      <c r="N2754" s="12" t="s">
        <v>192</v>
      </c>
      <c r="O2754" s="12" t="s">
        <v>91</v>
      </c>
      <c r="P2754" s="12" t="s">
        <v>35</v>
      </c>
      <c r="Q2754" s="7" t="str">
        <f t="shared" ref="Q2754:Q2817" si="130">"("&amp;A2754&amp;","&amp;B2754&amp;",'"&amp;TEXT(C2754,"éééé.hh.nn")&amp;"',"&amp;L2754&amp;","&amp;M2754&amp;","&amp;N2754&amp;","&amp;O2754&amp;","&amp;P2754&amp;",0)"&amp;IF(P2755&lt;&gt;0,",","")</f>
        <v>(2009,49,'2009.12.05',21,38,46,61,65,0),</v>
      </c>
      <c r="R2754" s="7" t="str">
        <f t="shared" si="129"/>
        <v>(2009,49,'2009.12.05',21,38,46,61,65),</v>
      </c>
    </row>
    <row r="2755" spans="1:18" x14ac:dyDescent="0.25">
      <c r="A2755" s="7" t="s">
        <v>1648</v>
      </c>
      <c r="B2755" s="8" t="s">
        <v>105</v>
      </c>
      <c r="C2755" s="10">
        <f t="shared" ref="C2755:C2818" si="131">+C2754+7</f>
        <v>40159</v>
      </c>
      <c r="D2755" t="s">
        <v>108</v>
      </c>
      <c r="E2755" t="s">
        <v>3008</v>
      </c>
      <c r="F2755" t="s">
        <v>124</v>
      </c>
      <c r="G2755" t="s">
        <v>3009</v>
      </c>
      <c r="H2755" t="s">
        <v>3010</v>
      </c>
      <c r="I2755" t="s">
        <v>3011</v>
      </c>
      <c r="J2755" t="s">
        <v>3012</v>
      </c>
      <c r="K2755" t="s">
        <v>2004</v>
      </c>
      <c r="L2755" s="12" t="s">
        <v>42</v>
      </c>
      <c r="M2755" s="12" t="s">
        <v>152</v>
      </c>
      <c r="N2755" s="12" t="s">
        <v>22</v>
      </c>
      <c r="O2755" s="12" t="s">
        <v>175</v>
      </c>
      <c r="P2755" s="12" t="s">
        <v>301</v>
      </c>
      <c r="Q2755" s="7" t="str">
        <f t="shared" si="130"/>
        <v>(2009,50,'2009.12.12',3,25,48,55,80,0),</v>
      </c>
      <c r="R2755" s="7" t="str">
        <f t="shared" ref="R2755:R2818" si="132">IF(TRIM(P2755)="","","("&amp;A2755&amp;","&amp;B2755&amp;",'"&amp;TEXT(C2755,"éééé.hh.nn")&amp;"',"&amp;L2755&amp;","&amp;M2755&amp;","&amp;N2755&amp;","&amp;O2755&amp;","&amp;P2755&amp;")"&amp;IF(P2756=0,";",","))</f>
        <v>(2009,50,'2009.12.12',3,25,48,55,80),</v>
      </c>
    </row>
    <row r="2756" spans="1:18" x14ac:dyDescent="0.25">
      <c r="A2756" s="7" t="s">
        <v>1648</v>
      </c>
      <c r="B2756" s="8" t="s">
        <v>122</v>
      </c>
      <c r="C2756" s="10">
        <f t="shared" si="131"/>
        <v>40166</v>
      </c>
      <c r="D2756" t="s">
        <v>11</v>
      </c>
      <c r="E2756" t="s">
        <v>12</v>
      </c>
      <c r="F2756" t="s">
        <v>36</v>
      </c>
      <c r="G2756" t="s">
        <v>3005</v>
      </c>
      <c r="H2756" t="s">
        <v>3006</v>
      </c>
      <c r="I2756" t="s">
        <v>1001</v>
      </c>
      <c r="J2756" t="s">
        <v>3007</v>
      </c>
      <c r="K2756" t="s">
        <v>2067</v>
      </c>
      <c r="L2756" s="12" t="s">
        <v>270</v>
      </c>
      <c r="M2756" s="12" t="s">
        <v>126</v>
      </c>
      <c r="N2756" s="12" t="s">
        <v>20</v>
      </c>
      <c r="O2756" s="12" t="s">
        <v>13</v>
      </c>
      <c r="P2756" s="12" t="s">
        <v>133</v>
      </c>
      <c r="Q2756" s="7" t="str">
        <f t="shared" si="130"/>
        <v>(2009,51,'2009.12.19',6,28,33,41,45,0),</v>
      </c>
      <c r="R2756" s="7" t="str">
        <f t="shared" si="132"/>
        <v>(2009,51,'2009.12.19',6,28,33,41,45),</v>
      </c>
    </row>
    <row r="2757" spans="1:18" x14ac:dyDescent="0.25">
      <c r="A2757" s="7" t="s">
        <v>1648</v>
      </c>
      <c r="B2757" s="8" t="s">
        <v>99</v>
      </c>
      <c r="C2757" s="10">
        <f t="shared" si="131"/>
        <v>40173</v>
      </c>
      <c r="D2757" t="s">
        <v>11</v>
      </c>
      <c r="E2757" t="s">
        <v>12</v>
      </c>
      <c r="F2757" t="s">
        <v>20</v>
      </c>
      <c r="G2757" t="s">
        <v>3002</v>
      </c>
      <c r="H2757" t="s">
        <v>797</v>
      </c>
      <c r="I2757" t="s">
        <v>3003</v>
      </c>
      <c r="J2757" t="s">
        <v>3004</v>
      </c>
      <c r="K2757" t="s">
        <v>1898</v>
      </c>
      <c r="L2757" s="12" t="s">
        <v>168</v>
      </c>
      <c r="M2757" s="12" t="s">
        <v>32</v>
      </c>
      <c r="N2757" s="12" t="s">
        <v>92</v>
      </c>
      <c r="O2757" s="12" t="s">
        <v>201</v>
      </c>
      <c r="P2757" s="12" t="s">
        <v>622</v>
      </c>
      <c r="Q2757" s="7" t="str">
        <f t="shared" si="130"/>
        <v>(2009,52,'2009.12.26',4,22,68,72,82,0),</v>
      </c>
      <c r="R2757" s="7" t="str">
        <f t="shared" si="132"/>
        <v>(2009,52,'2009.12.26',4,22,68,72,82),</v>
      </c>
    </row>
    <row r="2758" spans="1:18" x14ac:dyDescent="0.25">
      <c r="A2758" s="7" t="s">
        <v>1648</v>
      </c>
      <c r="B2758" s="8" t="s">
        <v>199</v>
      </c>
      <c r="C2758" s="10">
        <f t="shared" si="131"/>
        <v>40180</v>
      </c>
      <c r="D2758" t="s">
        <v>11</v>
      </c>
      <c r="E2758" t="s">
        <v>12</v>
      </c>
      <c r="F2758" t="s">
        <v>80</v>
      </c>
      <c r="G2758" t="s">
        <v>2998</v>
      </c>
      <c r="H2758" t="s">
        <v>2999</v>
      </c>
      <c r="I2758" t="s">
        <v>3000</v>
      </c>
      <c r="J2758" t="s">
        <v>3001</v>
      </c>
      <c r="K2758" t="s">
        <v>2645</v>
      </c>
      <c r="L2758" s="12" t="s">
        <v>89</v>
      </c>
      <c r="M2758" s="12" t="s">
        <v>98</v>
      </c>
      <c r="N2758" s="12" t="s">
        <v>192</v>
      </c>
      <c r="O2758" s="12" t="s">
        <v>56</v>
      </c>
      <c r="P2758" s="12" t="s">
        <v>215</v>
      </c>
      <c r="Q2758" s="7" t="str">
        <f t="shared" si="130"/>
        <v>(2009,53,'2010.01.02',5,42,46,71,81,0),</v>
      </c>
      <c r="R2758" s="7" t="str">
        <f t="shared" si="132"/>
        <v>(2009,53,'2010.01.02',5,42,46,71,81),</v>
      </c>
    </row>
    <row r="2759" spans="1:18" x14ac:dyDescent="0.25">
      <c r="A2759" s="7" t="s">
        <v>2782</v>
      </c>
      <c r="B2759" s="8" t="s">
        <v>108</v>
      </c>
      <c r="C2759" s="10">
        <f t="shared" si="131"/>
        <v>40187</v>
      </c>
      <c r="D2759" t="s">
        <v>11</v>
      </c>
      <c r="E2759" t="s">
        <v>12</v>
      </c>
      <c r="F2759" t="s">
        <v>248</v>
      </c>
      <c r="G2759" t="s">
        <v>2994</v>
      </c>
      <c r="H2759" t="s">
        <v>2995</v>
      </c>
      <c r="I2759" t="s">
        <v>2163</v>
      </c>
      <c r="J2759" t="s">
        <v>2996</v>
      </c>
      <c r="K2759" t="s">
        <v>2997</v>
      </c>
      <c r="L2759" s="12" t="s">
        <v>65</v>
      </c>
      <c r="M2759" s="12" t="s">
        <v>90</v>
      </c>
      <c r="N2759" s="12" t="s">
        <v>98</v>
      </c>
      <c r="O2759" s="12" t="s">
        <v>45</v>
      </c>
      <c r="P2759" s="12" t="s">
        <v>192</v>
      </c>
      <c r="Q2759" s="7" t="str">
        <f t="shared" si="130"/>
        <v>(2010,1,'2010.01.09',13,17,42,43,46,0),</v>
      </c>
      <c r="R2759" s="7" t="str">
        <f t="shared" si="132"/>
        <v>(2010,1,'2010.01.09',13,17,42,43,46),</v>
      </c>
    </row>
    <row r="2760" spans="1:18" x14ac:dyDescent="0.25">
      <c r="A2760" s="7" t="s">
        <v>2782</v>
      </c>
      <c r="B2760" s="8" t="s">
        <v>207</v>
      </c>
      <c r="C2760" s="10">
        <f t="shared" si="131"/>
        <v>40194</v>
      </c>
      <c r="D2760" t="s">
        <v>11</v>
      </c>
      <c r="E2760" t="s">
        <v>12</v>
      </c>
      <c r="F2760" t="s">
        <v>71</v>
      </c>
      <c r="G2760" t="s">
        <v>2990</v>
      </c>
      <c r="H2760" t="s">
        <v>2991</v>
      </c>
      <c r="I2760" t="s">
        <v>2992</v>
      </c>
      <c r="J2760" t="s">
        <v>2993</v>
      </c>
      <c r="K2760" t="s">
        <v>2321</v>
      </c>
      <c r="L2760" s="12" t="s">
        <v>152</v>
      </c>
      <c r="M2760" s="12" t="s">
        <v>64</v>
      </c>
      <c r="N2760" s="12" t="s">
        <v>98</v>
      </c>
      <c r="O2760" s="12" t="s">
        <v>150</v>
      </c>
      <c r="P2760" s="12" t="s">
        <v>269</v>
      </c>
      <c r="Q2760" s="7" t="str">
        <f t="shared" si="130"/>
        <v>(2010,2,'2010.01.16',25,35,42,57,87,0),</v>
      </c>
      <c r="R2760" s="7" t="str">
        <f t="shared" si="132"/>
        <v>(2010,2,'2010.01.16',25,35,42,57,87),</v>
      </c>
    </row>
    <row r="2761" spans="1:18" x14ac:dyDescent="0.25">
      <c r="A2761" s="7" t="s">
        <v>2782</v>
      </c>
      <c r="B2761" s="8" t="s">
        <v>42</v>
      </c>
      <c r="C2761" s="10">
        <f t="shared" si="131"/>
        <v>40201</v>
      </c>
      <c r="D2761" t="s">
        <v>11</v>
      </c>
      <c r="E2761" t="s">
        <v>12</v>
      </c>
      <c r="F2761" t="s">
        <v>33</v>
      </c>
      <c r="G2761" t="s">
        <v>2986</v>
      </c>
      <c r="H2761" t="s">
        <v>2987</v>
      </c>
      <c r="I2761" t="s">
        <v>2988</v>
      </c>
      <c r="J2761" t="s">
        <v>2989</v>
      </c>
      <c r="K2761" t="s">
        <v>2973</v>
      </c>
      <c r="L2761" s="12" t="s">
        <v>232</v>
      </c>
      <c r="M2761" s="12" t="s">
        <v>198</v>
      </c>
      <c r="N2761" s="12" t="s">
        <v>123</v>
      </c>
      <c r="O2761" s="12" t="s">
        <v>47</v>
      </c>
      <c r="P2761" s="12" t="s">
        <v>269</v>
      </c>
      <c r="Q2761" s="7" t="str">
        <f t="shared" si="130"/>
        <v>(2010,3,'2010.01.23',8,9,54,69,87,0),</v>
      </c>
      <c r="R2761" s="7" t="str">
        <f t="shared" si="132"/>
        <v>(2010,3,'2010.01.23',8,9,54,69,87),</v>
      </c>
    </row>
    <row r="2762" spans="1:18" x14ac:dyDescent="0.25">
      <c r="A2762" s="7" t="s">
        <v>2782</v>
      </c>
      <c r="B2762" s="8" t="s">
        <v>168</v>
      </c>
      <c r="C2762" s="10">
        <f t="shared" si="131"/>
        <v>40208</v>
      </c>
      <c r="D2762" t="s">
        <v>11</v>
      </c>
      <c r="E2762" t="s">
        <v>12</v>
      </c>
      <c r="F2762" t="s">
        <v>122</v>
      </c>
      <c r="G2762" t="s">
        <v>2983</v>
      </c>
      <c r="H2762" t="s">
        <v>673</v>
      </c>
      <c r="I2762" t="s">
        <v>2984</v>
      </c>
      <c r="J2762" t="s">
        <v>2985</v>
      </c>
      <c r="K2762" t="s">
        <v>2861</v>
      </c>
      <c r="L2762" s="12" t="s">
        <v>42</v>
      </c>
      <c r="M2762" s="12" t="s">
        <v>43</v>
      </c>
      <c r="N2762" s="12" t="s">
        <v>71</v>
      </c>
      <c r="O2762" s="12" t="s">
        <v>99</v>
      </c>
      <c r="P2762" s="12" t="s">
        <v>199</v>
      </c>
      <c r="Q2762" s="7" t="str">
        <f t="shared" si="130"/>
        <v>(2010,4,'2010.01.30',3,16,31,52,53,0),</v>
      </c>
      <c r="R2762" s="7" t="str">
        <f t="shared" si="132"/>
        <v>(2010,4,'2010.01.30',3,16,31,52,53),</v>
      </c>
    </row>
    <row r="2763" spans="1:18" x14ac:dyDescent="0.25">
      <c r="A2763" s="7" t="s">
        <v>2782</v>
      </c>
      <c r="B2763" s="8" t="s">
        <v>89</v>
      </c>
      <c r="C2763" s="10">
        <f t="shared" si="131"/>
        <v>40215</v>
      </c>
      <c r="D2763" t="s">
        <v>11</v>
      </c>
      <c r="E2763" t="s">
        <v>12</v>
      </c>
      <c r="F2763" t="s">
        <v>32</v>
      </c>
      <c r="G2763" t="s">
        <v>2979</v>
      </c>
      <c r="H2763" t="s">
        <v>2980</v>
      </c>
      <c r="I2763" t="s">
        <v>2981</v>
      </c>
      <c r="J2763" t="s">
        <v>2982</v>
      </c>
      <c r="K2763" t="s">
        <v>2645</v>
      </c>
      <c r="L2763" s="12" t="s">
        <v>31</v>
      </c>
      <c r="M2763" s="12" t="s">
        <v>36</v>
      </c>
      <c r="N2763" s="12" t="s">
        <v>24</v>
      </c>
      <c r="O2763" s="12" t="s">
        <v>150</v>
      </c>
      <c r="P2763" s="12" t="s">
        <v>151</v>
      </c>
      <c r="Q2763" s="7" t="str">
        <f t="shared" si="130"/>
        <v>(2010,5,'2010.02.06',12,38,39,57,79,0),</v>
      </c>
      <c r="R2763" s="7" t="str">
        <f t="shared" si="132"/>
        <v>(2010,5,'2010.02.06',12,38,39,57,79),</v>
      </c>
    </row>
    <row r="2764" spans="1:18" x14ac:dyDescent="0.25">
      <c r="A2764" s="7" t="s">
        <v>2782</v>
      </c>
      <c r="B2764" s="8" t="s">
        <v>270</v>
      </c>
      <c r="C2764" s="10">
        <f t="shared" si="131"/>
        <v>40222</v>
      </c>
      <c r="D2764" t="s">
        <v>11</v>
      </c>
      <c r="E2764" t="s">
        <v>12</v>
      </c>
      <c r="F2764" t="s">
        <v>82</v>
      </c>
      <c r="G2764" t="s">
        <v>2974</v>
      </c>
      <c r="H2764" t="s">
        <v>2975</v>
      </c>
      <c r="I2764" t="s">
        <v>2976</v>
      </c>
      <c r="J2764" t="s">
        <v>2977</v>
      </c>
      <c r="K2764" t="s">
        <v>2978</v>
      </c>
      <c r="L2764" s="12" t="s">
        <v>65</v>
      </c>
      <c r="M2764" s="12" t="s">
        <v>74</v>
      </c>
      <c r="N2764" s="12" t="s">
        <v>135</v>
      </c>
      <c r="O2764" s="12" t="s">
        <v>107</v>
      </c>
      <c r="P2764" s="12" t="s">
        <v>133</v>
      </c>
      <c r="Q2764" s="7" t="str">
        <f t="shared" si="130"/>
        <v>(2010,6,'2010.02.13',13,26,27,30,45,0),</v>
      </c>
      <c r="R2764" s="7" t="str">
        <f t="shared" si="132"/>
        <v>(2010,6,'2010.02.13',13,26,27,30,45),</v>
      </c>
    </row>
    <row r="2765" spans="1:18" x14ac:dyDescent="0.25">
      <c r="A2765" s="7" t="s">
        <v>2782</v>
      </c>
      <c r="B2765" s="8" t="s">
        <v>53</v>
      </c>
      <c r="C2765" s="10">
        <f t="shared" si="131"/>
        <v>40229</v>
      </c>
      <c r="D2765" t="s">
        <v>11</v>
      </c>
      <c r="E2765" t="s">
        <v>12</v>
      </c>
      <c r="F2765" t="s">
        <v>98</v>
      </c>
      <c r="G2765" t="s">
        <v>2969</v>
      </c>
      <c r="H2765" t="s">
        <v>2970</v>
      </c>
      <c r="I2765" t="s">
        <v>2971</v>
      </c>
      <c r="J2765" t="s">
        <v>2972</v>
      </c>
      <c r="K2765" t="s">
        <v>2973</v>
      </c>
      <c r="L2765" s="12" t="s">
        <v>168</v>
      </c>
      <c r="M2765" s="12" t="s">
        <v>198</v>
      </c>
      <c r="N2765" s="12" t="s">
        <v>116</v>
      </c>
      <c r="O2765" s="12" t="s">
        <v>214</v>
      </c>
      <c r="P2765" s="12" t="s">
        <v>35</v>
      </c>
      <c r="Q2765" s="7" t="str">
        <f t="shared" si="130"/>
        <v>(2010,7,'2010.02.20',4,9,29,64,65,0),</v>
      </c>
      <c r="R2765" s="7" t="str">
        <f t="shared" si="132"/>
        <v>(2010,7,'2010.02.20',4,9,29,64,65),</v>
      </c>
    </row>
    <row r="2766" spans="1:18" x14ac:dyDescent="0.25">
      <c r="A2766" s="7" t="s">
        <v>2782</v>
      </c>
      <c r="B2766" s="8" t="s">
        <v>232</v>
      </c>
      <c r="C2766" s="10">
        <f t="shared" si="131"/>
        <v>40236</v>
      </c>
      <c r="D2766" t="s">
        <v>11</v>
      </c>
      <c r="E2766" t="s">
        <v>12</v>
      </c>
      <c r="F2766" t="s">
        <v>169</v>
      </c>
      <c r="G2766" t="s">
        <v>2965</v>
      </c>
      <c r="H2766" t="s">
        <v>2966</v>
      </c>
      <c r="I2766" t="s">
        <v>2967</v>
      </c>
      <c r="J2766" t="s">
        <v>2968</v>
      </c>
      <c r="K2766" t="s">
        <v>1484</v>
      </c>
      <c r="L2766" s="12" t="s">
        <v>198</v>
      </c>
      <c r="M2766" s="12" t="s">
        <v>33</v>
      </c>
      <c r="N2766" s="12" t="s">
        <v>123</v>
      </c>
      <c r="O2766" s="12" t="s">
        <v>151</v>
      </c>
      <c r="P2766" s="12" t="s">
        <v>622</v>
      </c>
      <c r="Q2766" s="7" t="str">
        <f t="shared" si="130"/>
        <v>(2010,8,'2010.02.27',9,24,54,79,82,0),</v>
      </c>
      <c r="R2766" s="7" t="str">
        <f t="shared" si="132"/>
        <v>(2010,8,'2010.02.27',9,24,54,79,82),</v>
      </c>
    </row>
    <row r="2767" spans="1:18" x14ac:dyDescent="0.25">
      <c r="A2767" s="7" t="s">
        <v>2782</v>
      </c>
      <c r="B2767" s="8" t="s">
        <v>198</v>
      </c>
      <c r="C2767" s="10">
        <f t="shared" si="131"/>
        <v>40243</v>
      </c>
      <c r="D2767" t="s">
        <v>11</v>
      </c>
      <c r="E2767" t="s">
        <v>12</v>
      </c>
      <c r="F2767" t="s">
        <v>126</v>
      </c>
      <c r="G2767" t="s">
        <v>2963</v>
      </c>
      <c r="H2767" t="s">
        <v>366</v>
      </c>
      <c r="I2767" t="s">
        <v>2740</v>
      </c>
      <c r="J2767" t="s">
        <v>2964</v>
      </c>
      <c r="K2767" t="s">
        <v>1223</v>
      </c>
      <c r="L2767" s="12" t="s">
        <v>115</v>
      </c>
      <c r="M2767" s="12" t="s">
        <v>33</v>
      </c>
      <c r="N2767" s="12" t="s">
        <v>91</v>
      </c>
      <c r="O2767" s="12" t="s">
        <v>308</v>
      </c>
      <c r="P2767" s="12" t="s">
        <v>186</v>
      </c>
      <c r="Q2767" s="7" t="str">
        <f t="shared" si="130"/>
        <v>(2010,9,'2010.03.06',20,24,61,86,90,0),</v>
      </c>
      <c r="R2767" s="7" t="str">
        <f t="shared" si="132"/>
        <v>(2010,9,'2010.03.06',20,24,61,86,90),</v>
      </c>
    </row>
    <row r="2768" spans="1:18" x14ac:dyDescent="0.25">
      <c r="A2768" s="7" t="s">
        <v>2782</v>
      </c>
      <c r="B2768" s="8" t="s">
        <v>62</v>
      </c>
      <c r="C2768" s="10">
        <f t="shared" si="131"/>
        <v>40250</v>
      </c>
      <c r="D2768" t="s">
        <v>11</v>
      </c>
      <c r="E2768" t="s">
        <v>12</v>
      </c>
      <c r="F2768" t="s">
        <v>10</v>
      </c>
      <c r="G2768" t="s">
        <v>2959</v>
      </c>
      <c r="H2768" t="s">
        <v>2960</v>
      </c>
      <c r="I2768" t="s">
        <v>2961</v>
      </c>
      <c r="J2768" t="s">
        <v>2962</v>
      </c>
      <c r="K2768" t="s">
        <v>1382</v>
      </c>
      <c r="L2768" s="12" t="s">
        <v>108</v>
      </c>
      <c r="M2768" s="12" t="s">
        <v>116</v>
      </c>
      <c r="N2768" s="12" t="s">
        <v>105</v>
      </c>
      <c r="O2768" s="12" t="s">
        <v>175</v>
      </c>
      <c r="P2768" s="12" t="s">
        <v>200</v>
      </c>
      <c r="Q2768" s="7" t="str">
        <f t="shared" si="130"/>
        <v>(2010,10,'2010.03.13',1,29,50,55,70,0),</v>
      </c>
      <c r="R2768" s="7" t="str">
        <f t="shared" si="132"/>
        <v>(2010,10,'2010.03.13',1,29,50,55,70),</v>
      </c>
    </row>
    <row r="2769" spans="1:18" x14ac:dyDescent="0.25">
      <c r="A2769" s="7" t="s">
        <v>2782</v>
      </c>
      <c r="B2769" s="8" t="s">
        <v>83</v>
      </c>
      <c r="C2769" s="10">
        <f t="shared" si="131"/>
        <v>40257</v>
      </c>
      <c r="D2769" t="s">
        <v>11</v>
      </c>
      <c r="E2769" t="s">
        <v>12</v>
      </c>
      <c r="F2769" t="s">
        <v>90</v>
      </c>
      <c r="G2769" t="s">
        <v>2955</v>
      </c>
      <c r="H2769" t="s">
        <v>2956</v>
      </c>
      <c r="I2769" t="s">
        <v>2957</v>
      </c>
      <c r="J2769" t="s">
        <v>2958</v>
      </c>
      <c r="K2769" t="s">
        <v>1428</v>
      </c>
      <c r="L2769" s="12" t="s">
        <v>62</v>
      </c>
      <c r="M2769" s="12" t="s">
        <v>91</v>
      </c>
      <c r="N2769" s="12" t="s">
        <v>56</v>
      </c>
      <c r="O2769" s="12" t="s">
        <v>143</v>
      </c>
      <c r="P2769" s="12" t="s">
        <v>125</v>
      </c>
      <c r="Q2769" s="7" t="str">
        <f t="shared" si="130"/>
        <v>(2010,11,'2010.03.20',10,61,71,77,83,0),</v>
      </c>
      <c r="R2769" s="7" t="str">
        <f t="shared" si="132"/>
        <v>(2010,11,'2010.03.20',10,61,71,77,83),</v>
      </c>
    </row>
    <row r="2770" spans="1:18" x14ac:dyDescent="0.25">
      <c r="A2770" s="7" t="s">
        <v>2782</v>
      </c>
      <c r="B2770" s="8" t="s">
        <v>31</v>
      </c>
      <c r="C2770" s="10">
        <f t="shared" si="131"/>
        <v>40264</v>
      </c>
      <c r="D2770" t="s">
        <v>11</v>
      </c>
      <c r="E2770" t="s">
        <v>12</v>
      </c>
      <c r="F2770" t="s">
        <v>192</v>
      </c>
      <c r="G2770" t="s">
        <v>2951</v>
      </c>
      <c r="H2770" t="s">
        <v>2952</v>
      </c>
      <c r="I2770" t="s">
        <v>2953</v>
      </c>
      <c r="J2770" t="s">
        <v>2954</v>
      </c>
      <c r="K2770" t="s">
        <v>2339</v>
      </c>
      <c r="L2770" s="12" t="s">
        <v>232</v>
      </c>
      <c r="M2770" s="12" t="s">
        <v>32</v>
      </c>
      <c r="N2770" s="12" t="s">
        <v>199</v>
      </c>
      <c r="O2770" s="12" t="s">
        <v>248</v>
      </c>
      <c r="P2770" s="12" t="s">
        <v>56</v>
      </c>
      <c r="Q2770" s="7" t="str">
        <f t="shared" si="130"/>
        <v>(2010,12,'2010.03.27',8,22,53,63,71,0),</v>
      </c>
      <c r="R2770" s="7" t="str">
        <f t="shared" si="132"/>
        <v>(2010,12,'2010.03.27',8,22,53,63,71),</v>
      </c>
    </row>
    <row r="2771" spans="1:18" x14ac:dyDescent="0.25">
      <c r="A2771" s="7" t="s">
        <v>2782</v>
      </c>
      <c r="B2771" s="8" t="s">
        <v>65</v>
      </c>
      <c r="C2771" s="10">
        <f t="shared" si="131"/>
        <v>40271</v>
      </c>
      <c r="D2771" t="s">
        <v>11</v>
      </c>
      <c r="E2771" t="s">
        <v>12</v>
      </c>
      <c r="F2771" t="s">
        <v>21</v>
      </c>
      <c r="G2771" t="s">
        <v>2948</v>
      </c>
      <c r="H2771" t="s">
        <v>2949</v>
      </c>
      <c r="I2771" t="s">
        <v>387</v>
      </c>
      <c r="J2771" t="s">
        <v>2950</v>
      </c>
      <c r="K2771" t="s">
        <v>1206</v>
      </c>
      <c r="L2771" s="12" t="s">
        <v>126</v>
      </c>
      <c r="M2771" s="12" t="s">
        <v>36</v>
      </c>
      <c r="N2771" s="12" t="s">
        <v>175</v>
      </c>
      <c r="O2771" s="12" t="s">
        <v>92</v>
      </c>
      <c r="P2771" s="12" t="s">
        <v>622</v>
      </c>
      <c r="Q2771" s="7" t="str">
        <f t="shared" si="130"/>
        <v>(2010,13,'2010.04.03',28,38,55,68,82,0),</v>
      </c>
      <c r="R2771" s="7" t="str">
        <f t="shared" si="132"/>
        <v>(2010,13,'2010.04.03',28,38,55,68,82),</v>
      </c>
    </row>
    <row r="2772" spans="1:18" x14ac:dyDescent="0.25">
      <c r="A2772" s="7" t="s">
        <v>2782</v>
      </c>
      <c r="B2772" s="8" t="s">
        <v>127</v>
      </c>
      <c r="C2772" s="10">
        <f t="shared" si="131"/>
        <v>40278</v>
      </c>
      <c r="D2772" t="s">
        <v>11</v>
      </c>
      <c r="E2772" t="s">
        <v>12</v>
      </c>
      <c r="F2772" t="s">
        <v>2942</v>
      </c>
      <c r="G2772" t="s">
        <v>2943</v>
      </c>
      <c r="H2772" t="s">
        <v>2944</v>
      </c>
      <c r="I2772" t="s">
        <v>2945</v>
      </c>
      <c r="J2772" t="s">
        <v>2946</v>
      </c>
      <c r="K2772" t="s">
        <v>2947</v>
      </c>
      <c r="L2772" s="12" t="s">
        <v>19</v>
      </c>
      <c r="M2772" s="12" t="s">
        <v>163</v>
      </c>
      <c r="N2772" s="12" t="s">
        <v>133</v>
      </c>
      <c r="O2772" s="12" t="s">
        <v>199</v>
      </c>
      <c r="P2772" s="12" t="s">
        <v>214</v>
      </c>
      <c r="Q2772" s="7" t="str">
        <f t="shared" si="130"/>
        <v>(2010,14,'2010.04.10',18,23,45,53,64,0),</v>
      </c>
      <c r="R2772" s="7" t="str">
        <f t="shared" si="132"/>
        <v>(2010,14,'2010.04.10',18,23,45,53,64),</v>
      </c>
    </row>
    <row r="2773" spans="1:18" x14ac:dyDescent="0.25">
      <c r="A2773" s="7" t="s">
        <v>2782</v>
      </c>
      <c r="B2773" s="8" t="s">
        <v>54</v>
      </c>
      <c r="C2773" s="10">
        <f t="shared" si="131"/>
        <v>40285</v>
      </c>
      <c r="D2773" t="s">
        <v>11</v>
      </c>
      <c r="E2773" t="s">
        <v>12</v>
      </c>
      <c r="F2773" t="s">
        <v>99</v>
      </c>
      <c r="G2773" t="s">
        <v>2938</v>
      </c>
      <c r="H2773" t="s">
        <v>2939</v>
      </c>
      <c r="I2773" t="s">
        <v>2940</v>
      </c>
      <c r="J2773" t="s">
        <v>2941</v>
      </c>
      <c r="K2773" t="s">
        <v>1551</v>
      </c>
      <c r="L2773" s="12" t="s">
        <v>19</v>
      </c>
      <c r="M2773" s="12" t="s">
        <v>21</v>
      </c>
      <c r="N2773" s="12" t="s">
        <v>34</v>
      </c>
      <c r="O2773" s="12" t="s">
        <v>214</v>
      </c>
      <c r="P2773" s="12" t="s">
        <v>301</v>
      </c>
      <c r="Q2773" s="7" t="str">
        <f t="shared" si="130"/>
        <v>(2010,15,'2010.04.17',18,36,49,64,80,0),</v>
      </c>
      <c r="R2773" s="7" t="str">
        <f t="shared" si="132"/>
        <v>(2010,15,'2010.04.17',18,36,49,64,80),</v>
      </c>
    </row>
    <row r="2774" spans="1:18" x14ac:dyDescent="0.25">
      <c r="A2774" s="7" t="s">
        <v>2782</v>
      </c>
      <c r="B2774" s="8" t="s">
        <v>43</v>
      </c>
      <c r="C2774" s="10">
        <f t="shared" si="131"/>
        <v>40292</v>
      </c>
      <c r="D2774" t="s">
        <v>11</v>
      </c>
      <c r="E2774" t="s">
        <v>12</v>
      </c>
      <c r="F2774" t="s">
        <v>192</v>
      </c>
      <c r="G2774" t="s">
        <v>2935</v>
      </c>
      <c r="H2774" t="s">
        <v>2936</v>
      </c>
      <c r="I2774" t="s">
        <v>2102</v>
      </c>
      <c r="J2774" t="s">
        <v>2937</v>
      </c>
      <c r="K2774" t="s">
        <v>1626</v>
      </c>
      <c r="L2774" s="12" t="s">
        <v>108</v>
      </c>
      <c r="M2774" s="12" t="s">
        <v>62</v>
      </c>
      <c r="N2774" s="12" t="s">
        <v>98</v>
      </c>
      <c r="O2774" s="12" t="s">
        <v>175</v>
      </c>
      <c r="P2774" s="12" t="s">
        <v>239</v>
      </c>
      <c r="Q2774" s="7" t="str">
        <f t="shared" si="130"/>
        <v>(2010,16,'2010.04.24',1,10,42,55,73,0),</v>
      </c>
      <c r="R2774" s="7" t="str">
        <f t="shared" si="132"/>
        <v>(2010,16,'2010.04.24',1,10,42,55,73),</v>
      </c>
    </row>
    <row r="2775" spans="1:18" x14ac:dyDescent="0.25">
      <c r="A2775" s="7" t="s">
        <v>2782</v>
      </c>
      <c r="B2775" s="8" t="s">
        <v>90</v>
      </c>
      <c r="C2775" s="10">
        <f t="shared" si="131"/>
        <v>40299</v>
      </c>
      <c r="D2775" t="s">
        <v>11</v>
      </c>
      <c r="E2775" t="s">
        <v>12</v>
      </c>
      <c r="F2775" t="s">
        <v>135</v>
      </c>
      <c r="G2775" t="s">
        <v>2931</v>
      </c>
      <c r="H2775" t="s">
        <v>2932</v>
      </c>
      <c r="I2775" t="s">
        <v>2933</v>
      </c>
      <c r="J2775" t="s">
        <v>2934</v>
      </c>
      <c r="K2775" t="s">
        <v>1889</v>
      </c>
      <c r="L2775" s="12" t="s">
        <v>33</v>
      </c>
      <c r="M2775" s="12" t="s">
        <v>99</v>
      </c>
      <c r="N2775" s="12" t="s">
        <v>169</v>
      </c>
      <c r="O2775" s="12" t="s">
        <v>91</v>
      </c>
      <c r="P2775" s="12" t="s">
        <v>63</v>
      </c>
      <c r="Q2775" s="7" t="str">
        <f t="shared" si="130"/>
        <v>(2010,17,'2010.05.01',24,52,58,61,78,0),</v>
      </c>
      <c r="R2775" s="7" t="str">
        <f t="shared" si="132"/>
        <v>(2010,17,'2010.05.01',24,52,58,61,78),</v>
      </c>
    </row>
    <row r="2776" spans="1:18" x14ac:dyDescent="0.25">
      <c r="A2776" s="7" t="s">
        <v>2782</v>
      </c>
      <c r="B2776" s="8" t="s">
        <v>19</v>
      </c>
      <c r="C2776" s="10">
        <f t="shared" si="131"/>
        <v>40306</v>
      </c>
      <c r="D2776" t="s">
        <v>11</v>
      </c>
      <c r="E2776" t="s">
        <v>12</v>
      </c>
      <c r="F2776" t="s">
        <v>98</v>
      </c>
      <c r="G2776" t="s">
        <v>2927</v>
      </c>
      <c r="H2776" t="s">
        <v>2928</v>
      </c>
      <c r="I2776" t="s">
        <v>2929</v>
      </c>
      <c r="J2776" t="s">
        <v>2930</v>
      </c>
      <c r="K2776" t="s">
        <v>988</v>
      </c>
      <c r="L2776" s="12" t="s">
        <v>207</v>
      </c>
      <c r="M2776" s="12" t="s">
        <v>107</v>
      </c>
      <c r="N2776" s="12" t="s">
        <v>105</v>
      </c>
      <c r="O2776" s="12" t="s">
        <v>201</v>
      </c>
      <c r="P2776" s="12" t="s">
        <v>246</v>
      </c>
      <c r="Q2776" s="7" t="str">
        <f t="shared" si="130"/>
        <v>(2010,18,'2010.05.08',2,30,50,72,84,0),</v>
      </c>
      <c r="R2776" s="7" t="str">
        <f t="shared" si="132"/>
        <v>(2010,18,'2010.05.08',2,30,50,72,84),</v>
      </c>
    </row>
    <row r="2777" spans="1:18" x14ac:dyDescent="0.25">
      <c r="A2777" s="7" t="s">
        <v>2782</v>
      </c>
      <c r="B2777" s="8" t="s">
        <v>55</v>
      </c>
      <c r="C2777" s="10">
        <f t="shared" si="131"/>
        <v>40313</v>
      </c>
      <c r="D2777" t="s">
        <v>11</v>
      </c>
      <c r="E2777" t="s">
        <v>12</v>
      </c>
      <c r="F2777" t="s">
        <v>152</v>
      </c>
      <c r="G2777" t="s">
        <v>2923</v>
      </c>
      <c r="H2777" t="s">
        <v>2924</v>
      </c>
      <c r="I2777" t="s">
        <v>2925</v>
      </c>
      <c r="J2777" t="s">
        <v>2926</v>
      </c>
      <c r="K2777" t="s">
        <v>1680</v>
      </c>
      <c r="L2777" s="12" t="s">
        <v>54</v>
      </c>
      <c r="M2777" s="12" t="s">
        <v>46</v>
      </c>
      <c r="N2777" s="12" t="s">
        <v>122</v>
      </c>
      <c r="O2777" s="12" t="s">
        <v>125</v>
      </c>
      <c r="P2777" s="12" t="s">
        <v>308</v>
      </c>
      <c r="Q2777" s="7" t="str">
        <f t="shared" si="130"/>
        <v>(2010,19,'2010.05.15',15,37,51,83,86,0),</v>
      </c>
      <c r="R2777" s="7" t="str">
        <f t="shared" si="132"/>
        <v>(2010,19,'2010.05.15',15,37,51,83,86),</v>
      </c>
    </row>
    <row r="2778" spans="1:18" x14ac:dyDescent="0.25">
      <c r="A2778" s="7" t="s">
        <v>2782</v>
      </c>
      <c r="B2778" s="8" t="s">
        <v>115</v>
      </c>
      <c r="C2778" s="10">
        <f t="shared" si="131"/>
        <v>40320</v>
      </c>
      <c r="D2778" t="s">
        <v>11</v>
      </c>
      <c r="E2778" t="s">
        <v>12</v>
      </c>
      <c r="F2778" t="s">
        <v>92</v>
      </c>
      <c r="G2778" t="s">
        <v>2919</v>
      </c>
      <c r="H2778" t="s">
        <v>2920</v>
      </c>
      <c r="I2778" t="s">
        <v>2921</v>
      </c>
      <c r="J2778" t="s">
        <v>2922</v>
      </c>
      <c r="K2778" t="s">
        <v>1821</v>
      </c>
      <c r="L2778" s="12" t="s">
        <v>168</v>
      </c>
      <c r="M2778" s="12" t="s">
        <v>270</v>
      </c>
      <c r="N2778" s="12" t="s">
        <v>99</v>
      </c>
      <c r="O2778" s="12" t="s">
        <v>143</v>
      </c>
      <c r="P2778" s="12" t="s">
        <v>63</v>
      </c>
      <c r="Q2778" s="7" t="str">
        <f t="shared" si="130"/>
        <v>(2010,20,'2010.05.22',4,6,52,77,78,0),</v>
      </c>
      <c r="R2778" s="7" t="str">
        <f t="shared" si="132"/>
        <v>(2010,20,'2010.05.22',4,6,52,77,78),</v>
      </c>
    </row>
    <row r="2779" spans="1:18" x14ac:dyDescent="0.25">
      <c r="A2779" s="7" t="s">
        <v>2782</v>
      </c>
      <c r="B2779" s="8" t="s">
        <v>44</v>
      </c>
      <c r="C2779" s="10">
        <f t="shared" si="131"/>
        <v>40327</v>
      </c>
      <c r="D2779" t="s">
        <v>11</v>
      </c>
      <c r="E2779" t="s">
        <v>12</v>
      </c>
      <c r="F2779" t="s">
        <v>122</v>
      </c>
      <c r="G2779" t="s">
        <v>2914</v>
      </c>
      <c r="H2779" t="s">
        <v>2915</v>
      </c>
      <c r="I2779" t="s">
        <v>2916</v>
      </c>
      <c r="J2779" t="s">
        <v>2917</v>
      </c>
      <c r="K2779" t="s">
        <v>2918</v>
      </c>
      <c r="L2779" s="12" t="s">
        <v>90</v>
      </c>
      <c r="M2779" s="12" t="s">
        <v>55</v>
      </c>
      <c r="N2779" s="12" t="s">
        <v>116</v>
      </c>
      <c r="O2779" s="12" t="s">
        <v>21</v>
      </c>
      <c r="P2779" s="12" t="s">
        <v>63</v>
      </c>
      <c r="Q2779" s="7" t="str">
        <f t="shared" si="130"/>
        <v>(2010,21,'2010.05.29',17,19,29,36,78,0),</v>
      </c>
      <c r="R2779" s="7" t="str">
        <f t="shared" si="132"/>
        <v>(2010,21,'2010.05.29',17,19,29,36,78),</v>
      </c>
    </row>
    <row r="2780" spans="1:18" x14ac:dyDescent="0.25">
      <c r="A2780" s="7" t="s">
        <v>2782</v>
      </c>
      <c r="B2780" s="8" t="s">
        <v>32</v>
      </c>
      <c r="C2780" s="10">
        <f t="shared" si="131"/>
        <v>40334</v>
      </c>
      <c r="D2780" t="s">
        <v>11</v>
      </c>
      <c r="E2780" t="s">
        <v>12</v>
      </c>
      <c r="F2780" t="s">
        <v>20</v>
      </c>
      <c r="G2780" t="s">
        <v>2911</v>
      </c>
      <c r="H2780" t="s">
        <v>1967</v>
      </c>
      <c r="I2780" t="s">
        <v>2912</v>
      </c>
      <c r="J2780" t="s">
        <v>2913</v>
      </c>
      <c r="K2780" t="s">
        <v>1862</v>
      </c>
      <c r="L2780" s="12" t="s">
        <v>198</v>
      </c>
      <c r="M2780" s="12" t="s">
        <v>19</v>
      </c>
      <c r="N2780" s="12" t="s">
        <v>73</v>
      </c>
      <c r="O2780" s="12" t="s">
        <v>468</v>
      </c>
      <c r="P2780" s="12" t="s">
        <v>186</v>
      </c>
      <c r="Q2780" s="7" t="str">
        <f t="shared" si="130"/>
        <v>(2010,22,'2010.06.05',9,18,76,85,90,0),</v>
      </c>
      <c r="R2780" s="7" t="str">
        <f t="shared" si="132"/>
        <v>(2010,22,'2010.06.05',9,18,76,85,90),</v>
      </c>
    </row>
    <row r="2781" spans="1:18" x14ac:dyDescent="0.25">
      <c r="A2781" s="7" t="s">
        <v>2782</v>
      </c>
      <c r="B2781" s="8" t="s">
        <v>163</v>
      </c>
      <c r="C2781" s="10">
        <f t="shared" si="131"/>
        <v>40341</v>
      </c>
      <c r="D2781" t="s">
        <v>11</v>
      </c>
      <c r="E2781" t="s">
        <v>12</v>
      </c>
      <c r="F2781" t="s">
        <v>107</v>
      </c>
      <c r="G2781" t="s">
        <v>2907</v>
      </c>
      <c r="H2781" t="s">
        <v>2908</v>
      </c>
      <c r="I2781" t="s">
        <v>2909</v>
      </c>
      <c r="J2781" t="s">
        <v>2910</v>
      </c>
      <c r="K2781" t="s">
        <v>409</v>
      </c>
      <c r="L2781" s="12" t="s">
        <v>71</v>
      </c>
      <c r="M2781" s="12" t="s">
        <v>192</v>
      </c>
      <c r="N2781" s="12" t="s">
        <v>200</v>
      </c>
      <c r="O2781" s="12" t="s">
        <v>245</v>
      </c>
      <c r="P2781" s="12" t="s">
        <v>63</v>
      </c>
      <c r="Q2781" s="7" t="str">
        <f t="shared" si="130"/>
        <v>(2010,23,'2010.06.12',31,46,70,74,78,0),</v>
      </c>
      <c r="R2781" s="7" t="str">
        <f t="shared" si="132"/>
        <v>(2010,23,'2010.06.12',31,46,70,74,78),</v>
      </c>
    </row>
    <row r="2782" spans="1:18" x14ac:dyDescent="0.25">
      <c r="A2782" s="7" t="s">
        <v>2782</v>
      </c>
      <c r="B2782" s="8" t="s">
        <v>33</v>
      </c>
      <c r="C2782" s="10">
        <f t="shared" si="131"/>
        <v>40348</v>
      </c>
      <c r="D2782" t="s">
        <v>11</v>
      </c>
      <c r="E2782" t="s">
        <v>12</v>
      </c>
      <c r="F2782" t="s">
        <v>92</v>
      </c>
      <c r="G2782" t="s">
        <v>2903</v>
      </c>
      <c r="H2782" t="s">
        <v>2904</v>
      </c>
      <c r="I2782" t="s">
        <v>2905</v>
      </c>
      <c r="J2782" t="s">
        <v>2906</v>
      </c>
      <c r="K2782" t="s">
        <v>1021</v>
      </c>
      <c r="L2782" s="12" t="s">
        <v>168</v>
      </c>
      <c r="M2782" s="12" t="s">
        <v>142</v>
      </c>
      <c r="N2782" s="12" t="s">
        <v>35</v>
      </c>
      <c r="O2782" s="12" t="s">
        <v>239</v>
      </c>
      <c r="P2782" s="12" t="s">
        <v>379</v>
      </c>
      <c r="Q2782" s="7" t="str">
        <f t="shared" si="130"/>
        <v>(2010,24,'2010.06.19',4,44,65,73,89,0),</v>
      </c>
      <c r="R2782" s="7" t="str">
        <f t="shared" si="132"/>
        <v>(2010,24,'2010.06.19',4,44,65,73,89),</v>
      </c>
    </row>
    <row r="2783" spans="1:18" x14ac:dyDescent="0.25">
      <c r="A2783" s="7" t="s">
        <v>2782</v>
      </c>
      <c r="B2783" s="8" t="s">
        <v>152</v>
      </c>
      <c r="C2783" s="10">
        <f t="shared" si="131"/>
        <v>40355</v>
      </c>
      <c r="D2783" t="s">
        <v>11</v>
      </c>
      <c r="E2783" t="s">
        <v>12</v>
      </c>
      <c r="F2783" t="s">
        <v>73</v>
      </c>
      <c r="G2783" t="s">
        <v>2899</v>
      </c>
      <c r="H2783" t="s">
        <v>2900</v>
      </c>
      <c r="I2783" t="s">
        <v>2901</v>
      </c>
      <c r="J2783" t="s">
        <v>2902</v>
      </c>
      <c r="K2783" t="s">
        <v>1058</v>
      </c>
      <c r="L2783" s="12" t="s">
        <v>83</v>
      </c>
      <c r="M2783" s="12" t="s">
        <v>19</v>
      </c>
      <c r="N2783" s="12" t="s">
        <v>74</v>
      </c>
      <c r="O2783" s="12" t="s">
        <v>72</v>
      </c>
      <c r="P2783" s="12" t="s">
        <v>125</v>
      </c>
      <c r="Q2783" s="7" t="str">
        <f t="shared" si="130"/>
        <v>(2010,25,'2010.06.26',11,18,26,67,83,0),</v>
      </c>
      <c r="R2783" s="7" t="str">
        <f t="shared" si="132"/>
        <v>(2010,25,'2010.06.26',11,18,26,67,83),</v>
      </c>
    </row>
    <row r="2784" spans="1:18" x14ac:dyDescent="0.25">
      <c r="A2784" s="7" t="s">
        <v>2782</v>
      </c>
      <c r="B2784" s="8" t="s">
        <v>74</v>
      </c>
      <c r="C2784" s="10">
        <f t="shared" si="131"/>
        <v>40362</v>
      </c>
      <c r="D2784" t="s">
        <v>108</v>
      </c>
      <c r="E2784" t="s">
        <v>2894</v>
      </c>
      <c r="F2784" t="s">
        <v>23</v>
      </c>
      <c r="G2784" t="s">
        <v>2895</v>
      </c>
      <c r="H2784" t="s">
        <v>2896</v>
      </c>
      <c r="I2784" t="s">
        <v>2897</v>
      </c>
      <c r="J2784" t="s">
        <v>2898</v>
      </c>
      <c r="K2784" t="s">
        <v>1950</v>
      </c>
      <c r="L2784" s="12" t="s">
        <v>127</v>
      </c>
      <c r="M2784" s="12" t="s">
        <v>90</v>
      </c>
      <c r="N2784" s="12" t="s">
        <v>44</v>
      </c>
      <c r="O2784" s="12" t="s">
        <v>126</v>
      </c>
      <c r="P2784" s="12" t="s">
        <v>105</v>
      </c>
      <c r="Q2784" s="7" t="str">
        <f t="shared" si="130"/>
        <v>(2010,26,'2010.07.03',14,17,21,28,50,0),</v>
      </c>
      <c r="R2784" s="7" t="str">
        <f t="shared" si="132"/>
        <v>(2010,26,'2010.07.03',14,17,21,28,50),</v>
      </c>
    </row>
    <row r="2785" spans="1:18" x14ac:dyDescent="0.25">
      <c r="A2785" s="7" t="s">
        <v>2782</v>
      </c>
      <c r="B2785" s="8" t="s">
        <v>135</v>
      </c>
      <c r="C2785" s="10">
        <f t="shared" si="131"/>
        <v>40369</v>
      </c>
      <c r="D2785" t="s">
        <v>108</v>
      </c>
      <c r="E2785" t="s">
        <v>2888</v>
      </c>
      <c r="F2785" t="s">
        <v>36</v>
      </c>
      <c r="G2785" t="s">
        <v>2889</v>
      </c>
      <c r="H2785" t="s">
        <v>2890</v>
      </c>
      <c r="I2785" t="s">
        <v>2891</v>
      </c>
      <c r="J2785" t="s">
        <v>2892</v>
      </c>
      <c r="K2785" t="s">
        <v>2893</v>
      </c>
      <c r="L2785" s="12" t="s">
        <v>42</v>
      </c>
      <c r="M2785" s="12" t="s">
        <v>199</v>
      </c>
      <c r="N2785" s="12" t="s">
        <v>239</v>
      </c>
      <c r="O2785" s="12" t="s">
        <v>73</v>
      </c>
      <c r="P2785" s="12" t="s">
        <v>379</v>
      </c>
      <c r="Q2785" s="7" t="str">
        <f t="shared" si="130"/>
        <v>(2010,27,'2010.07.10',3,53,73,76,89,0),</v>
      </c>
      <c r="R2785" s="7" t="str">
        <f t="shared" si="132"/>
        <v>(2010,27,'2010.07.10',3,53,73,76,89),</v>
      </c>
    </row>
    <row r="2786" spans="1:18" x14ac:dyDescent="0.25">
      <c r="A2786" s="7" t="s">
        <v>2782</v>
      </c>
      <c r="B2786" s="8" t="s">
        <v>126</v>
      </c>
      <c r="C2786" s="10">
        <f t="shared" si="131"/>
        <v>40376</v>
      </c>
      <c r="D2786" t="s">
        <v>11</v>
      </c>
      <c r="E2786" t="s">
        <v>12</v>
      </c>
      <c r="F2786" t="s">
        <v>33</v>
      </c>
      <c r="G2786" t="s">
        <v>2885</v>
      </c>
      <c r="H2786" t="s">
        <v>694</v>
      </c>
      <c r="I2786" t="s">
        <v>2886</v>
      </c>
      <c r="J2786" t="s">
        <v>2887</v>
      </c>
      <c r="K2786" t="s">
        <v>1715</v>
      </c>
      <c r="L2786" s="12" t="s">
        <v>152</v>
      </c>
      <c r="M2786" s="12" t="s">
        <v>34</v>
      </c>
      <c r="N2786" s="12" t="s">
        <v>73</v>
      </c>
      <c r="O2786" s="12" t="s">
        <v>63</v>
      </c>
      <c r="P2786" s="12" t="s">
        <v>468</v>
      </c>
      <c r="Q2786" s="7" t="str">
        <f t="shared" si="130"/>
        <v>(2010,28,'2010.07.17',25,49,76,78,85,0),</v>
      </c>
      <c r="R2786" s="7" t="str">
        <f t="shared" si="132"/>
        <v>(2010,28,'2010.07.17',25,49,76,78,85),</v>
      </c>
    </row>
    <row r="2787" spans="1:18" x14ac:dyDescent="0.25">
      <c r="A2787" s="7" t="s">
        <v>2782</v>
      </c>
      <c r="B2787" s="8" t="s">
        <v>116</v>
      </c>
      <c r="C2787" s="10">
        <f t="shared" si="131"/>
        <v>40383</v>
      </c>
      <c r="D2787" t="s">
        <v>11</v>
      </c>
      <c r="E2787" t="s">
        <v>12</v>
      </c>
      <c r="F2787" t="s">
        <v>123</v>
      </c>
      <c r="G2787" t="s">
        <v>2881</v>
      </c>
      <c r="H2787" t="s">
        <v>2882</v>
      </c>
      <c r="I2787" t="s">
        <v>2883</v>
      </c>
      <c r="J2787" t="s">
        <v>2884</v>
      </c>
      <c r="K2787" t="s">
        <v>1572</v>
      </c>
      <c r="L2787" s="12" t="s">
        <v>83</v>
      </c>
      <c r="M2787" s="12" t="s">
        <v>163</v>
      </c>
      <c r="N2787" s="12" t="s">
        <v>80</v>
      </c>
      <c r="O2787" s="12" t="s">
        <v>233</v>
      </c>
      <c r="P2787" s="12" t="s">
        <v>239</v>
      </c>
      <c r="Q2787" s="7" t="str">
        <f t="shared" si="130"/>
        <v>(2010,29,'2010.07.24',11,23,32,66,73,0),</v>
      </c>
      <c r="R2787" s="7" t="str">
        <f t="shared" si="132"/>
        <v>(2010,29,'2010.07.24',11,23,32,66,73),</v>
      </c>
    </row>
    <row r="2788" spans="1:18" x14ac:dyDescent="0.25">
      <c r="A2788" s="7" t="s">
        <v>2782</v>
      </c>
      <c r="B2788" s="8" t="s">
        <v>107</v>
      </c>
      <c r="C2788" s="10">
        <f t="shared" si="131"/>
        <v>40390</v>
      </c>
      <c r="D2788" t="s">
        <v>11</v>
      </c>
      <c r="E2788" t="s">
        <v>12</v>
      </c>
      <c r="F2788" t="s">
        <v>92</v>
      </c>
      <c r="G2788" t="s">
        <v>2877</v>
      </c>
      <c r="H2788" t="s">
        <v>2878</v>
      </c>
      <c r="I2788" t="s">
        <v>2879</v>
      </c>
      <c r="J2788" t="s">
        <v>2880</v>
      </c>
      <c r="K2788" t="s">
        <v>1767</v>
      </c>
      <c r="L2788" s="12" t="s">
        <v>108</v>
      </c>
      <c r="M2788" s="12" t="s">
        <v>42</v>
      </c>
      <c r="N2788" s="12" t="s">
        <v>36</v>
      </c>
      <c r="O2788" s="12" t="s">
        <v>248</v>
      </c>
      <c r="P2788" s="12" t="s">
        <v>201</v>
      </c>
      <c r="Q2788" s="7" t="str">
        <f t="shared" si="130"/>
        <v>(2010,30,'2010.07.31',1,3,38,63,72,0),</v>
      </c>
      <c r="R2788" s="7" t="str">
        <f t="shared" si="132"/>
        <v>(2010,30,'2010.07.31',1,3,38,63,72),</v>
      </c>
    </row>
    <row r="2789" spans="1:18" x14ac:dyDescent="0.25">
      <c r="A2789" s="7" t="s">
        <v>2782</v>
      </c>
      <c r="B2789" s="8" t="s">
        <v>71</v>
      </c>
      <c r="C2789" s="10">
        <f t="shared" si="131"/>
        <v>40397</v>
      </c>
      <c r="D2789" t="s">
        <v>108</v>
      </c>
      <c r="E2789" t="s">
        <v>2871</v>
      </c>
      <c r="F2789" t="s">
        <v>248</v>
      </c>
      <c r="G2789" t="s">
        <v>2872</v>
      </c>
      <c r="H2789" t="s">
        <v>2873</v>
      </c>
      <c r="I2789" t="s">
        <v>2874</v>
      </c>
      <c r="J2789" t="s">
        <v>2875</v>
      </c>
      <c r="K2789" t="s">
        <v>2876</v>
      </c>
      <c r="L2789" s="12" t="s">
        <v>207</v>
      </c>
      <c r="M2789" s="12" t="s">
        <v>198</v>
      </c>
      <c r="N2789" s="12" t="s">
        <v>83</v>
      </c>
      <c r="O2789" s="12" t="s">
        <v>46</v>
      </c>
      <c r="P2789" s="12" t="s">
        <v>192</v>
      </c>
      <c r="Q2789" s="7" t="str">
        <f t="shared" si="130"/>
        <v>(2010,31,'2010.08.07',2,9,11,37,46,0),</v>
      </c>
      <c r="R2789" s="7" t="str">
        <f t="shared" si="132"/>
        <v>(2010,31,'2010.08.07',2,9,11,37,46),</v>
      </c>
    </row>
    <row r="2790" spans="1:18" x14ac:dyDescent="0.25">
      <c r="A2790" s="7" t="s">
        <v>2782</v>
      </c>
      <c r="B2790" s="8" t="s">
        <v>80</v>
      </c>
      <c r="C2790" s="10">
        <f t="shared" si="131"/>
        <v>40404</v>
      </c>
      <c r="D2790" t="s">
        <v>11</v>
      </c>
      <c r="E2790" t="s">
        <v>12</v>
      </c>
      <c r="F2790" t="s">
        <v>44</v>
      </c>
      <c r="G2790" t="s">
        <v>2868</v>
      </c>
      <c r="H2790" t="s">
        <v>1976</v>
      </c>
      <c r="I2790" t="s">
        <v>2869</v>
      </c>
      <c r="J2790" t="s">
        <v>2870</v>
      </c>
      <c r="K2790" t="s">
        <v>328</v>
      </c>
      <c r="L2790" s="12" t="s">
        <v>24</v>
      </c>
      <c r="M2790" s="12" t="s">
        <v>98</v>
      </c>
      <c r="N2790" s="12" t="s">
        <v>81</v>
      </c>
      <c r="O2790" s="12" t="s">
        <v>215</v>
      </c>
      <c r="P2790" s="12" t="s">
        <v>379</v>
      </c>
      <c r="Q2790" s="7" t="str">
        <f t="shared" si="130"/>
        <v>(2010,32,'2010.08.14',39,42,47,81,89,0),</v>
      </c>
      <c r="R2790" s="7" t="str">
        <f t="shared" si="132"/>
        <v>(2010,32,'2010.08.14',39,42,47,81,89),</v>
      </c>
    </row>
    <row r="2791" spans="1:18" x14ac:dyDescent="0.25">
      <c r="A2791" s="7" t="s">
        <v>2782</v>
      </c>
      <c r="B2791" s="8" t="s">
        <v>20</v>
      </c>
      <c r="C2791" s="10">
        <f t="shared" si="131"/>
        <v>40411</v>
      </c>
      <c r="D2791" t="s">
        <v>108</v>
      </c>
      <c r="E2791" t="s">
        <v>2862</v>
      </c>
      <c r="F2791" t="s">
        <v>1016</v>
      </c>
      <c r="G2791" t="s">
        <v>2863</v>
      </c>
      <c r="H2791" t="s">
        <v>2864</v>
      </c>
      <c r="I2791" t="s">
        <v>2865</v>
      </c>
      <c r="J2791" t="s">
        <v>2866</v>
      </c>
      <c r="K2791" t="s">
        <v>2867</v>
      </c>
      <c r="L2791" s="12" t="s">
        <v>65</v>
      </c>
      <c r="M2791" s="12" t="s">
        <v>55</v>
      </c>
      <c r="N2791" s="12" t="s">
        <v>74</v>
      </c>
      <c r="O2791" s="12" t="s">
        <v>199</v>
      </c>
      <c r="P2791" s="12" t="s">
        <v>239</v>
      </c>
      <c r="Q2791" s="7" t="str">
        <f t="shared" si="130"/>
        <v>(2010,33,'2010.08.21',13,19,26,53,73,0),</v>
      </c>
      <c r="R2791" s="7" t="str">
        <f t="shared" si="132"/>
        <v>(2010,33,'2010.08.21',13,19,26,53,73),</v>
      </c>
    </row>
    <row r="2792" spans="1:18" x14ac:dyDescent="0.25">
      <c r="A2792" s="7" t="s">
        <v>2782</v>
      </c>
      <c r="B2792" s="8" t="s">
        <v>25</v>
      </c>
      <c r="C2792" s="10">
        <f t="shared" si="131"/>
        <v>40418</v>
      </c>
      <c r="D2792" t="s">
        <v>11</v>
      </c>
      <c r="E2792" t="s">
        <v>12</v>
      </c>
      <c r="F2792" t="s">
        <v>105</v>
      </c>
      <c r="G2792" t="s">
        <v>2857</v>
      </c>
      <c r="H2792" t="s">
        <v>2858</v>
      </c>
      <c r="I2792" t="s">
        <v>2859</v>
      </c>
      <c r="J2792" t="s">
        <v>2860</v>
      </c>
      <c r="K2792" t="s">
        <v>2861</v>
      </c>
      <c r="L2792" s="12" t="s">
        <v>42</v>
      </c>
      <c r="M2792" s="12" t="s">
        <v>83</v>
      </c>
      <c r="N2792" s="12" t="s">
        <v>43</v>
      </c>
      <c r="O2792" s="12" t="s">
        <v>32</v>
      </c>
      <c r="P2792" s="12" t="s">
        <v>269</v>
      </c>
      <c r="Q2792" s="7" t="str">
        <f t="shared" si="130"/>
        <v>(2010,34,'2010.08.28',3,11,16,22,87,0),</v>
      </c>
      <c r="R2792" s="7" t="str">
        <f t="shared" si="132"/>
        <v>(2010,34,'2010.08.28',3,11,16,22,87),</v>
      </c>
    </row>
    <row r="2793" spans="1:18" x14ac:dyDescent="0.25">
      <c r="A2793" s="7" t="s">
        <v>2782</v>
      </c>
      <c r="B2793" s="8" t="s">
        <v>64</v>
      </c>
      <c r="C2793" s="10">
        <f t="shared" si="131"/>
        <v>40425</v>
      </c>
      <c r="D2793" t="s">
        <v>11</v>
      </c>
      <c r="E2793" t="s">
        <v>12</v>
      </c>
      <c r="F2793" t="s">
        <v>80</v>
      </c>
      <c r="G2793" t="s">
        <v>2853</v>
      </c>
      <c r="H2793" t="s">
        <v>2854</v>
      </c>
      <c r="I2793" t="s">
        <v>2855</v>
      </c>
      <c r="J2793" t="s">
        <v>2856</v>
      </c>
      <c r="K2793" t="s">
        <v>998</v>
      </c>
      <c r="L2793" s="12" t="s">
        <v>54</v>
      </c>
      <c r="M2793" s="12" t="s">
        <v>46</v>
      </c>
      <c r="N2793" s="12" t="s">
        <v>192</v>
      </c>
      <c r="O2793" s="12" t="s">
        <v>175</v>
      </c>
      <c r="P2793" s="12" t="s">
        <v>82</v>
      </c>
      <c r="Q2793" s="7" t="str">
        <f t="shared" si="130"/>
        <v>(2010,35,'2010.09.04',15,37,46,55,59,0),</v>
      </c>
      <c r="R2793" s="7" t="str">
        <f t="shared" si="132"/>
        <v>(2010,35,'2010.09.04',15,37,46,55,59),</v>
      </c>
    </row>
    <row r="2794" spans="1:18" x14ac:dyDescent="0.25">
      <c r="A2794" s="7" t="s">
        <v>2782</v>
      </c>
      <c r="B2794" s="8" t="s">
        <v>21</v>
      </c>
      <c r="C2794" s="10">
        <f t="shared" si="131"/>
        <v>40432</v>
      </c>
      <c r="D2794" t="s">
        <v>11</v>
      </c>
      <c r="E2794" t="s">
        <v>12</v>
      </c>
      <c r="F2794" t="s">
        <v>21</v>
      </c>
      <c r="G2794" t="s">
        <v>2849</v>
      </c>
      <c r="H2794" t="s">
        <v>2850</v>
      </c>
      <c r="I2794" t="s">
        <v>2851</v>
      </c>
      <c r="J2794" t="s">
        <v>2852</v>
      </c>
      <c r="K2794" t="s">
        <v>2791</v>
      </c>
      <c r="L2794" s="12" t="s">
        <v>152</v>
      </c>
      <c r="M2794" s="12" t="s">
        <v>80</v>
      </c>
      <c r="N2794" s="12" t="s">
        <v>21</v>
      </c>
      <c r="O2794" s="12" t="s">
        <v>45</v>
      </c>
      <c r="P2794" s="12" t="s">
        <v>248</v>
      </c>
      <c r="Q2794" s="7" t="str">
        <f t="shared" si="130"/>
        <v>(2010,36,'2010.09.11',25,32,36,43,63,0),</v>
      </c>
      <c r="R2794" s="7" t="str">
        <f t="shared" si="132"/>
        <v>(2010,36,'2010.09.11',25,32,36,43,63),</v>
      </c>
    </row>
    <row r="2795" spans="1:18" x14ac:dyDescent="0.25">
      <c r="A2795" s="7" t="s">
        <v>2782</v>
      </c>
      <c r="B2795" s="8" t="s">
        <v>46</v>
      </c>
      <c r="C2795" s="10">
        <f t="shared" si="131"/>
        <v>40439</v>
      </c>
      <c r="D2795" t="s">
        <v>11</v>
      </c>
      <c r="E2795" t="s">
        <v>12</v>
      </c>
      <c r="F2795" t="s">
        <v>122</v>
      </c>
      <c r="G2795" t="s">
        <v>2844</v>
      </c>
      <c r="H2795" t="s">
        <v>2845</v>
      </c>
      <c r="I2795" t="s">
        <v>2846</v>
      </c>
      <c r="J2795" t="s">
        <v>2847</v>
      </c>
      <c r="K2795" t="s">
        <v>2848</v>
      </c>
      <c r="L2795" s="12" t="s">
        <v>108</v>
      </c>
      <c r="M2795" s="12" t="s">
        <v>53</v>
      </c>
      <c r="N2795" s="12" t="s">
        <v>127</v>
      </c>
      <c r="O2795" s="12" t="s">
        <v>64</v>
      </c>
      <c r="P2795" s="12" t="s">
        <v>45</v>
      </c>
      <c r="Q2795" s="7" t="str">
        <f t="shared" si="130"/>
        <v>(2010,37,'2010.09.18',1,7,14,35,43,0),</v>
      </c>
      <c r="R2795" s="7" t="str">
        <f t="shared" si="132"/>
        <v>(2010,37,'2010.09.18',1,7,14,35,43),</v>
      </c>
    </row>
    <row r="2796" spans="1:18" x14ac:dyDescent="0.25">
      <c r="A2796" s="7" t="s">
        <v>2782</v>
      </c>
      <c r="B2796" s="8" t="s">
        <v>36</v>
      </c>
      <c r="C2796" s="10">
        <f t="shared" si="131"/>
        <v>40446</v>
      </c>
      <c r="D2796" t="s">
        <v>11</v>
      </c>
      <c r="E2796" t="s">
        <v>12</v>
      </c>
      <c r="F2796" t="s">
        <v>83</v>
      </c>
      <c r="G2796" t="s">
        <v>2840</v>
      </c>
      <c r="H2796" t="s">
        <v>2841</v>
      </c>
      <c r="I2796" t="s">
        <v>2842</v>
      </c>
      <c r="J2796" t="s">
        <v>2843</v>
      </c>
      <c r="K2796" t="s">
        <v>1223</v>
      </c>
      <c r="L2796" s="12" t="s">
        <v>74</v>
      </c>
      <c r="M2796" s="12" t="s">
        <v>107</v>
      </c>
      <c r="N2796" s="12" t="s">
        <v>21</v>
      </c>
      <c r="O2796" s="12" t="s">
        <v>13</v>
      </c>
      <c r="P2796" s="12" t="s">
        <v>215</v>
      </c>
      <c r="Q2796" s="7" t="str">
        <f t="shared" si="130"/>
        <v>(2010,38,'2010.09.25',26,30,36,41,81,0),</v>
      </c>
      <c r="R2796" s="7" t="str">
        <f t="shared" si="132"/>
        <v>(2010,38,'2010.09.25',26,30,36,41,81),</v>
      </c>
    </row>
    <row r="2797" spans="1:18" x14ac:dyDescent="0.25">
      <c r="A2797" s="7" t="s">
        <v>2782</v>
      </c>
      <c r="B2797" s="8" t="s">
        <v>24</v>
      </c>
      <c r="C2797" s="10">
        <f t="shared" si="131"/>
        <v>40453</v>
      </c>
      <c r="D2797" t="s">
        <v>11</v>
      </c>
      <c r="E2797" t="s">
        <v>12</v>
      </c>
      <c r="F2797" t="s">
        <v>2834</v>
      </c>
      <c r="G2797" t="s">
        <v>2835</v>
      </c>
      <c r="H2797" t="s">
        <v>2836</v>
      </c>
      <c r="I2797" t="s">
        <v>2837</v>
      </c>
      <c r="J2797" t="s">
        <v>2838</v>
      </c>
      <c r="K2797" t="s">
        <v>2839</v>
      </c>
      <c r="L2797" s="12" t="s">
        <v>65</v>
      </c>
      <c r="M2797" s="12" t="s">
        <v>55</v>
      </c>
      <c r="N2797" s="12" t="s">
        <v>71</v>
      </c>
      <c r="O2797" s="12" t="s">
        <v>199</v>
      </c>
      <c r="P2797" s="12" t="s">
        <v>239</v>
      </c>
      <c r="Q2797" s="7" t="str">
        <f t="shared" si="130"/>
        <v>(2010,39,'2010.10.02',13,19,31,53,73,0),</v>
      </c>
      <c r="R2797" s="7" t="str">
        <f t="shared" si="132"/>
        <v>(2010,39,'2010.10.02',13,19,31,53,73),</v>
      </c>
    </row>
    <row r="2798" spans="1:18" x14ac:dyDescent="0.25">
      <c r="A2798" s="7" t="s">
        <v>2782</v>
      </c>
      <c r="B2798" s="8" t="s">
        <v>10</v>
      </c>
      <c r="C2798" s="10">
        <f t="shared" si="131"/>
        <v>40460</v>
      </c>
      <c r="D2798" t="s">
        <v>11</v>
      </c>
      <c r="E2798" t="s">
        <v>12</v>
      </c>
      <c r="F2798" t="s">
        <v>107</v>
      </c>
      <c r="G2798" t="s">
        <v>2830</v>
      </c>
      <c r="H2798" t="s">
        <v>2831</v>
      </c>
      <c r="I2798" t="s">
        <v>2832</v>
      </c>
      <c r="J2798" t="s">
        <v>2833</v>
      </c>
      <c r="K2798" t="s">
        <v>1419</v>
      </c>
      <c r="L2798" s="12" t="s">
        <v>62</v>
      </c>
      <c r="M2798" s="12" t="s">
        <v>116</v>
      </c>
      <c r="N2798" s="12" t="s">
        <v>124</v>
      </c>
      <c r="O2798" s="12" t="s">
        <v>245</v>
      </c>
      <c r="P2798" s="12" t="s">
        <v>125</v>
      </c>
      <c r="Q2798" s="7" t="str">
        <f t="shared" si="130"/>
        <v>(2010,40,'2010.10.09',10,29,62,74,83,0),</v>
      </c>
      <c r="R2798" s="7" t="str">
        <f t="shared" si="132"/>
        <v>(2010,40,'2010.10.09',10,29,62,74,83),</v>
      </c>
    </row>
    <row r="2799" spans="1:18" x14ac:dyDescent="0.25">
      <c r="A2799" s="7" t="s">
        <v>2782</v>
      </c>
      <c r="B2799" s="8" t="s">
        <v>13</v>
      </c>
      <c r="C2799" s="10">
        <f t="shared" si="131"/>
        <v>40467</v>
      </c>
      <c r="D2799" t="s">
        <v>11</v>
      </c>
      <c r="E2799" t="s">
        <v>12</v>
      </c>
      <c r="F2799" t="s">
        <v>24</v>
      </c>
      <c r="G2799" t="s">
        <v>2826</v>
      </c>
      <c r="H2799" t="s">
        <v>2827</v>
      </c>
      <c r="I2799" t="s">
        <v>2828</v>
      </c>
      <c r="J2799" t="s">
        <v>2829</v>
      </c>
      <c r="K2799" t="s">
        <v>2791</v>
      </c>
      <c r="L2799" s="12" t="s">
        <v>207</v>
      </c>
      <c r="M2799" s="12" t="s">
        <v>232</v>
      </c>
      <c r="N2799" s="12" t="s">
        <v>36</v>
      </c>
      <c r="O2799" s="12" t="s">
        <v>142</v>
      </c>
      <c r="P2799" s="12" t="s">
        <v>105</v>
      </c>
      <c r="Q2799" s="7" t="str">
        <f t="shared" si="130"/>
        <v>(2010,41,'2010.10.16',2,8,38,44,50,0),</v>
      </c>
      <c r="R2799" s="7" t="str">
        <f t="shared" si="132"/>
        <v>(2010,41,'2010.10.16',2,8,38,44,50),</v>
      </c>
    </row>
    <row r="2800" spans="1:18" x14ac:dyDescent="0.25">
      <c r="A2800" s="7" t="s">
        <v>2782</v>
      </c>
      <c r="B2800" s="8" t="s">
        <v>98</v>
      </c>
      <c r="C2800" s="10">
        <f t="shared" si="131"/>
        <v>40474</v>
      </c>
      <c r="D2800" t="s">
        <v>108</v>
      </c>
      <c r="E2800" t="s">
        <v>2822</v>
      </c>
      <c r="F2800" t="s">
        <v>44</v>
      </c>
      <c r="G2800" t="s">
        <v>2823</v>
      </c>
      <c r="H2800" t="s">
        <v>849</v>
      </c>
      <c r="I2800" t="s">
        <v>2824</v>
      </c>
      <c r="J2800" t="s">
        <v>2825</v>
      </c>
      <c r="K2800" t="s">
        <v>52</v>
      </c>
      <c r="L2800" s="12" t="s">
        <v>31</v>
      </c>
      <c r="M2800" s="12" t="s">
        <v>163</v>
      </c>
      <c r="N2800" s="12" t="s">
        <v>107</v>
      </c>
      <c r="O2800" s="12" t="s">
        <v>20</v>
      </c>
      <c r="P2800" s="12" t="s">
        <v>91</v>
      </c>
      <c r="Q2800" s="7" t="str">
        <f t="shared" si="130"/>
        <v>(2010,42,'2010.10.23',12,23,30,33,61,0),</v>
      </c>
      <c r="R2800" s="7" t="str">
        <f t="shared" si="132"/>
        <v>(2010,42,'2010.10.23',12,23,30,33,61),</v>
      </c>
    </row>
    <row r="2801" spans="1:18" x14ac:dyDescent="0.25">
      <c r="A2801" s="7" t="s">
        <v>2782</v>
      </c>
      <c r="B2801" s="8" t="s">
        <v>45</v>
      </c>
      <c r="C2801" s="10">
        <f t="shared" si="131"/>
        <v>40481</v>
      </c>
      <c r="D2801" t="s">
        <v>108</v>
      </c>
      <c r="E2801" t="s">
        <v>2817</v>
      </c>
      <c r="F2801" t="s">
        <v>126</v>
      </c>
      <c r="G2801" t="s">
        <v>2818</v>
      </c>
      <c r="H2801" t="s">
        <v>2819</v>
      </c>
      <c r="I2801" t="s">
        <v>2820</v>
      </c>
      <c r="J2801" t="s">
        <v>2821</v>
      </c>
      <c r="K2801" t="s">
        <v>2321</v>
      </c>
      <c r="L2801" s="12" t="s">
        <v>270</v>
      </c>
      <c r="M2801" s="12" t="s">
        <v>126</v>
      </c>
      <c r="N2801" s="12" t="s">
        <v>36</v>
      </c>
      <c r="O2801" s="12" t="s">
        <v>34</v>
      </c>
      <c r="P2801" s="12" t="s">
        <v>47</v>
      </c>
      <c r="Q2801" s="7" t="str">
        <f t="shared" si="130"/>
        <v>(2010,43,'2010.10.30',6,28,38,49,69,0),</v>
      </c>
      <c r="R2801" s="7" t="str">
        <f t="shared" si="132"/>
        <v>(2010,43,'2010.10.30',6,28,38,49,69),</v>
      </c>
    </row>
    <row r="2802" spans="1:18" x14ac:dyDescent="0.25">
      <c r="A2802" s="7" t="s">
        <v>2782</v>
      </c>
      <c r="B2802" s="8" t="s">
        <v>142</v>
      </c>
      <c r="C2802" s="10">
        <f t="shared" si="131"/>
        <v>40488</v>
      </c>
      <c r="D2802" t="s">
        <v>11</v>
      </c>
      <c r="E2802" t="s">
        <v>12</v>
      </c>
      <c r="F2802" t="s">
        <v>90</v>
      </c>
      <c r="G2802" t="s">
        <v>2814</v>
      </c>
      <c r="H2802" t="s">
        <v>2712</v>
      </c>
      <c r="I2802" t="s">
        <v>2815</v>
      </c>
      <c r="J2802" t="s">
        <v>2816</v>
      </c>
      <c r="K2802" t="s">
        <v>908</v>
      </c>
      <c r="L2802" s="12" t="s">
        <v>54</v>
      </c>
      <c r="M2802" s="12" t="s">
        <v>13</v>
      </c>
      <c r="N2802" s="12" t="s">
        <v>45</v>
      </c>
      <c r="O2802" s="12" t="s">
        <v>133</v>
      </c>
      <c r="P2802" s="12" t="s">
        <v>379</v>
      </c>
      <c r="Q2802" s="7" t="str">
        <f t="shared" si="130"/>
        <v>(2010,44,'2010.11.06',15,41,43,45,89,0),</v>
      </c>
      <c r="R2802" s="7" t="str">
        <f t="shared" si="132"/>
        <v>(2010,44,'2010.11.06',15,41,43,45,89),</v>
      </c>
    </row>
    <row r="2803" spans="1:18" x14ac:dyDescent="0.25">
      <c r="A2803" s="7" t="s">
        <v>2782</v>
      </c>
      <c r="B2803" s="8" t="s">
        <v>133</v>
      </c>
      <c r="C2803" s="10">
        <f t="shared" si="131"/>
        <v>40495</v>
      </c>
      <c r="D2803" t="s">
        <v>11</v>
      </c>
      <c r="E2803" t="s">
        <v>12</v>
      </c>
      <c r="F2803" t="s">
        <v>13</v>
      </c>
      <c r="G2803" t="s">
        <v>2811</v>
      </c>
      <c r="H2803" t="s">
        <v>1051</v>
      </c>
      <c r="I2803" t="s">
        <v>2812</v>
      </c>
      <c r="J2803" t="s">
        <v>2813</v>
      </c>
      <c r="K2803" t="s">
        <v>894</v>
      </c>
      <c r="L2803" s="12" t="s">
        <v>108</v>
      </c>
      <c r="M2803" s="12" t="s">
        <v>54</v>
      </c>
      <c r="N2803" s="12" t="s">
        <v>32</v>
      </c>
      <c r="O2803" s="12" t="s">
        <v>105</v>
      </c>
      <c r="P2803" s="12" t="s">
        <v>301</v>
      </c>
      <c r="Q2803" s="7" t="str">
        <f t="shared" si="130"/>
        <v>(2010,45,'2010.11.13',1,15,22,50,80,0),</v>
      </c>
      <c r="R2803" s="7" t="str">
        <f t="shared" si="132"/>
        <v>(2010,45,'2010.11.13',1,15,22,50,80),</v>
      </c>
    </row>
    <row r="2804" spans="1:18" x14ac:dyDescent="0.25">
      <c r="A2804" s="7" t="s">
        <v>2782</v>
      </c>
      <c r="B2804" s="8" t="s">
        <v>192</v>
      </c>
      <c r="C2804" s="10">
        <f t="shared" si="131"/>
        <v>40502</v>
      </c>
      <c r="D2804" t="s">
        <v>11</v>
      </c>
      <c r="E2804" t="s">
        <v>12</v>
      </c>
      <c r="F2804" t="s">
        <v>127</v>
      </c>
      <c r="G2804" t="s">
        <v>2807</v>
      </c>
      <c r="H2804" t="s">
        <v>2808</v>
      </c>
      <c r="I2804" t="s">
        <v>2809</v>
      </c>
      <c r="J2804" t="s">
        <v>2810</v>
      </c>
      <c r="K2804" t="s">
        <v>575</v>
      </c>
      <c r="L2804" s="12" t="s">
        <v>33</v>
      </c>
      <c r="M2804" s="12" t="s">
        <v>74</v>
      </c>
      <c r="N2804" s="12" t="s">
        <v>24</v>
      </c>
      <c r="O2804" s="12" t="s">
        <v>10</v>
      </c>
      <c r="P2804" s="12" t="s">
        <v>63</v>
      </c>
      <c r="Q2804" s="7" t="str">
        <f t="shared" si="130"/>
        <v>(2010,46,'2010.11.20',24,26,39,40,78,0),</v>
      </c>
      <c r="R2804" s="7" t="str">
        <f t="shared" si="132"/>
        <v>(2010,46,'2010.11.20',24,26,39,40,78),</v>
      </c>
    </row>
    <row r="2805" spans="1:18" x14ac:dyDescent="0.25">
      <c r="A2805" s="7" t="s">
        <v>2782</v>
      </c>
      <c r="B2805" s="8" t="s">
        <v>81</v>
      </c>
      <c r="C2805" s="10">
        <f t="shared" si="131"/>
        <v>40509</v>
      </c>
      <c r="D2805" t="s">
        <v>11</v>
      </c>
      <c r="E2805" t="s">
        <v>12</v>
      </c>
      <c r="F2805" t="s">
        <v>62</v>
      </c>
      <c r="G2805" t="s">
        <v>2803</v>
      </c>
      <c r="H2805" t="s">
        <v>2804</v>
      </c>
      <c r="I2805" t="s">
        <v>2805</v>
      </c>
      <c r="J2805" t="s">
        <v>2806</v>
      </c>
      <c r="K2805" t="s">
        <v>1053</v>
      </c>
      <c r="L2805" s="12" t="s">
        <v>207</v>
      </c>
      <c r="M2805" s="12" t="s">
        <v>23</v>
      </c>
      <c r="N2805" s="12" t="s">
        <v>233</v>
      </c>
      <c r="O2805" s="12" t="s">
        <v>239</v>
      </c>
      <c r="P2805" s="12" t="s">
        <v>246</v>
      </c>
      <c r="Q2805" s="7" t="str">
        <f t="shared" si="130"/>
        <v>(2010,47,'2010.11.27',2,60,66,73,84,0),</v>
      </c>
      <c r="R2805" s="7" t="str">
        <f t="shared" si="132"/>
        <v>(2010,47,'2010.11.27',2,60,66,73,84),</v>
      </c>
    </row>
    <row r="2806" spans="1:18" x14ac:dyDescent="0.25">
      <c r="A2806" s="7" t="s">
        <v>2782</v>
      </c>
      <c r="B2806" s="8" t="s">
        <v>22</v>
      </c>
      <c r="C2806" s="10">
        <f t="shared" si="131"/>
        <v>40516</v>
      </c>
      <c r="D2806" t="s">
        <v>11</v>
      </c>
      <c r="E2806" t="s">
        <v>12</v>
      </c>
      <c r="F2806" t="s">
        <v>33</v>
      </c>
      <c r="G2806" t="s">
        <v>2800</v>
      </c>
      <c r="H2806" t="s">
        <v>357</v>
      </c>
      <c r="I2806" t="s">
        <v>2801</v>
      </c>
      <c r="J2806" t="s">
        <v>2802</v>
      </c>
      <c r="K2806" t="s">
        <v>1546</v>
      </c>
      <c r="L2806" s="12" t="s">
        <v>46</v>
      </c>
      <c r="M2806" s="12" t="s">
        <v>133</v>
      </c>
      <c r="N2806" s="12" t="s">
        <v>22</v>
      </c>
      <c r="O2806" s="12" t="s">
        <v>99</v>
      </c>
      <c r="P2806" s="12" t="s">
        <v>245</v>
      </c>
      <c r="Q2806" s="7" t="str">
        <f t="shared" si="130"/>
        <v>(2010,48,'2010.12.04',37,45,48,52,74,0),</v>
      </c>
      <c r="R2806" s="7" t="str">
        <f t="shared" si="132"/>
        <v>(2010,48,'2010.12.04',37,45,48,52,74),</v>
      </c>
    </row>
    <row r="2807" spans="1:18" x14ac:dyDescent="0.25">
      <c r="A2807" s="7" t="s">
        <v>2782</v>
      </c>
      <c r="B2807" s="8" t="s">
        <v>34</v>
      </c>
      <c r="C2807" s="10">
        <f t="shared" si="131"/>
        <v>40523</v>
      </c>
      <c r="D2807" t="s">
        <v>11</v>
      </c>
      <c r="E2807" t="s">
        <v>12</v>
      </c>
      <c r="F2807" t="s">
        <v>72</v>
      </c>
      <c r="G2807" t="s">
        <v>2796</v>
      </c>
      <c r="H2807" t="s">
        <v>2797</v>
      </c>
      <c r="I2807" t="s">
        <v>2798</v>
      </c>
      <c r="J2807" t="s">
        <v>2799</v>
      </c>
      <c r="K2807" t="s">
        <v>2067</v>
      </c>
      <c r="L2807" s="12" t="s">
        <v>168</v>
      </c>
      <c r="M2807" s="12" t="s">
        <v>126</v>
      </c>
      <c r="N2807" s="12" t="s">
        <v>36</v>
      </c>
      <c r="O2807" s="12" t="s">
        <v>47</v>
      </c>
      <c r="P2807" s="12" t="s">
        <v>201</v>
      </c>
      <c r="Q2807" s="7" t="str">
        <f t="shared" si="130"/>
        <v>(2010,49,'2010.12.11',4,28,38,69,72,0),</v>
      </c>
      <c r="R2807" s="7" t="str">
        <f t="shared" si="132"/>
        <v>(2010,49,'2010.12.11',4,28,38,69,72),</v>
      </c>
    </row>
    <row r="2808" spans="1:18" x14ac:dyDescent="0.25">
      <c r="A2808" s="7" t="s">
        <v>2782</v>
      </c>
      <c r="B2808" s="8" t="s">
        <v>105</v>
      </c>
      <c r="C2808" s="10">
        <f t="shared" si="131"/>
        <v>40530</v>
      </c>
      <c r="D2808" t="s">
        <v>11</v>
      </c>
      <c r="E2808" t="s">
        <v>12</v>
      </c>
      <c r="F2808" t="s">
        <v>55</v>
      </c>
      <c r="G2808" t="s">
        <v>2792</v>
      </c>
      <c r="H2808" t="s">
        <v>2793</v>
      </c>
      <c r="I2808" t="s">
        <v>2794</v>
      </c>
      <c r="J2808" t="s">
        <v>2795</v>
      </c>
      <c r="K2808" t="s">
        <v>1081</v>
      </c>
      <c r="L2808" s="12" t="s">
        <v>83</v>
      </c>
      <c r="M2808" s="12" t="s">
        <v>107</v>
      </c>
      <c r="N2808" s="12" t="s">
        <v>248</v>
      </c>
      <c r="O2808" s="12" t="s">
        <v>233</v>
      </c>
      <c r="P2808" s="12" t="s">
        <v>246</v>
      </c>
      <c r="Q2808" s="7" t="str">
        <f t="shared" si="130"/>
        <v>(2010,50,'2010.12.18',11,30,63,66,84,0),</v>
      </c>
      <c r="R2808" s="7" t="str">
        <f t="shared" si="132"/>
        <v>(2010,50,'2010.12.18',11,30,63,66,84),</v>
      </c>
    </row>
    <row r="2809" spans="1:18" x14ac:dyDescent="0.25">
      <c r="A2809" s="7" t="s">
        <v>2782</v>
      </c>
      <c r="B2809" s="8" t="s">
        <v>122</v>
      </c>
      <c r="C2809" s="10">
        <f t="shared" si="131"/>
        <v>40537</v>
      </c>
      <c r="D2809" t="s">
        <v>11</v>
      </c>
      <c r="E2809" t="s">
        <v>12</v>
      </c>
      <c r="F2809" t="s">
        <v>44</v>
      </c>
      <c r="G2809" t="s">
        <v>2788</v>
      </c>
      <c r="H2809" t="s">
        <v>2789</v>
      </c>
      <c r="I2809" t="s">
        <v>582</v>
      </c>
      <c r="J2809" t="s">
        <v>2790</v>
      </c>
      <c r="K2809" t="s">
        <v>2791</v>
      </c>
      <c r="L2809" s="12" t="s">
        <v>168</v>
      </c>
      <c r="M2809" s="12" t="s">
        <v>90</v>
      </c>
      <c r="N2809" s="12" t="s">
        <v>200</v>
      </c>
      <c r="O2809" s="12" t="s">
        <v>56</v>
      </c>
      <c r="P2809" s="12" t="s">
        <v>106</v>
      </c>
      <c r="Q2809" s="7" t="str">
        <f t="shared" si="130"/>
        <v>(2010,51,'2010.12.25',4,17,70,71,75,0),</v>
      </c>
      <c r="R2809" s="7" t="str">
        <f t="shared" si="132"/>
        <v>(2010,51,'2010.12.25',4,17,70,71,75),</v>
      </c>
    </row>
    <row r="2810" spans="1:18" x14ac:dyDescent="0.25">
      <c r="A2810" s="7" t="s">
        <v>2782</v>
      </c>
      <c r="B2810" s="8" t="s">
        <v>99</v>
      </c>
      <c r="C2810" s="10">
        <f t="shared" si="131"/>
        <v>40544</v>
      </c>
      <c r="D2810" t="s">
        <v>108</v>
      </c>
      <c r="E2810" t="s">
        <v>2783</v>
      </c>
      <c r="F2810" t="s">
        <v>45</v>
      </c>
      <c r="G2810" t="s">
        <v>2784</v>
      </c>
      <c r="H2810" t="s">
        <v>2785</v>
      </c>
      <c r="I2810" t="s">
        <v>2786</v>
      </c>
      <c r="J2810" t="s">
        <v>2787</v>
      </c>
      <c r="K2810" t="s">
        <v>549</v>
      </c>
      <c r="L2810" s="12" t="s">
        <v>168</v>
      </c>
      <c r="M2810" s="12" t="s">
        <v>232</v>
      </c>
      <c r="N2810" s="12" t="s">
        <v>71</v>
      </c>
      <c r="O2810" s="12" t="s">
        <v>215</v>
      </c>
      <c r="P2810" s="12" t="s">
        <v>125</v>
      </c>
      <c r="Q2810" s="7" t="str">
        <f t="shared" si="130"/>
        <v>(2010,52,'2011.01.01',4,8,31,81,83,0),</v>
      </c>
      <c r="R2810" s="7" t="str">
        <f t="shared" si="132"/>
        <v>(2010,52,'2011.01.01',4,8,31,81,83),</v>
      </c>
    </row>
    <row r="2811" spans="1:18" x14ac:dyDescent="0.25">
      <c r="A2811" s="7" t="s">
        <v>2576</v>
      </c>
      <c r="B2811" s="8" t="s">
        <v>108</v>
      </c>
      <c r="C2811" s="10">
        <f t="shared" si="131"/>
        <v>40551</v>
      </c>
      <c r="D2811" t="s">
        <v>11</v>
      </c>
      <c r="E2811" t="s">
        <v>12</v>
      </c>
      <c r="F2811" t="s">
        <v>45</v>
      </c>
      <c r="G2811" t="s">
        <v>2779</v>
      </c>
      <c r="H2811" t="s">
        <v>188</v>
      </c>
      <c r="I2811" t="s">
        <v>2780</v>
      </c>
      <c r="J2811" t="s">
        <v>2781</v>
      </c>
      <c r="K2811" t="s">
        <v>41</v>
      </c>
      <c r="L2811" s="12" t="s">
        <v>89</v>
      </c>
      <c r="M2811" s="12" t="s">
        <v>107</v>
      </c>
      <c r="N2811" s="12" t="s">
        <v>175</v>
      </c>
      <c r="O2811" s="12" t="s">
        <v>200</v>
      </c>
      <c r="P2811" s="12" t="s">
        <v>468</v>
      </c>
      <c r="Q2811" s="7" t="str">
        <f t="shared" si="130"/>
        <v>(2011,1,'2011.01.08',5,30,55,70,85,0),</v>
      </c>
      <c r="R2811" s="7" t="str">
        <f t="shared" si="132"/>
        <v>(2011,1,'2011.01.08',5,30,55,70,85),</v>
      </c>
    </row>
    <row r="2812" spans="1:18" x14ac:dyDescent="0.25">
      <c r="A2812" s="7" t="s">
        <v>2576</v>
      </c>
      <c r="B2812" s="8" t="s">
        <v>207</v>
      </c>
      <c r="C2812" s="10">
        <f t="shared" si="131"/>
        <v>40558</v>
      </c>
      <c r="D2812" t="s">
        <v>11</v>
      </c>
      <c r="E2812" t="s">
        <v>12</v>
      </c>
      <c r="F2812" t="s">
        <v>20</v>
      </c>
      <c r="G2812" t="s">
        <v>2774</v>
      </c>
      <c r="H2812" t="s">
        <v>2775</v>
      </c>
      <c r="I2812" t="s">
        <v>2776</v>
      </c>
      <c r="J2812" t="s">
        <v>2777</v>
      </c>
      <c r="K2812" t="s">
        <v>2778</v>
      </c>
      <c r="L2812" s="12" t="s">
        <v>42</v>
      </c>
      <c r="M2812" s="12" t="s">
        <v>62</v>
      </c>
      <c r="N2812" s="12" t="s">
        <v>22</v>
      </c>
      <c r="O2812" s="12" t="s">
        <v>91</v>
      </c>
      <c r="P2812" s="12" t="s">
        <v>73</v>
      </c>
      <c r="Q2812" s="7" t="str">
        <f t="shared" si="130"/>
        <v>(2011,2,'2011.01.15',3,10,48,61,76,0),</v>
      </c>
      <c r="R2812" s="7" t="str">
        <f t="shared" si="132"/>
        <v>(2011,2,'2011.01.15',3,10,48,61,76),</v>
      </c>
    </row>
    <row r="2813" spans="1:18" x14ac:dyDescent="0.25">
      <c r="A2813" s="7" t="s">
        <v>2576</v>
      </c>
      <c r="B2813" s="8" t="s">
        <v>42</v>
      </c>
      <c r="C2813" s="10">
        <f t="shared" si="131"/>
        <v>40565</v>
      </c>
      <c r="D2813" t="s">
        <v>11</v>
      </c>
      <c r="E2813" t="s">
        <v>12</v>
      </c>
      <c r="F2813" t="s">
        <v>55</v>
      </c>
      <c r="G2813" t="s">
        <v>2770</v>
      </c>
      <c r="H2813" t="s">
        <v>2771</v>
      </c>
      <c r="I2813" t="s">
        <v>2772</v>
      </c>
      <c r="J2813" t="s">
        <v>2773</v>
      </c>
      <c r="K2813" t="s">
        <v>2380</v>
      </c>
      <c r="L2813" s="12" t="s">
        <v>74</v>
      </c>
      <c r="M2813" s="12" t="s">
        <v>24</v>
      </c>
      <c r="N2813" s="12" t="s">
        <v>200</v>
      </c>
      <c r="O2813" s="12" t="s">
        <v>56</v>
      </c>
      <c r="P2813" s="12" t="s">
        <v>622</v>
      </c>
      <c r="Q2813" s="7" t="str">
        <f t="shared" si="130"/>
        <v>(2011,3,'2011.01.22',26,39,70,71,82,0),</v>
      </c>
      <c r="R2813" s="7" t="str">
        <f t="shared" si="132"/>
        <v>(2011,3,'2011.01.22',26,39,70,71,82),</v>
      </c>
    </row>
    <row r="2814" spans="1:18" x14ac:dyDescent="0.25">
      <c r="A2814" s="7" t="s">
        <v>2576</v>
      </c>
      <c r="B2814" s="8" t="s">
        <v>168</v>
      </c>
      <c r="C2814" s="10">
        <f t="shared" si="131"/>
        <v>40572</v>
      </c>
      <c r="D2814" t="s">
        <v>11</v>
      </c>
      <c r="E2814" t="s">
        <v>12</v>
      </c>
      <c r="F2814" t="s">
        <v>81</v>
      </c>
      <c r="G2814" t="s">
        <v>2766</v>
      </c>
      <c r="H2814" t="s">
        <v>2767</v>
      </c>
      <c r="I2814" t="s">
        <v>2768</v>
      </c>
      <c r="J2814" t="s">
        <v>2769</v>
      </c>
      <c r="K2814" t="s">
        <v>1095</v>
      </c>
      <c r="L2814" s="12" t="s">
        <v>31</v>
      </c>
      <c r="M2814" s="12" t="s">
        <v>44</v>
      </c>
      <c r="N2814" s="12" t="s">
        <v>20</v>
      </c>
      <c r="O2814" s="12" t="s">
        <v>150</v>
      </c>
      <c r="P2814" s="12" t="s">
        <v>82</v>
      </c>
      <c r="Q2814" s="7" t="str">
        <f t="shared" si="130"/>
        <v>(2011,4,'2011.01.29',12,21,33,57,59,0),</v>
      </c>
      <c r="R2814" s="7" t="str">
        <f t="shared" si="132"/>
        <v>(2011,4,'2011.01.29',12,21,33,57,59),</v>
      </c>
    </row>
    <row r="2815" spans="1:18" x14ac:dyDescent="0.25">
      <c r="A2815" s="7" t="s">
        <v>2576</v>
      </c>
      <c r="B2815" s="8" t="s">
        <v>89</v>
      </c>
      <c r="C2815" s="10">
        <f t="shared" si="131"/>
        <v>40579</v>
      </c>
      <c r="D2815" t="s">
        <v>11</v>
      </c>
      <c r="E2815" t="s">
        <v>12</v>
      </c>
      <c r="F2815" t="s">
        <v>135</v>
      </c>
      <c r="G2815" t="s">
        <v>2763</v>
      </c>
      <c r="H2815" t="s">
        <v>1173</v>
      </c>
      <c r="I2815" t="s">
        <v>2764</v>
      </c>
      <c r="J2815" t="s">
        <v>2765</v>
      </c>
      <c r="K2815" t="s">
        <v>1242</v>
      </c>
      <c r="L2815" s="12" t="s">
        <v>108</v>
      </c>
      <c r="M2815" s="12" t="s">
        <v>207</v>
      </c>
      <c r="N2815" s="12" t="s">
        <v>19</v>
      </c>
      <c r="O2815" s="12" t="s">
        <v>169</v>
      </c>
      <c r="P2815" s="12" t="s">
        <v>245</v>
      </c>
      <c r="Q2815" s="7" t="str">
        <f t="shared" si="130"/>
        <v>(2011,5,'2011.02.05',1,2,18,58,74,0),</v>
      </c>
      <c r="R2815" s="7" t="str">
        <f t="shared" si="132"/>
        <v>(2011,5,'2011.02.05',1,2,18,58,74),</v>
      </c>
    </row>
    <row r="2816" spans="1:18" x14ac:dyDescent="0.25">
      <c r="A2816" s="7" t="s">
        <v>2576</v>
      </c>
      <c r="B2816" s="8" t="s">
        <v>270</v>
      </c>
      <c r="C2816" s="10">
        <f t="shared" si="131"/>
        <v>40586</v>
      </c>
      <c r="D2816" t="s">
        <v>108</v>
      </c>
      <c r="E2816" t="s">
        <v>2758</v>
      </c>
      <c r="F2816" t="s">
        <v>63</v>
      </c>
      <c r="G2816" t="s">
        <v>2759</v>
      </c>
      <c r="H2816" t="s">
        <v>2760</v>
      </c>
      <c r="I2816" t="s">
        <v>2761</v>
      </c>
      <c r="J2816" t="s">
        <v>2762</v>
      </c>
      <c r="K2816" t="s">
        <v>2339</v>
      </c>
      <c r="L2816" s="12" t="s">
        <v>89</v>
      </c>
      <c r="M2816" s="12" t="s">
        <v>54</v>
      </c>
      <c r="N2816" s="12" t="s">
        <v>21</v>
      </c>
      <c r="O2816" s="12" t="s">
        <v>239</v>
      </c>
      <c r="P2816" s="12" t="s">
        <v>106</v>
      </c>
      <c r="Q2816" s="7" t="str">
        <f t="shared" si="130"/>
        <v>(2011,6,'2011.02.12',5,15,36,73,75,0),</v>
      </c>
      <c r="R2816" s="7" t="str">
        <f t="shared" si="132"/>
        <v>(2011,6,'2011.02.12',5,15,36,73,75),</v>
      </c>
    </row>
    <row r="2817" spans="1:18" x14ac:dyDescent="0.25">
      <c r="A2817" s="7" t="s">
        <v>2576</v>
      </c>
      <c r="B2817" s="8" t="s">
        <v>53</v>
      </c>
      <c r="C2817" s="10">
        <f t="shared" si="131"/>
        <v>40593</v>
      </c>
      <c r="D2817" t="s">
        <v>11</v>
      </c>
      <c r="E2817" t="s">
        <v>12</v>
      </c>
      <c r="F2817" t="s">
        <v>74</v>
      </c>
      <c r="G2817" t="s">
        <v>2754</v>
      </c>
      <c r="H2817" t="s">
        <v>2755</v>
      </c>
      <c r="I2817" t="s">
        <v>2756</v>
      </c>
      <c r="J2817" t="s">
        <v>2757</v>
      </c>
      <c r="K2817" t="s">
        <v>448</v>
      </c>
      <c r="L2817" s="12" t="s">
        <v>54</v>
      </c>
      <c r="M2817" s="12" t="s">
        <v>36</v>
      </c>
      <c r="N2817" s="12" t="s">
        <v>233</v>
      </c>
      <c r="O2817" s="12" t="s">
        <v>200</v>
      </c>
      <c r="P2817" s="12" t="s">
        <v>73</v>
      </c>
      <c r="Q2817" s="7" t="str">
        <f t="shared" si="130"/>
        <v>(2011,7,'2011.02.19',15,38,66,70,76,0),</v>
      </c>
      <c r="R2817" s="7" t="str">
        <f t="shared" si="132"/>
        <v>(2011,7,'2011.02.19',15,38,66,70,76),</v>
      </c>
    </row>
    <row r="2818" spans="1:18" x14ac:dyDescent="0.25">
      <c r="A2818" s="7" t="s">
        <v>2576</v>
      </c>
      <c r="B2818" s="8" t="s">
        <v>232</v>
      </c>
      <c r="C2818" s="10">
        <f t="shared" si="131"/>
        <v>40600</v>
      </c>
      <c r="D2818" t="s">
        <v>11</v>
      </c>
      <c r="E2818" t="s">
        <v>12</v>
      </c>
      <c r="F2818" t="s">
        <v>80</v>
      </c>
      <c r="G2818" t="s">
        <v>2750</v>
      </c>
      <c r="H2818" t="s">
        <v>2751</v>
      </c>
      <c r="I2818" t="s">
        <v>2752</v>
      </c>
      <c r="J2818" t="s">
        <v>2753</v>
      </c>
      <c r="K2818" t="s">
        <v>1369</v>
      </c>
      <c r="L2818" s="12" t="s">
        <v>89</v>
      </c>
      <c r="M2818" s="12" t="s">
        <v>32</v>
      </c>
      <c r="N2818" s="12" t="s">
        <v>122</v>
      </c>
      <c r="O2818" s="12" t="s">
        <v>200</v>
      </c>
      <c r="P2818" s="12" t="s">
        <v>201</v>
      </c>
      <c r="Q2818" s="7" t="str">
        <f t="shared" ref="Q2818:Q2881" si="133">"("&amp;A2818&amp;","&amp;B2818&amp;",'"&amp;TEXT(C2818,"éééé.hh.nn")&amp;"',"&amp;L2818&amp;","&amp;M2818&amp;","&amp;N2818&amp;","&amp;O2818&amp;","&amp;P2818&amp;",0)"&amp;IF(P2819&lt;&gt;0,",","")</f>
        <v>(2011,8,'2011.02.26',5,22,51,70,72,0),</v>
      </c>
      <c r="R2818" s="7" t="str">
        <f t="shared" si="132"/>
        <v>(2011,8,'2011.02.26',5,22,51,70,72),</v>
      </c>
    </row>
    <row r="2819" spans="1:18" x14ac:dyDescent="0.25">
      <c r="A2819" s="7" t="s">
        <v>2576</v>
      </c>
      <c r="B2819" s="8" t="s">
        <v>198</v>
      </c>
      <c r="C2819" s="10">
        <f t="shared" ref="C2819:C2882" si="134">+C2818+7</f>
        <v>40607</v>
      </c>
      <c r="D2819" t="s">
        <v>11</v>
      </c>
      <c r="E2819" t="s">
        <v>12</v>
      </c>
      <c r="F2819" t="s">
        <v>32</v>
      </c>
      <c r="G2819" t="s">
        <v>2746</v>
      </c>
      <c r="H2819" t="s">
        <v>2747</v>
      </c>
      <c r="I2819" t="s">
        <v>2748</v>
      </c>
      <c r="J2819" t="s">
        <v>2749</v>
      </c>
      <c r="K2819" t="s">
        <v>41</v>
      </c>
      <c r="L2819" s="12" t="s">
        <v>108</v>
      </c>
      <c r="M2819" s="12" t="s">
        <v>134</v>
      </c>
      <c r="N2819" s="12" t="s">
        <v>47</v>
      </c>
      <c r="O2819" s="12" t="s">
        <v>106</v>
      </c>
      <c r="P2819" s="12" t="s">
        <v>73</v>
      </c>
      <c r="Q2819" s="7" t="str">
        <f t="shared" si="133"/>
        <v>(2011,9,'2011.03.05',1,56,69,75,76,0),</v>
      </c>
      <c r="R2819" s="7" t="str">
        <f t="shared" ref="R2819:R2882" si="135">IF(TRIM(P2819)="","","("&amp;A2819&amp;","&amp;B2819&amp;",'"&amp;TEXT(C2819,"éééé.hh.nn")&amp;"',"&amp;L2819&amp;","&amp;M2819&amp;","&amp;N2819&amp;","&amp;O2819&amp;","&amp;P2819&amp;")"&amp;IF(P2820=0,";",","))</f>
        <v>(2011,9,'2011.03.05',1,56,69,75,76),</v>
      </c>
    </row>
    <row r="2820" spans="1:18" x14ac:dyDescent="0.25">
      <c r="A2820" s="7" t="s">
        <v>2576</v>
      </c>
      <c r="B2820" s="8" t="s">
        <v>62</v>
      </c>
      <c r="C2820" s="10">
        <f t="shared" si="134"/>
        <v>40614</v>
      </c>
      <c r="D2820" t="s">
        <v>11</v>
      </c>
      <c r="E2820" t="s">
        <v>12</v>
      </c>
      <c r="F2820" t="s">
        <v>32</v>
      </c>
      <c r="G2820" t="s">
        <v>2742</v>
      </c>
      <c r="H2820" t="s">
        <v>2743</v>
      </c>
      <c r="I2820" t="s">
        <v>2744</v>
      </c>
      <c r="J2820" t="s">
        <v>2745</v>
      </c>
      <c r="K2820" t="s">
        <v>688</v>
      </c>
      <c r="L2820" s="12" t="s">
        <v>90</v>
      </c>
      <c r="M2820" s="12" t="s">
        <v>71</v>
      </c>
      <c r="N2820" s="12" t="s">
        <v>80</v>
      </c>
      <c r="O2820" s="12" t="s">
        <v>199</v>
      </c>
      <c r="P2820" s="12" t="s">
        <v>201</v>
      </c>
      <c r="Q2820" s="7" t="str">
        <f t="shared" si="133"/>
        <v>(2011,10,'2011.03.12',17,31,32,53,72,0),</v>
      </c>
      <c r="R2820" s="7" t="str">
        <f t="shared" si="135"/>
        <v>(2011,10,'2011.03.12',17,31,32,53,72),</v>
      </c>
    </row>
    <row r="2821" spans="1:18" x14ac:dyDescent="0.25">
      <c r="A2821" s="7" t="s">
        <v>2576</v>
      </c>
      <c r="B2821" s="8" t="s">
        <v>83</v>
      </c>
      <c r="C2821" s="10">
        <f t="shared" si="134"/>
        <v>40621</v>
      </c>
      <c r="D2821" t="s">
        <v>11</v>
      </c>
      <c r="E2821" t="s">
        <v>12</v>
      </c>
      <c r="F2821" t="s">
        <v>44</v>
      </c>
      <c r="G2821" t="s">
        <v>2738</v>
      </c>
      <c r="H2821" t="s">
        <v>2739</v>
      </c>
      <c r="I2821" t="s">
        <v>2740</v>
      </c>
      <c r="J2821" t="s">
        <v>2741</v>
      </c>
      <c r="K2821" t="s">
        <v>162</v>
      </c>
      <c r="L2821" s="12" t="s">
        <v>19</v>
      </c>
      <c r="M2821" s="12" t="s">
        <v>13</v>
      </c>
      <c r="N2821" s="12" t="s">
        <v>98</v>
      </c>
      <c r="O2821" s="12" t="s">
        <v>99</v>
      </c>
      <c r="P2821" s="12" t="s">
        <v>379</v>
      </c>
      <c r="Q2821" s="7" t="str">
        <f t="shared" si="133"/>
        <v>(2011,11,'2011.03.19',18,41,42,52,89,0),</v>
      </c>
      <c r="R2821" s="7" t="str">
        <f t="shared" si="135"/>
        <v>(2011,11,'2011.03.19',18,41,42,52,89),</v>
      </c>
    </row>
    <row r="2822" spans="1:18" x14ac:dyDescent="0.25">
      <c r="A2822" s="7" t="s">
        <v>2576</v>
      </c>
      <c r="B2822" s="8" t="s">
        <v>31</v>
      </c>
      <c r="C2822" s="10">
        <f t="shared" si="134"/>
        <v>40628</v>
      </c>
      <c r="D2822" t="s">
        <v>11</v>
      </c>
      <c r="E2822" t="s">
        <v>12</v>
      </c>
      <c r="F2822" t="s">
        <v>62</v>
      </c>
      <c r="G2822" t="s">
        <v>2733</v>
      </c>
      <c r="H2822" t="s">
        <v>2734</v>
      </c>
      <c r="I2822" t="s">
        <v>2735</v>
      </c>
      <c r="J2822" t="s">
        <v>2736</v>
      </c>
      <c r="K2822" t="s">
        <v>2737</v>
      </c>
      <c r="L2822" s="12" t="s">
        <v>10</v>
      </c>
      <c r="M2822" s="12" t="s">
        <v>123</v>
      </c>
      <c r="N2822" s="12" t="s">
        <v>239</v>
      </c>
      <c r="O2822" s="12" t="s">
        <v>215</v>
      </c>
      <c r="P2822" s="12" t="s">
        <v>468</v>
      </c>
      <c r="Q2822" s="7" t="str">
        <f t="shared" si="133"/>
        <v>(2011,12,'2011.03.26',40,54,73,81,85,0),</v>
      </c>
      <c r="R2822" s="7" t="str">
        <f t="shared" si="135"/>
        <v>(2011,12,'2011.03.26',40,54,73,81,85),</v>
      </c>
    </row>
    <row r="2823" spans="1:18" x14ac:dyDescent="0.25">
      <c r="A2823" s="7" t="s">
        <v>2576</v>
      </c>
      <c r="B2823" s="8" t="s">
        <v>65</v>
      </c>
      <c r="C2823" s="10">
        <f t="shared" si="134"/>
        <v>40635</v>
      </c>
      <c r="D2823" t="s">
        <v>11</v>
      </c>
      <c r="E2823" t="s">
        <v>12</v>
      </c>
      <c r="F2823" t="s">
        <v>71</v>
      </c>
      <c r="G2823" t="s">
        <v>2729</v>
      </c>
      <c r="H2823" t="s">
        <v>2730</v>
      </c>
      <c r="I2823" t="s">
        <v>2731</v>
      </c>
      <c r="J2823" t="s">
        <v>2732</v>
      </c>
      <c r="K2823" t="s">
        <v>1090</v>
      </c>
      <c r="L2823" s="12" t="s">
        <v>33</v>
      </c>
      <c r="M2823" s="12" t="s">
        <v>116</v>
      </c>
      <c r="N2823" s="12" t="s">
        <v>199</v>
      </c>
      <c r="O2823" s="12" t="s">
        <v>56</v>
      </c>
      <c r="P2823" s="12" t="s">
        <v>201</v>
      </c>
      <c r="Q2823" s="7" t="str">
        <f t="shared" si="133"/>
        <v>(2011,13,'2011.04.02',24,29,53,71,72,0),</v>
      </c>
      <c r="R2823" s="7" t="str">
        <f t="shared" si="135"/>
        <v>(2011,13,'2011.04.02',24,29,53,71,72),</v>
      </c>
    </row>
    <row r="2824" spans="1:18" x14ac:dyDescent="0.25">
      <c r="A2824" s="7" t="s">
        <v>2576</v>
      </c>
      <c r="B2824" s="8" t="s">
        <v>127</v>
      </c>
      <c r="C2824" s="10">
        <f t="shared" si="134"/>
        <v>40642</v>
      </c>
      <c r="D2824" t="s">
        <v>11</v>
      </c>
      <c r="E2824" t="s">
        <v>12</v>
      </c>
      <c r="F2824" t="s">
        <v>135</v>
      </c>
      <c r="G2824" t="s">
        <v>2724</v>
      </c>
      <c r="H2824" t="s">
        <v>2725</v>
      </c>
      <c r="I2824" t="s">
        <v>2726</v>
      </c>
      <c r="J2824" t="s">
        <v>2727</v>
      </c>
      <c r="K2824" t="s">
        <v>2728</v>
      </c>
      <c r="L2824" s="12" t="s">
        <v>207</v>
      </c>
      <c r="M2824" s="12" t="s">
        <v>25</v>
      </c>
      <c r="N2824" s="12" t="s">
        <v>233</v>
      </c>
      <c r="O2824" s="12" t="s">
        <v>143</v>
      </c>
      <c r="P2824" s="12" t="s">
        <v>622</v>
      </c>
      <c r="Q2824" s="7" t="str">
        <f t="shared" si="133"/>
        <v>(2011,14,'2011.04.09',2,34,66,77,82,0),</v>
      </c>
      <c r="R2824" s="7" t="str">
        <f t="shared" si="135"/>
        <v>(2011,14,'2011.04.09',2,34,66,77,82),</v>
      </c>
    </row>
    <row r="2825" spans="1:18" x14ac:dyDescent="0.25">
      <c r="A2825" s="7" t="s">
        <v>2576</v>
      </c>
      <c r="B2825" s="8" t="s">
        <v>54</v>
      </c>
      <c r="C2825" s="10">
        <f t="shared" si="134"/>
        <v>40649</v>
      </c>
      <c r="D2825" t="s">
        <v>11</v>
      </c>
      <c r="E2825" t="s">
        <v>12</v>
      </c>
      <c r="F2825" t="s">
        <v>62</v>
      </c>
      <c r="G2825" t="s">
        <v>2720</v>
      </c>
      <c r="H2825" t="s">
        <v>2721</v>
      </c>
      <c r="I2825" t="s">
        <v>2722</v>
      </c>
      <c r="J2825" t="s">
        <v>2723</v>
      </c>
      <c r="K2825" t="s">
        <v>497</v>
      </c>
      <c r="L2825" s="12" t="s">
        <v>64</v>
      </c>
      <c r="M2825" s="12" t="s">
        <v>23</v>
      </c>
      <c r="N2825" s="12" t="s">
        <v>245</v>
      </c>
      <c r="O2825" s="12" t="s">
        <v>143</v>
      </c>
      <c r="P2825" s="12" t="s">
        <v>246</v>
      </c>
      <c r="Q2825" s="7" t="str">
        <f t="shared" si="133"/>
        <v>(2011,15,'2011.04.16',35,60,74,77,84,0),</v>
      </c>
      <c r="R2825" s="7" t="str">
        <f t="shared" si="135"/>
        <v>(2011,15,'2011.04.16',35,60,74,77,84),</v>
      </c>
    </row>
    <row r="2826" spans="1:18" x14ac:dyDescent="0.25">
      <c r="A2826" s="7" t="s">
        <v>2576</v>
      </c>
      <c r="B2826" s="8" t="s">
        <v>43</v>
      </c>
      <c r="C2826" s="10">
        <f t="shared" si="134"/>
        <v>40656</v>
      </c>
      <c r="D2826" t="s">
        <v>11</v>
      </c>
      <c r="E2826" t="s">
        <v>12</v>
      </c>
      <c r="F2826" t="s">
        <v>239</v>
      </c>
      <c r="G2826" t="s">
        <v>2716</v>
      </c>
      <c r="H2826" t="s">
        <v>2717</v>
      </c>
      <c r="I2826" t="s">
        <v>2718</v>
      </c>
      <c r="J2826" t="s">
        <v>2719</v>
      </c>
      <c r="K2826" t="s">
        <v>1821</v>
      </c>
      <c r="L2826" s="12" t="s">
        <v>108</v>
      </c>
      <c r="M2826" s="12" t="s">
        <v>55</v>
      </c>
      <c r="N2826" s="12" t="s">
        <v>25</v>
      </c>
      <c r="O2826" s="12" t="s">
        <v>122</v>
      </c>
      <c r="P2826" s="12" t="s">
        <v>72</v>
      </c>
      <c r="Q2826" s="7" t="str">
        <f t="shared" si="133"/>
        <v>(2011,16,'2011.04.23',1,19,34,51,67,0),</v>
      </c>
      <c r="R2826" s="7" t="str">
        <f t="shared" si="135"/>
        <v>(2011,16,'2011.04.23',1,19,34,51,67),</v>
      </c>
    </row>
    <row r="2827" spans="1:18" x14ac:dyDescent="0.25">
      <c r="A2827" s="7" t="s">
        <v>2576</v>
      </c>
      <c r="B2827" s="8" t="s">
        <v>90</v>
      </c>
      <c r="C2827" s="10">
        <f t="shared" si="134"/>
        <v>40663</v>
      </c>
      <c r="D2827" t="s">
        <v>11</v>
      </c>
      <c r="E2827" t="s">
        <v>12</v>
      </c>
      <c r="F2827" t="s">
        <v>31</v>
      </c>
      <c r="G2827" t="s">
        <v>2711</v>
      </c>
      <c r="H2827" t="s">
        <v>2712</v>
      </c>
      <c r="I2827" t="s">
        <v>2713</v>
      </c>
      <c r="J2827" t="s">
        <v>2714</v>
      </c>
      <c r="K2827" t="s">
        <v>2715</v>
      </c>
      <c r="L2827" s="12" t="s">
        <v>74</v>
      </c>
      <c r="M2827" s="12" t="s">
        <v>24</v>
      </c>
      <c r="N2827" s="12" t="s">
        <v>13</v>
      </c>
      <c r="O2827" s="12" t="s">
        <v>246</v>
      </c>
      <c r="P2827" s="12" t="s">
        <v>208</v>
      </c>
      <c r="Q2827" s="7" t="str">
        <f t="shared" si="133"/>
        <v>(2011,17,'2011.04.30',26,39,41,84,88,0),</v>
      </c>
      <c r="R2827" s="7" t="str">
        <f t="shared" si="135"/>
        <v>(2011,17,'2011.04.30',26,39,41,84,88),</v>
      </c>
    </row>
    <row r="2828" spans="1:18" x14ac:dyDescent="0.25">
      <c r="A2828" s="7" t="s">
        <v>2576</v>
      </c>
      <c r="B2828" s="8" t="s">
        <v>19</v>
      </c>
      <c r="C2828" s="10">
        <f t="shared" si="134"/>
        <v>40670</v>
      </c>
      <c r="D2828" t="s">
        <v>11</v>
      </c>
      <c r="E2828" t="s">
        <v>12</v>
      </c>
      <c r="F2828" t="s">
        <v>22</v>
      </c>
      <c r="G2828" t="s">
        <v>2707</v>
      </c>
      <c r="H2828" t="s">
        <v>2708</v>
      </c>
      <c r="I2828" t="s">
        <v>2709</v>
      </c>
      <c r="J2828" t="s">
        <v>2710</v>
      </c>
      <c r="K2828" t="s">
        <v>1090</v>
      </c>
      <c r="L2828" s="12" t="s">
        <v>270</v>
      </c>
      <c r="M2828" s="12" t="s">
        <v>32</v>
      </c>
      <c r="N2828" s="12" t="s">
        <v>163</v>
      </c>
      <c r="O2828" s="12" t="s">
        <v>81</v>
      </c>
      <c r="P2828" s="12" t="s">
        <v>246</v>
      </c>
      <c r="Q2828" s="7" t="str">
        <f t="shared" si="133"/>
        <v>(2011,18,'2011.05.07',6,22,23,47,84,0),</v>
      </c>
      <c r="R2828" s="7" t="str">
        <f t="shared" si="135"/>
        <v>(2011,18,'2011.05.07',6,22,23,47,84),</v>
      </c>
    </row>
    <row r="2829" spans="1:18" x14ac:dyDescent="0.25">
      <c r="A2829" s="7" t="s">
        <v>2576</v>
      </c>
      <c r="B2829" s="8" t="s">
        <v>55</v>
      </c>
      <c r="C2829" s="10">
        <f t="shared" si="134"/>
        <v>40677</v>
      </c>
      <c r="D2829" t="s">
        <v>11</v>
      </c>
      <c r="E2829" t="s">
        <v>12</v>
      </c>
      <c r="F2829" t="s">
        <v>115</v>
      </c>
      <c r="G2829" t="s">
        <v>2703</v>
      </c>
      <c r="H2829" t="s">
        <v>2704</v>
      </c>
      <c r="I2829" t="s">
        <v>2705</v>
      </c>
      <c r="J2829" t="s">
        <v>2706</v>
      </c>
      <c r="K2829" t="s">
        <v>1671</v>
      </c>
      <c r="L2829" s="12" t="s">
        <v>32</v>
      </c>
      <c r="M2829" s="12" t="s">
        <v>116</v>
      </c>
      <c r="N2829" s="12" t="s">
        <v>10</v>
      </c>
      <c r="O2829" s="12" t="s">
        <v>22</v>
      </c>
      <c r="P2829" s="12" t="s">
        <v>308</v>
      </c>
      <c r="Q2829" s="7" t="str">
        <f t="shared" si="133"/>
        <v>(2011,19,'2011.05.14',22,29,40,48,86,0),</v>
      </c>
      <c r="R2829" s="7" t="str">
        <f t="shared" si="135"/>
        <v>(2011,19,'2011.05.14',22,29,40,48,86),</v>
      </c>
    </row>
    <row r="2830" spans="1:18" x14ac:dyDescent="0.25">
      <c r="A2830" s="7" t="s">
        <v>2576</v>
      </c>
      <c r="B2830" s="8" t="s">
        <v>115</v>
      </c>
      <c r="C2830" s="10">
        <f t="shared" si="134"/>
        <v>40684</v>
      </c>
      <c r="D2830" t="s">
        <v>11</v>
      </c>
      <c r="E2830" t="s">
        <v>12</v>
      </c>
      <c r="F2830" t="s">
        <v>25</v>
      </c>
      <c r="G2830" t="s">
        <v>2699</v>
      </c>
      <c r="H2830" t="s">
        <v>2700</v>
      </c>
      <c r="I2830" t="s">
        <v>2701</v>
      </c>
      <c r="J2830" t="s">
        <v>2702</v>
      </c>
      <c r="K2830" t="s">
        <v>338</v>
      </c>
      <c r="L2830" s="12" t="s">
        <v>232</v>
      </c>
      <c r="M2830" s="12" t="s">
        <v>62</v>
      </c>
      <c r="N2830" s="12" t="s">
        <v>122</v>
      </c>
      <c r="O2830" s="12" t="s">
        <v>82</v>
      </c>
      <c r="P2830" s="12" t="s">
        <v>245</v>
      </c>
      <c r="Q2830" s="7" t="str">
        <f t="shared" si="133"/>
        <v>(2011,20,'2011.05.21',8,10,51,59,74,0),</v>
      </c>
      <c r="R2830" s="7" t="str">
        <f t="shared" si="135"/>
        <v>(2011,20,'2011.05.21',8,10,51,59,74),</v>
      </c>
    </row>
    <row r="2831" spans="1:18" x14ac:dyDescent="0.25">
      <c r="A2831" s="7" t="s">
        <v>2576</v>
      </c>
      <c r="B2831" s="8" t="s">
        <v>44</v>
      </c>
      <c r="C2831" s="10">
        <f t="shared" si="134"/>
        <v>40691</v>
      </c>
      <c r="D2831" t="s">
        <v>11</v>
      </c>
      <c r="E2831" t="s">
        <v>12</v>
      </c>
      <c r="F2831" t="s">
        <v>379</v>
      </c>
      <c r="G2831" t="s">
        <v>2695</v>
      </c>
      <c r="H2831" t="s">
        <v>2696</v>
      </c>
      <c r="I2831" t="s">
        <v>2697</v>
      </c>
      <c r="J2831" t="s">
        <v>2698</v>
      </c>
      <c r="K2831" t="s">
        <v>1916</v>
      </c>
      <c r="L2831" s="12" t="s">
        <v>198</v>
      </c>
      <c r="M2831" s="12" t="s">
        <v>20</v>
      </c>
      <c r="N2831" s="12" t="s">
        <v>98</v>
      </c>
      <c r="O2831" s="12" t="s">
        <v>92</v>
      </c>
      <c r="P2831" s="12" t="s">
        <v>245</v>
      </c>
      <c r="Q2831" s="7" t="str">
        <f t="shared" si="133"/>
        <v>(2011,21,'2011.05.28',9,33,42,68,74,0),</v>
      </c>
      <c r="R2831" s="7" t="str">
        <f t="shared" si="135"/>
        <v>(2011,21,'2011.05.28',9,33,42,68,74),</v>
      </c>
    </row>
    <row r="2832" spans="1:18" x14ac:dyDescent="0.25">
      <c r="A2832" s="7" t="s">
        <v>2576</v>
      </c>
      <c r="B2832" s="8" t="s">
        <v>32</v>
      </c>
      <c r="C2832" s="10">
        <f t="shared" si="134"/>
        <v>40698</v>
      </c>
      <c r="D2832" t="s">
        <v>11</v>
      </c>
      <c r="E2832" t="s">
        <v>12</v>
      </c>
      <c r="F2832" t="s">
        <v>80</v>
      </c>
      <c r="G2832" t="s">
        <v>2691</v>
      </c>
      <c r="H2832" t="s">
        <v>2692</v>
      </c>
      <c r="I2832" t="s">
        <v>2693</v>
      </c>
      <c r="J2832" t="s">
        <v>2694</v>
      </c>
      <c r="K2832" t="s">
        <v>1021</v>
      </c>
      <c r="L2832" s="12" t="s">
        <v>207</v>
      </c>
      <c r="M2832" s="12" t="s">
        <v>65</v>
      </c>
      <c r="N2832" s="12" t="s">
        <v>201</v>
      </c>
      <c r="O2832" s="12" t="s">
        <v>125</v>
      </c>
      <c r="P2832" s="12" t="s">
        <v>246</v>
      </c>
      <c r="Q2832" s="7" t="str">
        <f t="shared" si="133"/>
        <v>(2011,22,'2011.06.04',2,13,72,83,84,0),</v>
      </c>
      <c r="R2832" s="7" t="str">
        <f t="shared" si="135"/>
        <v>(2011,22,'2011.06.04',2,13,72,83,84),</v>
      </c>
    </row>
    <row r="2833" spans="1:18" x14ac:dyDescent="0.25">
      <c r="A2833" s="7" t="s">
        <v>2576</v>
      </c>
      <c r="B2833" s="8" t="s">
        <v>163</v>
      </c>
      <c r="C2833" s="10">
        <f t="shared" si="134"/>
        <v>40705</v>
      </c>
      <c r="D2833" t="s">
        <v>108</v>
      </c>
      <c r="E2833" t="s">
        <v>2686</v>
      </c>
      <c r="F2833" t="s">
        <v>199</v>
      </c>
      <c r="G2833" t="s">
        <v>2687</v>
      </c>
      <c r="H2833" t="s">
        <v>2688</v>
      </c>
      <c r="I2833" t="s">
        <v>2689</v>
      </c>
      <c r="J2833" t="s">
        <v>2690</v>
      </c>
      <c r="K2833" t="s">
        <v>1044</v>
      </c>
      <c r="L2833" s="12" t="s">
        <v>83</v>
      </c>
      <c r="M2833" s="12" t="s">
        <v>98</v>
      </c>
      <c r="N2833" s="12" t="s">
        <v>133</v>
      </c>
      <c r="O2833" s="12" t="s">
        <v>248</v>
      </c>
      <c r="P2833" s="12" t="s">
        <v>73</v>
      </c>
      <c r="Q2833" s="7" t="str">
        <f t="shared" si="133"/>
        <v>(2011,23,'2011.06.11',11,42,45,63,76,0),</v>
      </c>
      <c r="R2833" s="7" t="str">
        <f t="shared" si="135"/>
        <v>(2011,23,'2011.06.11',11,42,45,63,76),</v>
      </c>
    </row>
    <row r="2834" spans="1:18" x14ac:dyDescent="0.25">
      <c r="A2834" s="7" t="s">
        <v>2576</v>
      </c>
      <c r="B2834" s="8" t="s">
        <v>33</v>
      </c>
      <c r="C2834" s="10">
        <f t="shared" si="134"/>
        <v>40712</v>
      </c>
      <c r="D2834" t="s">
        <v>11</v>
      </c>
      <c r="E2834" t="s">
        <v>12</v>
      </c>
      <c r="F2834" t="s">
        <v>10</v>
      </c>
      <c r="G2834" t="s">
        <v>2682</v>
      </c>
      <c r="H2834" t="s">
        <v>2683</v>
      </c>
      <c r="I2834" t="s">
        <v>2684</v>
      </c>
      <c r="J2834" t="s">
        <v>2685</v>
      </c>
      <c r="K2834" t="s">
        <v>1701</v>
      </c>
      <c r="L2834" s="12" t="s">
        <v>54</v>
      </c>
      <c r="M2834" s="12" t="s">
        <v>115</v>
      </c>
      <c r="N2834" s="12" t="s">
        <v>46</v>
      </c>
      <c r="O2834" s="12" t="s">
        <v>98</v>
      </c>
      <c r="P2834" s="12" t="s">
        <v>122</v>
      </c>
      <c r="Q2834" s="7" t="str">
        <f t="shared" si="133"/>
        <v>(2011,24,'2011.06.18',15,20,37,42,51,0),</v>
      </c>
      <c r="R2834" s="7" t="str">
        <f t="shared" si="135"/>
        <v>(2011,24,'2011.06.18',15,20,37,42,51),</v>
      </c>
    </row>
    <row r="2835" spans="1:18" x14ac:dyDescent="0.25">
      <c r="A2835" s="7" t="s">
        <v>2576</v>
      </c>
      <c r="B2835" s="8" t="s">
        <v>152</v>
      </c>
      <c r="C2835" s="10">
        <f t="shared" si="134"/>
        <v>40719</v>
      </c>
      <c r="D2835" t="s">
        <v>11</v>
      </c>
      <c r="E2835" t="s">
        <v>12</v>
      </c>
      <c r="F2835" t="s">
        <v>126</v>
      </c>
      <c r="G2835" t="s">
        <v>2680</v>
      </c>
      <c r="H2835" t="s">
        <v>960</v>
      </c>
      <c r="I2835" t="s">
        <v>774</v>
      </c>
      <c r="J2835" t="s">
        <v>2681</v>
      </c>
      <c r="K2835" t="s">
        <v>908</v>
      </c>
      <c r="L2835" s="12" t="s">
        <v>54</v>
      </c>
      <c r="M2835" s="12" t="s">
        <v>99</v>
      </c>
      <c r="N2835" s="12" t="s">
        <v>175</v>
      </c>
      <c r="O2835" s="12" t="s">
        <v>56</v>
      </c>
      <c r="P2835" s="12" t="s">
        <v>125</v>
      </c>
      <c r="Q2835" s="7" t="str">
        <f t="shared" si="133"/>
        <v>(2011,25,'2011.06.25',15,52,55,71,83,0),</v>
      </c>
      <c r="R2835" s="7" t="str">
        <f t="shared" si="135"/>
        <v>(2011,25,'2011.06.25',15,52,55,71,83),</v>
      </c>
    </row>
    <row r="2836" spans="1:18" x14ac:dyDescent="0.25">
      <c r="A2836" s="7" t="s">
        <v>2576</v>
      </c>
      <c r="B2836" s="8" t="s">
        <v>74</v>
      </c>
      <c r="C2836" s="10">
        <f t="shared" si="134"/>
        <v>40726</v>
      </c>
      <c r="D2836" t="s">
        <v>11</v>
      </c>
      <c r="E2836" t="s">
        <v>12</v>
      </c>
      <c r="F2836" t="s">
        <v>54</v>
      </c>
      <c r="G2836" t="s">
        <v>2677</v>
      </c>
      <c r="H2836" t="s">
        <v>344</v>
      </c>
      <c r="I2836" t="s">
        <v>2678</v>
      </c>
      <c r="J2836" t="s">
        <v>2679</v>
      </c>
      <c r="K2836" t="s">
        <v>41</v>
      </c>
      <c r="L2836" s="12" t="s">
        <v>207</v>
      </c>
      <c r="M2836" s="12" t="s">
        <v>32</v>
      </c>
      <c r="N2836" s="12" t="s">
        <v>21</v>
      </c>
      <c r="O2836" s="12" t="s">
        <v>23</v>
      </c>
      <c r="P2836" s="12" t="s">
        <v>73</v>
      </c>
      <c r="Q2836" s="7" t="str">
        <f t="shared" si="133"/>
        <v>(2011,26,'2011.07.02',2,22,36,60,76,0),</v>
      </c>
      <c r="R2836" s="7" t="str">
        <f t="shared" si="135"/>
        <v>(2011,26,'2011.07.02',2,22,36,60,76),</v>
      </c>
    </row>
    <row r="2837" spans="1:18" x14ac:dyDescent="0.25">
      <c r="A2837" s="7" t="s">
        <v>2576</v>
      </c>
      <c r="B2837" s="8" t="s">
        <v>135</v>
      </c>
      <c r="C2837" s="10">
        <f t="shared" si="134"/>
        <v>40733</v>
      </c>
      <c r="D2837" t="s">
        <v>11</v>
      </c>
      <c r="E2837" t="s">
        <v>12</v>
      </c>
      <c r="F2837" t="s">
        <v>31</v>
      </c>
      <c r="G2837" t="s">
        <v>2673</v>
      </c>
      <c r="H2837" t="s">
        <v>2674</v>
      </c>
      <c r="I2837" t="s">
        <v>2675</v>
      </c>
      <c r="J2837" t="s">
        <v>2676</v>
      </c>
      <c r="K2837" t="s">
        <v>369</v>
      </c>
      <c r="L2837" s="12" t="s">
        <v>46</v>
      </c>
      <c r="M2837" s="12" t="s">
        <v>105</v>
      </c>
      <c r="N2837" s="12" t="s">
        <v>35</v>
      </c>
      <c r="O2837" s="12" t="s">
        <v>269</v>
      </c>
      <c r="P2837" s="12" t="s">
        <v>379</v>
      </c>
      <c r="Q2837" s="7" t="str">
        <f t="shared" si="133"/>
        <v>(2011,27,'2011.07.09',37,50,65,87,89,0),</v>
      </c>
      <c r="R2837" s="7" t="str">
        <f t="shared" si="135"/>
        <v>(2011,27,'2011.07.09',37,50,65,87,89),</v>
      </c>
    </row>
    <row r="2838" spans="1:18" x14ac:dyDescent="0.25">
      <c r="A2838" s="7" t="s">
        <v>2576</v>
      </c>
      <c r="B2838" s="8" t="s">
        <v>126</v>
      </c>
      <c r="C2838" s="10">
        <f t="shared" si="134"/>
        <v>40740</v>
      </c>
      <c r="D2838" t="s">
        <v>108</v>
      </c>
      <c r="E2838" t="s">
        <v>2669</v>
      </c>
      <c r="F2838" t="s">
        <v>24</v>
      </c>
      <c r="G2838" t="s">
        <v>2670</v>
      </c>
      <c r="H2838" t="s">
        <v>2671</v>
      </c>
      <c r="I2838" t="s">
        <v>1052</v>
      </c>
      <c r="J2838" t="s">
        <v>2672</v>
      </c>
      <c r="K2838" t="s">
        <v>1889</v>
      </c>
      <c r="L2838" s="12" t="s">
        <v>168</v>
      </c>
      <c r="M2838" s="12" t="s">
        <v>115</v>
      </c>
      <c r="N2838" s="12" t="s">
        <v>45</v>
      </c>
      <c r="O2838" s="12" t="s">
        <v>99</v>
      </c>
      <c r="P2838" s="12" t="s">
        <v>468</v>
      </c>
      <c r="Q2838" s="7" t="str">
        <f t="shared" si="133"/>
        <v>(2011,28,'2011.07.16',4,20,43,52,85,0),</v>
      </c>
      <c r="R2838" s="7" t="str">
        <f t="shared" si="135"/>
        <v>(2011,28,'2011.07.16',4,20,43,52,85),</v>
      </c>
    </row>
    <row r="2839" spans="1:18" x14ac:dyDescent="0.25">
      <c r="A2839" s="7" t="s">
        <v>2576</v>
      </c>
      <c r="B2839" s="8" t="s">
        <v>116</v>
      </c>
      <c r="C2839" s="10">
        <f t="shared" si="134"/>
        <v>40747</v>
      </c>
      <c r="D2839" t="s">
        <v>11</v>
      </c>
      <c r="E2839" t="s">
        <v>12</v>
      </c>
      <c r="F2839" t="s">
        <v>24</v>
      </c>
      <c r="G2839" t="s">
        <v>2665</v>
      </c>
      <c r="H2839" t="s">
        <v>2666</v>
      </c>
      <c r="I2839" t="s">
        <v>2667</v>
      </c>
      <c r="J2839" t="s">
        <v>2668</v>
      </c>
      <c r="K2839" t="s">
        <v>41</v>
      </c>
      <c r="L2839" s="12" t="s">
        <v>126</v>
      </c>
      <c r="M2839" s="12" t="s">
        <v>175</v>
      </c>
      <c r="N2839" s="12" t="s">
        <v>150</v>
      </c>
      <c r="O2839" s="12" t="s">
        <v>622</v>
      </c>
      <c r="P2839" s="12" t="s">
        <v>125</v>
      </c>
      <c r="Q2839" s="7" t="str">
        <f t="shared" si="133"/>
        <v>(2011,29,'2011.07.23',28,55,57,82,83,0),</v>
      </c>
      <c r="R2839" s="7" t="str">
        <f t="shared" si="135"/>
        <v>(2011,29,'2011.07.23',28,55,57,82,83),</v>
      </c>
    </row>
    <row r="2840" spans="1:18" x14ac:dyDescent="0.25">
      <c r="A2840" s="7" t="s">
        <v>2576</v>
      </c>
      <c r="B2840" s="8" t="s">
        <v>107</v>
      </c>
      <c r="C2840" s="10">
        <f t="shared" si="134"/>
        <v>40754</v>
      </c>
      <c r="D2840" t="s">
        <v>11</v>
      </c>
      <c r="E2840" t="s">
        <v>12</v>
      </c>
      <c r="F2840" t="s">
        <v>33</v>
      </c>
      <c r="G2840" t="s">
        <v>2661</v>
      </c>
      <c r="H2840" t="s">
        <v>2662</v>
      </c>
      <c r="I2840" t="s">
        <v>2663</v>
      </c>
      <c r="J2840" t="s">
        <v>2664</v>
      </c>
      <c r="K2840" t="s">
        <v>258</v>
      </c>
      <c r="L2840" s="12" t="s">
        <v>126</v>
      </c>
      <c r="M2840" s="12" t="s">
        <v>105</v>
      </c>
      <c r="N2840" s="12" t="s">
        <v>214</v>
      </c>
      <c r="O2840" s="12" t="s">
        <v>151</v>
      </c>
      <c r="P2840" s="12" t="s">
        <v>622</v>
      </c>
      <c r="Q2840" s="7" t="str">
        <f t="shared" si="133"/>
        <v>(2011,30,'2011.07.30',28,50,64,79,82,0),</v>
      </c>
      <c r="R2840" s="7" t="str">
        <f t="shared" si="135"/>
        <v>(2011,30,'2011.07.30',28,50,64,79,82),</v>
      </c>
    </row>
    <row r="2841" spans="1:18" x14ac:dyDescent="0.25">
      <c r="A2841" s="7" t="s">
        <v>2576</v>
      </c>
      <c r="B2841" s="8" t="s">
        <v>71</v>
      </c>
      <c r="C2841" s="10">
        <f t="shared" si="134"/>
        <v>40761</v>
      </c>
      <c r="D2841" t="s">
        <v>11</v>
      </c>
      <c r="E2841" t="s">
        <v>12</v>
      </c>
      <c r="F2841" t="s">
        <v>32</v>
      </c>
      <c r="G2841" t="s">
        <v>2658</v>
      </c>
      <c r="H2841" t="s">
        <v>2659</v>
      </c>
      <c r="I2841" t="s">
        <v>1761</v>
      </c>
      <c r="J2841" t="s">
        <v>2660</v>
      </c>
      <c r="K2841" t="s">
        <v>789</v>
      </c>
      <c r="L2841" s="12" t="s">
        <v>53</v>
      </c>
      <c r="M2841" s="12" t="s">
        <v>127</v>
      </c>
      <c r="N2841" s="12" t="s">
        <v>105</v>
      </c>
      <c r="O2841" s="12" t="s">
        <v>92</v>
      </c>
      <c r="P2841" s="12" t="s">
        <v>186</v>
      </c>
      <c r="Q2841" s="7" t="str">
        <f t="shared" si="133"/>
        <v>(2011,31,'2011.08.06',7,14,50,68,90,0),</v>
      </c>
      <c r="R2841" s="7" t="str">
        <f t="shared" si="135"/>
        <v>(2011,31,'2011.08.06',7,14,50,68,90),</v>
      </c>
    </row>
    <row r="2842" spans="1:18" x14ac:dyDescent="0.25">
      <c r="A2842" s="7" t="s">
        <v>2576</v>
      </c>
      <c r="B2842" s="8" t="s">
        <v>80</v>
      </c>
      <c r="C2842" s="10">
        <f t="shared" si="134"/>
        <v>40768</v>
      </c>
      <c r="D2842" t="s">
        <v>11</v>
      </c>
      <c r="E2842" t="s">
        <v>12</v>
      </c>
      <c r="F2842" t="s">
        <v>74</v>
      </c>
      <c r="G2842" t="s">
        <v>2654</v>
      </c>
      <c r="H2842" t="s">
        <v>2655</v>
      </c>
      <c r="I2842" t="s">
        <v>2656</v>
      </c>
      <c r="J2842" t="s">
        <v>2657</v>
      </c>
      <c r="K2842" t="s">
        <v>825</v>
      </c>
      <c r="L2842" s="12" t="s">
        <v>115</v>
      </c>
      <c r="M2842" s="12" t="s">
        <v>134</v>
      </c>
      <c r="N2842" s="12" t="s">
        <v>248</v>
      </c>
      <c r="O2842" s="12" t="s">
        <v>92</v>
      </c>
      <c r="P2842" s="12" t="s">
        <v>246</v>
      </c>
      <c r="Q2842" s="7" t="str">
        <f t="shared" si="133"/>
        <v>(2011,32,'2011.08.13',20,56,63,68,84,0),</v>
      </c>
      <c r="R2842" s="7" t="str">
        <f t="shared" si="135"/>
        <v>(2011,32,'2011.08.13',20,56,63,68,84),</v>
      </c>
    </row>
    <row r="2843" spans="1:18" x14ac:dyDescent="0.25">
      <c r="A2843" s="7" t="s">
        <v>2576</v>
      </c>
      <c r="B2843" s="8" t="s">
        <v>20</v>
      </c>
      <c r="C2843" s="10">
        <f t="shared" si="134"/>
        <v>40775</v>
      </c>
      <c r="D2843" t="s">
        <v>11</v>
      </c>
      <c r="E2843" t="s">
        <v>12</v>
      </c>
      <c r="F2843" t="s">
        <v>62</v>
      </c>
      <c r="G2843" t="s">
        <v>2650</v>
      </c>
      <c r="H2843" t="s">
        <v>2651</v>
      </c>
      <c r="I2843" t="s">
        <v>2652</v>
      </c>
      <c r="J2843" t="s">
        <v>2653</v>
      </c>
      <c r="K2843" t="s">
        <v>355</v>
      </c>
      <c r="L2843" s="12" t="s">
        <v>163</v>
      </c>
      <c r="M2843" s="12" t="s">
        <v>35</v>
      </c>
      <c r="N2843" s="12" t="s">
        <v>106</v>
      </c>
      <c r="O2843" s="12" t="s">
        <v>246</v>
      </c>
      <c r="P2843" s="12" t="s">
        <v>208</v>
      </c>
      <c r="Q2843" s="7" t="str">
        <f t="shared" si="133"/>
        <v>(2011,33,'2011.08.20',23,65,75,84,88,0),</v>
      </c>
      <c r="R2843" s="7" t="str">
        <f t="shared" si="135"/>
        <v>(2011,33,'2011.08.20',23,65,75,84,88),</v>
      </c>
    </row>
    <row r="2844" spans="1:18" x14ac:dyDescent="0.25">
      <c r="A2844" s="7" t="s">
        <v>2576</v>
      </c>
      <c r="B2844" s="8" t="s">
        <v>25</v>
      </c>
      <c r="C2844" s="10">
        <f t="shared" si="134"/>
        <v>40782</v>
      </c>
      <c r="D2844" t="s">
        <v>11</v>
      </c>
      <c r="E2844" t="s">
        <v>12</v>
      </c>
      <c r="F2844" t="s">
        <v>55</v>
      </c>
      <c r="G2844" t="s">
        <v>2646</v>
      </c>
      <c r="H2844" t="s">
        <v>2647</v>
      </c>
      <c r="I2844" t="s">
        <v>2648</v>
      </c>
      <c r="J2844" t="s">
        <v>2649</v>
      </c>
      <c r="K2844" t="s">
        <v>180</v>
      </c>
      <c r="L2844" s="12" t="s">
        <v>64</v>
      </c>
      <c r="M2844" s="12" t="s">
        <v>82</v>
      </c>
      <c r="N2844" s="12" t="s">
        <v>63</v>
      </c>
      <c r="O2844" s="12" t="s">
        <v>468</v>
      </c>
      <c r="P2844" s="12" t="s">
        <v>208</v>
      </c>
      <c r="Q2844" s="7" t="str">
        <f t="shared" si="133"/>
        <v>(2011,34,'2011.08.27',35,59,78,85,88,0),</v>
      </c>
      <c r="R2844" s="7" t="str">
        <f t="shared" si="135"/>
        <v>(2011,34,'2011.08.27',35,59,78,85,88),</v>
      </c>
    </row>
    <row r="2845" spans="1:18" x14ac:dyDescent="0.25">
      <c r="A2845" s="7" t="s">
        <v>2576</v>
      </c>
      <c r="B2845" s="8" t="s">
        <v>64</v>
      </c>
      <c r="C2845" s="10">
        <f t="shared" si="134"/>
        <v>40789</v>
      </c>
      <c r="D2845" t="s">
        <v>11</v>
      </c>
      <c r="E2845" t="s">
        <v>12</v>
      </c>
      <c r="F2845" t="s">
        <v>192</v>
      </c>
      <c r="G2845" t="s">
        <v>2642</v>
      </c>
      <c r="H2845" t="s">
        <v>2643</v>
      </c>
      <c r="I2845" t="s">
        <v>1819</v>
      </c>
      <c r="J2845" t="s">
        <v>2644</v>
      </c>
      <c r="K2845" t="s">
        <v>2645</v>
      </c>
      <c r="L2845" s="12" t="s">
        <v>53</v>
      </c>
      <c r="M2845" s="12" t="s">
        <v>62</v>
      </c>
      <c r="N2845" s="12" t="s">
        <v>134</v>
      </c>
      <c r="O2845" s="12" t="s">
        <v>169</v>
      </c>
      <c r="P2845" s="12" t="s">
        <v>246</v>
      </c>
      <c r="Q2845" s="7" t="str">
        <f t="shared" si="133"/>
        <v>(2011,35,'2011.09.03',7,10,56,58,84,0),</v>
      </c>
      <c r="R2845" s="7" t="str">
        <f t="shared" si="135"/>
        <v>(2011,35,'2011.09.03',7,10,56,58,84),</v>
      </c>
    </row>
    <row r="2846" spans="1:18" x14ac:dyDescent="0.25">
      <c r="A2846" s="7" t="s">
        <v>2576</v>
      </c>
      <c r="B2846" s="8" t="s">
        <v>21</v>
      </c>
      <c r="C2846" s="10">
        <f t="shared" si="134"/>
        <v>40796</v>
      </c>
      <c r="D2846" t="s">
        <v>11</v>
      </c>
      <c r="E2846" t="s">
        <v>12</v>
      </c>
      <c r="F2846" t="s">
        <v>105</v>
      </c>
      <c r="G2846" t="s">
        <v>2639</v>
      </c>
      <c r="H2846" t="s">
        <v>605</v>
      </c>
      <c r="I2846" t="s">
        <v>2640</v>
      </c>
      <c r="J2846" t="s">
        <v>2641</v>
      </c>
      <c r="K2846" t="s">
        <v>191</v>
      </c>
      <c r="L2846" s="12" t="s">
        <v>64</v>
      </c>
      <c r="M2846" s="12" t="s">
        <v>150</v>
      </c>
      <c r="N2846" s="12" t="s">
        <v>245</v>
      </c>
      <c r="O2846" s="12" t="s">
        <v>246</v>
      </c>
      <c r="P2846" s="12" t="s">
        <v>269</v>
      </c>
      <c r="Q2846" s="7" t="str">
        <f t="shared" si="133"/>
        <v>(2011,36,'2011.09.10',35,57,74,84,87,0),</v>
      </c>
      <c r="R2846" s="7" t="str">
        <f t="shared" si="135"/>
        <v>(2011,36,'2011.09.10',35,57,74,84,87),</v>
      </c>
    </row>
    <row r="2847" spans="1:18" x14ac:dyDescent="0.25">
      <c r="A2847" s="7" t="s">
        <v>2576</v>
      </c>
      <c r="B2847" s="8" t="s">
        <v>46</v>
      </c>
      <c r="C2847" s="10">
        <f t="shared" si="134"/>
        <v>40803</v>
      </c>
      <c r="D2847" t="s">
        <v>11</v>
      </c>
      <c r="E2847" t="s">
        <v>12</v>
      </c>
      <c r="F2847" t="s">
        <v>20</v>
      </c>
      <c r="G2847" t="s">
        <v>2635</v>
      </c>
      <c r="H2847" t="s">
        <v>2636</v>
      </c>
      <c r="I2847" t="s">
        <v>2637</v>
      </c>
      <c r="J2847" t="s">
        <v>2638</v>
      </c>
      <c r="K2847" t="s">
        <v>913</v>
      </c>
      <c r="L2847" s="12" t="s">
        <v>43</v>
      </c>
      <c r="M2847" s="12" t="s">
        <v>105</v>
      </c>
      <c r="N2847" s="12" t="s">
        <v>245</v>
      </c>
      <c r="O2847" s="12" t="s">
        <v>73</v>
      </c>
      <c r="P2847" s="12" t="s">
        <v>63</v>
      </c>
      <c r="Q2847" s="7" t="str">
        <f t="shared" si="133"/>
        <v>(2011,37,'2011.09.17',16,50,74,76,78,0),</v>
      </c>
      <c r="R2847" s="7" t="str">
        <f t="shared" si="135"/>
        <v>(2011,37,'2011.09.17',16,50,74,76,78),</v>
      </c>
    </row>
    <row r="2848" spans="1:18" x14ac:dyDescent="0.25">
      <c r="A2848" s="7" t="s">
        <v>2576</v>
      </c>
      <c r="B2848" s="8" t="s">
        <v>36</v>
      </c>
      <c r="C2848" s="10">
        <f t="shared" si="134"/>
        <v>40810</v>
      </c>
      <c r="D2848" t="s">
        <v>11</v>
      </c>
      <c r="E2848" t="s">
        <v>12</v>
      </c>
      <c r="F2848" t="s">
        <v>81</v>
      </c>
      <c r="G2848" t="s">
        <v>2631</v>
      </c>
      <c r="H2848" t="s">
        <v>2632</v>
      </c>
      <c r="I2848" t="s">
        <v>2633</v>
      </c>
      <c r="J2848" t="s">
        <v>2634</v>
      </c>
      <c r="K2848" t="s">
        <v>1898</v>
      </c>
      <c r="L2848" s="12" t="s">
        <v>42</v>
      </c>
      <c r="M2848" s="12" t="s">
        <v>115</v>
      </c>
      <c r="N2848" s="12" t="s">
        <v>135</v>
      </c>
      <c r="O2848" s="12" t="s">
        <v>98</v>
      </c>
      <c r="P2848" s="12" t="s">
        <v>122</v>
      </c>
      <c r="Q2848" s="7" t="str">
        <f t="shared" si="133"/>
        <v>(2011,38,'2011.09.24',3,20,27,42,51,0),</v>
      </c>
      <c r="R2848" s="7" t="str">
        <f t="shared" si="135"/>
        <v>(2011,38,'2011.09.24',3,20,27,42,51),</v>
      </c>
    </row>
    <row r="2849" spans="1:18" x14ac:dyDescent="0.25">
      <c r="A2849" s="7" t="s">
        <v>2576</v>
      </c>
      <c r="B2849" s="8" t="s">
        <v>24</v>
      </c>
      <c r="C2849" s="10">
        <f t="shared" si="134"/>
        <v>40817</v>
      </c>
      <c r="D2849" t="s">
        <v>11</v>
      </c>
      <c r="E2849" t="s">
        <v>12</v>
      </c>
      <c r="F2849" t="s">
        <v>33</v>
      </c>
      <c r="G2849" t="s">
        <v>2627</v>
      </c>
      <c r="H2849" t="s">
        <v>2628</v>
      </c>
      <c r="I2849" t="s">
        <v>2629</v>
      </c>
      <c r="J2849" t="s">
        <v>2630</v>
      </c>
      <c r="K2849" t="s">
        <v>1862</v>
      </c>
      <c r="L2849" s="12" t="s">
        <v>168</v>
      </c>
      <c r="M2849" s="12" t="s">
        <v>32</v>
      </c>
      <c r="N2849" s="12" t="s">
        <v>80</v>
      </c>
      <c r="O2849" s="12" t="s">
        <v>20</v>
      </c>
      <c r="P2849" s="12" t="s">
        <v>64</v>
      </c>
      <c r="Q2849" s="7" t="str">
        <f t="shared" si="133"/>
        <v>(2011,39,'2011.10.01',4,22,32,33,35,0),</v>
      </c>
      <c r="R2849" s="7" t="str">
        <f t="shared" si="135"/>
        <v>(2011,39,'2011.10.01',4,22,32,33,35),</v>
      </c>
    </row>
    <row r="2850" spans="1:18" x14ac:dyDescent="0.25">
      <c r="A2850" s="7" t="s">
        <v>2576</v>
      </c>
      <c r="B2850" s="8" t="s">
        <v>10</v>
      </c>
      <c r="C2850" s="10">
        <f t="shared" si="134"/>
        <v>40824</v>
      </c>
      <c r="D2850" t="s">
        <v>11</v>
      </c>
      <c r="E2850" t="s">
        <v>12</v>
      </c>
      <c r="F2850" t="s">
        <v>10</v>
      </c>
      <c r="G2850" t="s">
        <v>2623</v>
      </c>
      <c r="H2850" t="s">
        <v>2624</v>
      </c>
      <c r="I2850" t="s">
        <v>2625</v>
      </c>
      <c r="J2850" t="s">
        <v>2626</v>
      </c>
      <c r="K2850" t="s">
        <v>1194</v>
      </c>
      <c r="L2850" s="12" t="s">
        <v>20</v>
      </c>
      <c r="M2850" s="12" t="s">
        <v>82</v>
      </c>
      <c r="N2850" s="12" t="s">
        <v>248</v>
      </c>
      <c r="O2850" s="12" t="s">
        <v>73</v>
      </c>
      <c r="P2850" s="12" t="s">
        <v>246</v>
      </c>
      <c r="Q2850" s="7" t="str">
        <f t="shared" si="133"/>
        <v>(2011,40,'2011.10.08',33,59,63,76,84,0),</v>
      </c>
      <c r="R2850" s="7" t="str">
        <f t="shared" si="135"/>
        <v>(2011,40,'2011.10.08',33,59,63,76,84),</v>
      </c>
    </row>
    <row r="2851" spans="1:18" x14ac:dyDescent="0.25">
      <c r="A2851" s="7" t="s">
        <v>2576</v>
      </c>
      <c r="B2851" s="8" t="s">
        <v>13</v>
      </c>
      <c r="C2851" s="10">
        <f t="shared" si="134"/>
        <v>40831</v>
      </c>
      <c r="D2851" t="s">
        <v>11</v>
      </c>
      <c r="E2851" t="s">
        <v>12</v>
      </c>
      <c r="F2851" t="s">
        <v>116</v>
      </c>
      <c r="G2851" t="s">
        <v>2620</v>
      </c>
      <c r="H2851" t="s">
        <v>2621</v>
      </c>
      <c r="I2851" t="s">
        <v>1226</v>
      </c>
      <c r="J2851" t="s">
        <v>2622</v>
      </c>
      <c r="K2851" t="s">
        <v>1715</v>
      </c>
      <c r="L2851" s="12" t="s">
        <v>108</v>
      </c>
      <c r="M2851" s="12" t="s">
        <v>168</v>
      </c>
      <c r="N2851" s="12" t="s">
        <v>10</v>
      </c>
      <c r="O2851" s="12" t="s">
        <v>150</v>
      </c>
      <c r="P2851" s="12" t="s">
        <v>200</v>
      </c>
      <c r="Q2851" s="7" t="str">
        <f t="shared" si="133"/>
        <v>(2011,41,'2011.10.15',1,4,40,57,70,0),</v>
      </c>
      <c r="R2851" s="7" t="str">
        <f t="shared" si="135"/>
        <v>(2011,41,'2011.10.15',1,4,40,57,70),</v>
      </c>
    </row>
    <row r="2852" spans="1:18" x14ac:dyDescent="0.25">
      <c r="A2852" s="7" t="s">
        <v>2576</v>
      </c>
      <c r="B2852" s="8" t="s">
        <v>98</v>
      </c>
      <c r="C2852" s="10">
        <f t="shared" si="134"/>
        <v>40838</v>
      </c>
      <c r="D2852" t="s">
        <v>11</v>
      </c>
      <c r="E2852" t="s">
        <v>12</v>
      </c>
      <c r="F2852" t="s">
        <v>36</v>
      </c>
      <c r="G2852" t="s">
        <v>2618</v>
      </c>
      <c r="H2852" t="s">
        <v>1616</v>
      </c>
      <c r="I2852" t="s">
        <v>1959</v>
      </c>
      <c r="J2852" t="s">
        <v>2619</v>
      </c>
      <c r="K2852" t="s">
        <v>1590</v>
      </c>
      <c r="L2852" s="12" t="s">
        <v>33</v>
      </c>
      <c r="M2852" s="12" t="s">
        <v>46</v>
      </c>
      <c r="N2852" s="12" t="s">
        <v>24</v>
      </c>
      <c r="O2852" s="12" t="s">
        <v>22</v>
      </c>
      <c r="P2852" s="12" t="s">
        <v>245</v>
      </c>
      <c r="Q2852" s="7" t="str">
        <f t="shared" si="133"/>
        <v>(2011,42,'2011.10.22',24,37,39,48,74,0),</v>
      </c>
      <c r="R2852" s="7" t="str">
        <f t="shared" si="135"/>
        <v>(2011,42,'2011.10.22',24,37,39,48,74),</v>
      </c>
    </row>
    <row r="2853" spans="1:18" x14ac:dyDescent="0.25">
      <c r="A2853" s="7" t="s">
        <v>2576</v>
      </c>
      <c r="B2853" s="8" t="s">
        <v>45</v>
      </c>
      <c r="C2853" s="10">
        <f t="shared" si="134"/>
        <v>40845</v>
      </c>
      <c r="D2853" t="s">
        <v>11</v>
      </c>
      <c r="E2853" t="s">
        <v>12</v>
      </c>
      <c r="F2853" t="s">
        <v>134</v>
      </c>
      <c r="G2853" t="s">
        <v>2614</v>
      </c>
      <c r="H2853" t="s">
        <v>2615</v>
      </c>
      <c r="I2853" t="s">
        <v>2616</v>
      </c>
      <c r="J2853" t="s">
        <v>2617</v>
      </c>
      <c r="K2853" t="s">
        <v>1206</v>
      </c>
      <c r="L2853" s="12" t="s">
        <v>168</v>
      </c>
      <c r="M2853" s="12" t="s">
        <v>74</v>
      </c>
      <c r="N2853" s="12" t="s">
        <v>72</v>
      </c>
      <c r="O2853" s="12" t="s">
        <v>92</v>
      </c>
      <c r="P2853" s="12" t="s">
        <v>56</v>
      </c>
      <c r="Q2853" s="7" t="str">
        <f t="shared" si="133"/>
        <v>(2011,43,'2011.10.29',4,26,67,68,71,0),</v>
      </c>
      <c r="R2853" s="7" t="str">
        <f t="shared" si="135"/>
        <v>(2011,43,'2011.10.29',4,26,67,68,71),</v>
      </c>
    </row>
    <row r="2854" spans="1:18" x14ac:dyDescent="0.25">
      <c r="A2854" s="7" t="s">
        <v>2576</v>
      </c>
      <c r="B2854" s="8" t="s">
        <v>142</v>
      </c>
      <c r="C2854" s="10">
        <f t="shared" si="134"/>
        <v>40852</v>
      </c>
      <c r="D2854" t="s">
        <v>11</v>
      </c>
      <c r="E2854" t="s">
        <v>12</v>
      </c>
      <c r="F2854" t="s">
        <v>81</v>
      </c>
      <c r="G2854" t="s">
        <v>2610</v>
      </c>
      <c r="H2854" t="s">
        <v>2611</v>
      </c>
      <c r="I2854" t="s">
        <v>2612</v>
      </c>
      <c r="J2854" t="s">
        <v>2613</v>
      </c>
      <c r="K2854" t="s">
        <v>931</v>
      </c>
      <c r="L2854" s="12" t="s">
        <v>270</v>
      </c>
      <c r="M2854" s="12" t="s">
        <v>74</v>
      </c>
      <c r="N2854" s="12" t="s">
        <v>135</v>
      </c>
      <c r="O2854" s="12" t="s">
        <v>20</v>
      </c>
      <c r="P2854" s="12" t="s">
        <v>106</v>
      </c>
      <c r="Q2854" s="7" t="str">
        <f t="shared" si="133"/>
        <v>(2011,44,'2011.11.05',6,26,27,33,75,0),</v>
      </c>
      <c r="R2854" s="7" t="str">
        <f t="shared" si="135"/>
        <v>(2011,44,'2011.11.05',6,26,27,33,75),</v>
      </c>
    </row>
    <row r="2855" spans="1:18" x14ac:dyDescent="0.25">
      <c r="A2855" s="7" t="s">
        <v>2576</v>
      </c>
      <c r="B2855" s="8" t="s">
        <v>133</v>
      </c>
      <c r="C2855" s="10">
        <f t="shared" si="134"/>
        <v>40859</v>
      </c>
      <c r="D2855" t="s">
        <v>11</v>
      </c>
      <c r="E2855" t="s">
        <v>12</v>
      </c>
      <c r="F2855" t="s">
        <v>36</v>
      </c>
      <c r="G2855" t="s">
        <v>2606</v>
      </c>
      <c r="H2855" t="s">
        <v>2607</v>
      </c>
      <c r="I2855" t="s">
        <v>2608</v>
      </c>
      <c r="J2855" t="s">
        <v>2609</v>
      </c>
      <c r="K2855" t="s">
        <v>894</v>
      </c>
      <c r="L2855" s="12" t="s">
        <v>270</v>
      </c>
      <c r="M2855" s="12" t="s">
        <v>83</v>
      </c>
      <c r="N2855" s="12" t="s">
        <v>10</v>
      </c>
      <c r="O2855" s="12" t="s">
        <v>81</v>
      </c>
      <c r="P2855" s="12" t="s">
        <v>308</v>
      </c>
      <c r="Q2855" s="7" t="str">
        <f t="shared" si="133"/>
        <v>(2011,45,'2011.11.12',6,11,40,47,86,0),</v>
      </c>
      <c r="R2855" s="7" t="str">
        <f t="shared" si="135"/>
        <v>(2011,45,'2011.11.12',6,11,40,47,86),</v>
      </c>
    </row>
    <row r="2856" spans="1:18" x14ac:dyDescent="0.25">
      <c r="A2856" s="7" t="s">
        <v>2576</v>
      </c>
      <c r="B2856" s="8" t="s">
        <v>192</v>
      </c>
      <c r="C2856" s="10">
        <f t="shared" si="134"/>
        <v>40866</v>
      </c>
      <c r="D2856" t="s">
        <v>108</v>
      </c>
      <c r="E2856" t="s">
        <v>2601</v>
      </c>
      <c r="F2856" t="s">
        <v>63</v>
      </c>
      <c r="G2856" t="s">
        <v>2602</v>
      </c>
      <c r="H2856" t="s">
        <v>2603</v>
      </c>
      <c r="I2856" t="s">
        <v>2604</v>
      </c>
      <c r="J2856" t="s">
        <v>2605</v>
      </c>
      <c r="K2856" t="s">
        <v>1497</v>
      </c>
      <c r="L2856" s="12" t="s">
        <v>168</v>
      </c>
      <c r="M2856" s="12" t="s">
        <v>25</v>
      </c>
      <c r="N2856" s="12" t="s">
        <v>22</v>
      </c>
      <c r="O2856" s="12" t="s">
        <v>233</v>
      </c>
      <c r="P2856" s="12" t="s">
        <v>125</v>
      </c>
      <c r="Q2856" s="7" t="str">
        <f t="shared" si="133"/>
        <v>(2011,46,'2011.11.19',4,34,48,66,83,0),</v>
      </c>
      <c r="R2856" s="7" t="str">
        <f t="shared" si="135"/>
        <v>(2011,46,'2011.11.19',4,34,48,66,83),</v>
      </c>
    </row>
    <row r="2857" spans="1:18" x14ac:dyDescent="0.25">
      <c r="A2857" s="7" t="s">
        <v>2576</v>
      </c>
      <c r="B2857" s="8" t="s">
        <v>81</v>
      </c>
      <c r="C2857" s="10">
        <f t="shared" si="134"/>
        <v>40873</v>
      </c>
      <c r="D2857" t="s">
        <v>11</v>
      </c>
      <c r="E2857" t="s">
        <v>12</v>
      </c>
      <c r="F2857" t="s">
        <v>192</v>
      </c>
      <c r="G2857" t="s">
        <v>2597</v>
      </c>
      <c r="H2857" t="s">
        <v>2598</v>
      </c>
      <c r="I2857" t="s">
        <v>2599</v>
      </c>
      <c r="J2857" t="s">
        <v>2600</v>
      </c>
      <c r="K2857" t="s">
        <v>998</v>
      </c>
      <c r="L2857" s="12" t="s">
        <v>207</v>
      </c>
      <c r="M2857" s="12" t="s">
        <v>270</v>
      </c>
      <c r="N2857" s="12" t="s">
        <v>25</v>
      </c>
      <c r="O2857" s="12" t="s">
        <v>64</v>
      </c>
      <c r="P2857" s="12" t="s">
        <v>73</v>
      </c>
      <c r="Q2857" s="7" t="str">
        <f t="shared" si="133"/>
        <v>(2011,47,'2011.11.26',2,6,34,35,76,0),</v>
      </c>
      <c r="R2857" s="7" t="str">
        <f t="shared" si="135"/>
        <v>(2011,47,'2011.11.26',2,6,34,35,76),</v>
      </c>
    </row>
    <row r="2858" spans="1:18" x14ac:dyDescent="0.25">
      <c r="A2858" s="7" t="s">
        <v>2576</v>
      </c>
      <c r="B2858" s="8" t="s">
        <v>22</v>
      </c>
      <c r="C2858" s="10">
        <f t="shared" si="134"/>
        <v>40880</v>
      </c>
      <c r="D2858" t="s">
        <v>11</v>
      </c>
      <c r="E2858" t="s">
        <v>12</v>
      </c>
      <c r="F2858" t="s">
        <v>13</v>
      </c>
      <c r="G2858" t="s">
        <v>2593</v>
      </c>
      <c r="H2858" t="s">
        <v>2594</v>
      </c>
      <c r="I2858" t="s">
        <v>2595</v>
      </c>
      <c r="J2858" t="s">
        <v>2596</v>
      </c>
      <c r="K2858" t="s">
        <v>993</v>
      </c>
      <c r="L2858" s="12" t="s">
        <v>198</v>
      </c>
      <c r="M2858" s="12" t="s">
        <v>19</v>
      </c>
      <c r="N2858" s="12" t="s">
        <v>133</v>
      </c>
      <c r="O2858" s="12" t="s">
        <v>150</v>
      </c>
      <c r="P2858" s="12" t="s">
        <v>56</v>
      </c>
      <c r="Q2858" s="7" t="str">
        <f t="shared" si="133"/>
        <v>(2011,48,'2011.12.03',9,18,45,57,71,0),</v>
      </c>
      <c r="R2858" s="7" t="str">
        <f t="shared" si="135"/>
        <v>(2011,48,'2011.12.03',9,18,45,57,71),</v>
      </c>
    </row>
    <row r="2859" spans="1:18" x14ac:dyDescent="0.25">
      <c r="A2859" s="7" t="s">
        <v>2576</v>
      </c>
      <c r="B2859" s="8" t="s">
        <v>34</v>
      </c>
      <c r="C2859" s="10">
        <f t="shared" si="134"/>
        <v>40887</v>
      </c>
      <c r="D2859" t="s">
        <v>11</v>
      </c>
      <c r="E2859" t="s">
        <v>12</v>
      </c>
      <c r="F2859" t="s">
        <v>233</v>
      </c>
      <c r="G2859" t="s">
        <v>2589</v>
      </c>
      <c r="H2859" t="s">
        <v>2590</v>
      </c>
      <c r="I2859" t="s">
        <v>2591</v>
      </c>
      <c r="J2859" t="s">
        <v>2592</v>
      </c>
      <c r="K2859" t="s">
        <v>1090</v>
      </c>
      <c r="L2859" s="12" t="s">
        <v>168</v>
      </c>
      <c r="M2859" s="12" t="s">
        <v>33</v>
      </c>
      <c r="N2859" s="12" t="s">
        <v>80</v>
      </c>
      <c r="O2859" s="12" t="s">
        <v>192</v>
      </c>
      <c r="P2859" s="12" t="s">
        <v>246</v>
      </c>
      <c r="Q2859" s="7" t="str">
        <f t="shared" si="133"/>
        <v>(2011,49,'2011.12.10',4,24,32,46,84,0),</v>
      </c>
      <c r="R2859" s="7" t="str">
        <f t="shared" si="135"/>
        <v>(2011,49,'2011.12.10',4,24,32,46,84),</v>
      </c>
    </row>
    <row r="2860" spans="1:18" x14ac:dyDescent="0.25">
      <c r="A2860" s="7" t="s">
        <v>2576</v>
      </c>
      <c r="B2860" s="8" t="s">
        <v>105</v>
      </c>
      <c r="C2860" s="10">
        <f t="shared" si="134"/>
        <v>40894</v>
      </c>
      <c r="D2860" t="s">
        <v>11</v>
      </c>
      <c r="E2860" t="s">
        <v>12</v>
      </c>
      <c r="F2860" t="s">
        <v>135</v>
      </c>
      <c r="G2860" t="s">
        <v>2585</v>
      </c>
      <c r="H2860" t="s">
        <v>2586</v>
      </c>
      <c r="I2860" t="s">
        <v>2587</v>
      </c>
      <c r="J2860" t="s">
        <v>2588</v>
      </c>
      <c r="K2860" t="s">
        <v>2257</v>
      </c>
      <c r="L2860" s="12" t="s">
        <v>207</v>
      </c>
      <c r="M2860" s="12" t="s">
        <v>168</v>
      </c>
      <c r="N2860" s="12" t="s">
        <v>91</v>
      </c>
      <c r="O2860" s="12" t="s">
        <v>124</v>
      </c>
      <c r="P2860" s="12" t="s">
        <v>379</v>
      </c>
      <c r="Q2860" s="7" t="str">
        <f t="shared" si="133"/>
        <v>(2011,50,'2011.12.17',2,4,61,62,89,0),</v>
      </c>
      <c r="R2860" s="7" t="str">
        <f t="shared" si="135"/>
        <v>(2011,50,'2011.12.17',2,4,61,62,89),</v>
      </c>
    </row>
    <row r="2861" spans="1:18" x14ac:dyDescent="0.25">
      <c r="A2861" s="7" t="s">
        <v>2576</v>
      </c>
      <c r="B2861" s="8" t="s">
        <v>122</v>
      </c>
      <c r="C2861" s="10">
        <f t="shared" si="134"/>
        <v>40901</v>
      </c>
      <c r="D2861" t="s">
        <v>11</v>
      </c>
      <c r="E2861" t="s">
        <v>12</v>
      </c>
      <c r="F2861" t="s">
        <v>45</v>
      </c>
      <c r="G2861" t="s">
        <v>2581</v>
      </c>
      <c r="H2861" t="s">
        <v>2582</v>
      </c>
      <c r="I2861" t="s">
        <v>2583</v>
      </c>
      <c r="J2861" t="s">
        <v>2584</v>
      </c>
      <c r="K2861" t="s">
        <v>884</v>
      </c>
      <c r="L2861" s="12" t="s">
        <v>31</v>
      </c>
      <c r="M2861" s="12" t="s">
        <v>19</v>
      </c>
      <c r="N2861" s="12" t="s">
        <v>152</v>
      </c>
      <c r="O2861" s="12" t="s">
        <v>10</v>
      </c>
      <c r="P2861" s="12" t="s">
        <v>72</v>
      </c>
      <c r="Q2861" s="7" t="str">
        <f t="shared" si="133"/>
        <v>(2011,51,'2011.12.24',12,18,25,40,67,0),</v>
      </c>
      <c r="R2861" s="7" t="str">
        <f t="shared" si="135"/>
        <v>(2011,51,'2011.12.24',12,18,25,40,67),</v>
      </c>
    </row>
    <row r="2862" spans="1:18" x14ac:dyDescent="0.25">
      <c r="A2862" s="7" t="s">
        <v>2576</v>
      </c>
      <c r="B2862" s="8" t="s">
        <v>99</v>
      </c>
      <c r="C2862" s="10">
        <f t="shared" si="134"/>
        <v>40908</v>
      </c>
      <c r="D2862" t="s">
        <v>11</v>
      </c>
      <c r="E2862" t="s">
        <v>12</v>
      </c>
      <c r="F2862" t="s">
        <v>82</v>
      </c>
      <c r="G2862" t="s">
        <v>2577</v>
      </c>
      <c r="H2862" t="s">
        <v>2578</v>
      </c>
      <c r="I2862" t="s">
        <v>2579</v>
      </c>
      <c r="J2862" t="s">
        <v>2580</v>
      </c>
      <c r="K2862" t="s">
        <v>993</v>
      </c>
      <c r="L2862" s="12" t="s">
        <v>55</v>
      </c>
      <c r="M2862" s="12" t="s">
        <v>80</v>
      </c>
      <c r="N2862" s="12" t="s">
        <v>21</v>
      </c>
      <c r="O2862" s="12" t="s">
        <v>99</v>
      </c>
      <c r="P2862" s="12" t="s">
        <v>73</v>
      </c>
      <c r="Q2862" s="7" t="str">
        <f t="shared" si="133"/>
        <v>(2011,52,'2011.12.31',19,32,36,52,76,0),</v>
      </c>
      <c r="R2862" s="7" t="str">
        <f t="shared" si="135"/>
        <v>(2011,52,'2011.12.31',19,32,36,52,76),</v>
      </c>
    </row>
    <row r="2863" spans="1:18" x14ac:dyDescent="0.25">
      <c r="A2863" s="7" t="s">
        <v>2375</v>
      </c>
      <c r="B2863" s="8" t="s">
        <v>108</v>
      </c>
      <c r="C2863" s="10">
        <f t="shared" si="134"/>
        <v>40915</v>
      </c>
      <c r="D2863" t="s">
        <v>11</v>
      </c>
      <c r="E2863" t="s">
        <v>12</v>
      </c>
      <c r="F2863" t="s">
        <v>32</v>
      </c>
      <c r="G2863" t="s">
        <v>2572</v>
      </c>
      <c r="H2863" t="s">
        <v>2573</v>
      </c>
      <c r="I2863" t="s">
        <v>2574</v>
      </c>
      <c r="J2863" t="s">
        <v>2575</v>
      </c>
      <c r="K2863" t="s">
        <v>253</v>
      </c>
      <c r="L2863" s="12" t="s">
        <v>133</v>
      </c>
      <c r="M2863" s="12" t="s">
        <v>134</v>
      </c>
      <c r="N2863" s="12" t="s">
        <v>35</v>
      </c>
      <c r="O2863" s="12" t="s">
        <v>215</v>
      </c>
      <c r="P2863" s="12" t="s">
        <v>125</v>
      </c>
      <c r="Q2863" s="7" t="str">
        <f t="shared" si="133"/>
        <v>(2012,1,'2012.01.07',45,56,65,81,83,0),</v>
      </c>
      <c r="R2863" s="7" t="str">
        <f t="shared" si="135"/>
        <v>(2012,1,'2012.01.07',45,56,65,81,83),</v>
      </c>
    </row>
    <row r="2864" spans="1:18" x14ac:dyDescent="0.25">
      <c r="A2864" s="7" t="s">
        <v>2375</v>
      </c>
      <c r="B2864" s="8" t="s">
        <v>207</v>
      </c>
      <c r="C2864" s="10">
        <f t="shared" si="134"/>
        <v>40922</v>
      </c>
      <c r="D2864" t="s">
        <v>11</v>
      </c>
      <c r="E2864" t="s">
        <v>12</v>
      </c>
      <c r="F2864" t="s">
        <v>126</v>
      </c>
      <c r="G2864" t="s">
        <v>2568</v>
      </c>
      <c r="H2864" t="s">
        <v>2569</v>
      </c>
      <c r="I2864" t="s">
        <v>2570</v>
      </c>
      <c r="J2864" t="s">
        <v>2571</v>
      </c>
      <c r="K2864" t="s">
        <v>162</v>
      </c>
      <c r="L2864" s="12" t="s">
        <v>31</v>
      </c>
      <c r="M2864" s="12" t="s">
        <v>13</v>
      </c>
      <c r="N2864" s="12" t="s">
        <v>82</v>
      </c>
      <c r="O2864" s="12" t="s">
        <v>91</v>
      </c>
      <c r="P2864" s="12" t="s">
        <v>233</v>
      </c>
      <c r="Q2864" s="7" t="str">
        <f t="shared" si="133"/>
        <v>(2012,2,'2012.01.14',12,41,59,61,66,0),</v>
      </c>
      <c r="R2864" s="7" t="str">
        <f t="shared" si="135"/>
        <v>(2012,2,'2012.01.14',12,41,59,61,66),</v>
      </c>
    </row>
    <row r="2865" spans="1:18" x14ac:dyDescent="0.25">
      <c r="A2865" s="7" t="s">
        <v>2375</v>
      </c>
      <c r="B2865" s="8" t="s">
        <v>42</v>
      </c>
      <c r="C2865" s="10">
        <f t="shared" si="134"/>
        <v>40929</v>
      </c>
      <c r="D2865" t="s">
        <v>11</v>
      </c>
      <c r="E2865" t="s">
        <v>12</v>
      </c>
      <c r="F2865" t="s">
        <v>44</v>
      </c>
      <c r="G2865" t="s">
        <v>2564</v>
      </c>
      <c r="H2865" t="s">
        <v>2565</v>
      </c>
      <c r="I2865" t="s">
        <v>372</v>
      </c>
      <c r="J2865" t="s">
        <v>2566</v>
      </c>
      <c r="K2865" t="s">
        <v>2567</v>
      </c>
      <c r="L2865" s="12" t="s">
        <v>62</v>
      </c>
      <c r="M2865" s="12" t="s">
        <v>107</v>
      </c>
      <c r="N2865" s="12" t="s">
        <v>142</v>
      </c>
      <c r="O2865" s="12" t="s">
        <v>35</v>
      </c>
      <c r="P2865" s="12" t="s">
        <v>233</v>
      </c>
      <c r="Q2865" s="7" t="str">
        <f t="shared" si="133"/>
        <v>(2012,3,'2012.01.21',10,30,44,65,66,0),</v>
      </c>
      <c r="R2865" s="7" t="str">
        <f t="shared" si="135"/>
        <v>(2012,3,'2012.01.21',10,30,44,65,66),</v>
      </c>
    </row>
    <row r="2866" spans="1:18" x14ac:dyDescent="0.25">
      <c r="A2866" s="7" t="s">
        <v>2375</v>
      </c>
      <c r="B2866" s="8" t="s">
        <v>168</v>
      </c>
      <c r="C2866" s="10">
        <f t="shared" si="134"/>
        <v>40936</v>
      </c>
      <c r="D2866" t="s">
        <v>11</v>
      </c>
      <c r="E2866" t="s">
        <v>12</v>
      </c>
      <c r="F2866" t="s">
        <v>2559</v>
      </c>
      <c r="G2866" t="s">
        <v>2560</v>
      </c>
      <c r="H2866" t="s">
        <v>2561</v>
      </c>
      <c r="I2866" t="s">
        <v>2562</v>
      </c>
      <c r="J2866" t="s">
        <v>2563</v>
      </c>
      <c r="K2866" t="s">
        <v>1526</v>
      </c>
      <c r="L2866" s="12" t="s">
        <v>53</v>
      </c>
      <c r="M2866" s="12" t="s">
        <v>44</v>
      </c>
      <c r="N2866" s="12" t="s">
        <v>22</v>
      </c>
      <c r="O2866" s="12" t="s">
        <v>175</v>
      </c>
      <c r="P2866" s="12" t="s">
        <v>622</v>
      </c>
      <c r="Q2866" s="7" t="str">
        <f t="shared" si="133"/>
        <v>(2012,4,'2012.01.28',7,21,48,55,82,0),</v>
      </c>
      <c r="R2866" s="7" t="str">
        <f t="shared" si="135"/>
        <v>(2012,4,'2012.01.28',7,21,48,55,82),</v>
      </c>
    </row>
    <row r="2867" spans="1:18" x14ac:dyDescent="0.25">
      <c r="A2867" s="7" t="s">
        <v>2375</v>
      </c>
      <c r="B2867" s="8" t="s">
        <v>89</v>
      </c>
      <c r="C2867" s="10">
        <f t="shared" si="134"/>
        <v>40943</v>
      </c>
      <c r="D2867" t="s">
        <v>11</v>
      </c>
      <c r="E2867" t="s">
        <v>12</v>
      </c>
      <c r="F2867" t="s">
        <v>10</v>
      </c>
      <c r="G2867" t="s">
        <v>2555</v>
      </c>
      <c r="H2867" t="s">
        <v>2556</v>
      </c>
      <c r="I2867" t="s">
        <v>2557</v>
      </c>
      <c r="J2867" t="s">
        <v>2558</v>
      </c>
      <c r="K2867" t="s">
        <v>1998</v>
      </c>
      <c r="L2867" s="12" t="s">
        <v>168</v>
      </c>
      <c r="M2867" s="12" t="s">
        <v>54</v>
      </c>
      <c r="N2867" s="12" t="s">
        <v>33</v>
      </c>
      <c r="O2867" s="12" t="s">
        <v>63</v>
      </c>
      <c r="P2867" s="12" t="s">
        <v>622</v>
      </c>
      <c r="Q2867" s="7" t="str">
        <f t="shared" si="133"/>
        <v>(2012,5,'2012.02.04',4,15,24,78,82,0),</v>
      </c>
      <c r="R2867" s="7" t="str">
        <f t="shared" si="135"/>
        <v>(2012,5,'2012.02.04',4,15,24,78,82),</v>
      </c>
    </row>
    <row r="2868" spans="1:18" x14ac:dyDescent="0.25">
      <c r="A2868" s="7" t="s">
        <v>2375</v>
      </c>
      <c r="B2868" s="8" t="s">
        <v>270</v>
      </c>
      <c r="C2868" s="10">
        <f t="shared" si="134"/>
        <v>40950</v>
      </c>
      <c r="D2868" t="s">
        <v>11</v>
      </c>
      <c r="E2868" t="s">
        <v>12</v>
      </c>
      <c r="F2868" t="s">
        <v>198</v>
      </c>
      <c r="G2868" t="s">
        <v>2550</v>
      </c>
      <c r="H2868" t="s">
        <v>2551</v>
      </c>
      <c r="I2868" t="s">
        <v>2552</v>
      </c>
      <c r="J2868" t="s">
        <v>2553</v>
      </c>
      <c r="K2868" t="s">
        <v>2554</v>
      </c>
      <c r="L2868" s="12" t="s">
        <v>10</v>
      </c>
      <c r="M2868" s="12" t="s">
        <v>123</v>
      </c>
      <c r="N2868" s="12" t="s">
        <v>23</v>
      </c>
      <c r="O2868" s="12" t="s">
        <v>214</v>
      </c>
      <c r="P2868" s="12" t="s">
        <v>35</v>
      </c>
      <c r="Q2868" s="7" t="str">
        <f t="shared" si="133"/>
        <v>(2012,6,'2012.02.11',40,54,60,64,65,0),</v>
      </c>
      <c r="R2868" s="7" t="str">
        <f t="shared" si="135"/>
        <v>(2012,6,'2012.02.11',40,54,60,64,65),</v>
      </c>
    </row>
    <row r="2869" spans="1:18" x14ac:dyDescent="0.25">
      <c r="A2869" s="7" t="s">
        <v>2375</v>
      </c>
      <c r="B2869" s="8" t="s">
        <v>53</v>
      </c>
      <c r="C2869" s="10">
        <f t="shared" si="134"/>
        <v>40957</v>
      </c>
      <c r="D2869" t="s">
        <v>11</v>
      </c>
      <c r="E2869" t="s">
        <v>12</v>
      </c>
      <c r="F2869" t="s">
        <v>98</v>
      </c>
      <c r="G2869" t="s">
        <v>2546</v>
      </c>
      <c r="H2869" t="s">
        <v>2547</v>
      </c>
      <c r="I2869" t="s">
        <v>2548</v>
      </c>
      <c r="J2869" t="s">
        <v>2549</v>
      </c>
      <c r="K2869" t="s">
        <v>1739</v>
      </c>
      <c r="L2869" s="12" t="s">
        <v>42</v>
      </c>
      <c r="M2869" s="12" t="s">
        <v>116</v>
      </c>
      <c r="N2869" s="12" t="s">
        <v>233</v>
      </c>
      <c r="O2869" s="12" t="s">
        <v>151</v>
      </c>
      <c r="P2869" s="12" t="s">
        <v>125</v>
      </c>
      <c r="Q2869" s="7" t="str">
        <f t="shared" si="133"/>
        <v>(2012,7,'2012.02.18',3,29,66,79,83,0),</v>
      </c>
      <c r="R2869" s="7" t="str">
        <f t="shared" si="135"/>
        <v>(2012,7,'2012.02.18',3,29,66,79,83),</v>
      </c>
    </row>
    <row r="2870" spans="1:18" x14ac:dyDescent="0.25">
      <c r="A2870" s="7" t="s">
        <v>2375</v>
      </c>
      <c r="B2870" s="8" t="s">
        <v>232</v>
      </c>
      <c r="C2870" s="10">
        <f t="shared" si="134"/>
        <v>40964</v>
      </c>
      <c r="D2870" t="s">
        <v>11</v>
      </c>
      <c r="E2870" t="s">
        <v>12</v>
      </c>
      <c r="F2870" t="s">
        <v>116</v>
      </c>
      <c r="G2870" t="s">
        <v>2542</v>
      </c>
      <c r="H2870" t="s">
        <v>2543</v>
      </c>
      <c r="I2870" t="s">
        <v>2544</v>
      </c>
      <c r="J2870" t="s">
        <v>2545</v>
      </c>
      <c r="K2870" t="s">
        <v>1889</v>
      </c>
      <c r="L2870" s="12" t="s">
        <v>53</v>
      </c>
      <c r="M2870" s="12" t="s">
        <v>19</v>
      </c>
      <c r="N2870" s="12" t="s">
        <v>82</v>
      </c>
      <c r="O2870" s="12" t="s">
        <v>23</v>
      </c>
      <c r="P2870" s="12" t="s">
        <v>35</v>
      </c>
      <c r="Q2870" s="7" t="str">
        <f t="shared" si="133"/>
        <v>(2012,8,'2012.02.25',7,18,59,60,65,0),</v>
      </c>
      <c r="R2870" s="7" t="str">
        <f t="shared" si="135"/>
        <v>(2012,8,'2012.02.25',7,18,59,60,65),</v>
      </c>
    </row>
    <row r="2871" spans="1:18" x14ac:dyDescent="0.25">
      <c r="A2871" s="7" t="s">
        <v>2375</v>
      </c>
      <c r="B2871" s="8" t="s">
        <v>198</v>
      </c>
      <c r="C2871" s="10">
        <f t="shared" si="134"/>
        <v>40971</v>
      </c>
      <c r="D2871" t="s">
        <v>11</v>
      </c>
      <c r="E2871" t="s">
        <v>12</v>
      </c>
      <c r="F2871" t="s">
        <v>192</v>
      </c>
      <c r="G2871" t="s">
        <v>2539</v>
      </c>
      <c r="H2871" t="s">
        <v>2516</v>
      </c>
      <c r="I2871" t="s">
        <v>2540</v>
      </c>
      <c r="J2871" t="s">
        <v>2541</v>
      </c>
      <c r="K2871" t="s">
        <v>1206</v>
      </c>
      <c r="L2871" s="12" t="s">
        <v>207</v>
      </c>
      <c r="M2871" s="12" t="s">
        <v>19</v>
      </c>
      <c r="N2871" s="12" t="s">
        <v>45</v>
      </c>
      <c r="O2871" s="12" t="s">
        <v>22</v>
      </c>
      <c r="P2871" s="12" t="s">
        <v>199</v>
      </c>
      <c r="Q2871" s="7" t="str">
        <f t="shared" si="133"/>
        <v>(2012,9,'2012.03.03',2,18,43,48,53,0),</v>
      </c>
      <c r="R2871" s="7" t="str">
        <f t="shared" si="135"/>
        <v>(2012,9,'2012.03.03',2,18,43,48,53),</v>
      </c>
    </row>
    <row r="2872" spans="1:18" x14ac:dyDescent="0.25">
      <c r="A2872" s="7" t="s">
        <v>2375</v>
      </c>
      <c r="B2872" s="8" t="s">
        <v>62</v>
      </c>
      <c r="C2872" s="10">
        <f t="shared" si="134"/>
        <v>40978</v>
      </c>
      <c r="D2872" t="s">
        <v>11</v>
      </c>
      <c r="E2872" t="s">
        <v>12</v>
      </c>
      <c r="F2872" t="s">
        <v>10</v>
      </c>
      <c r="G2872" t="s">
        <v>2535</v>
      </c>
      <c r="H2872" t="s">
        <v>2536</v>
      </c>
      <c r="I2872" t="s">
        <v>2537</v>
      </c>
      <c r="J2872" t="s">
        <v>2538</v>
      </c>
      <c r="K2872" t="s">
        <v>61</v>
      </c>
      <c r="L2872" s="12" t="s">
        <v>133</v>
      </c>
      <c r="M2872" s="12" t="s">
        <v>72</v>
      </c>
      <c r="N2872" s="12" t="s">
        <v>47</v>
      </c>
      <c r="O2872" s="12" t="s">
        <v>73</v>
      </c>
      <c r="P2872" s="12" t="s">
        <v>208</v>
      </c>
      <c r="Q2872" s="7" t="str">
        <f t="shared" si="133"/>
        <v>(2012,10,'2012.03.10',45,67,69,76,88,0),</v>
      </c>
      <c r="R2872" s="7" t="str">
        <f t="shared" si="135"/>
        <v>(2012,10,'2012.03.10',45,67,69,76,88),</v>
      </c>
    </row>
    <row r="2873" spans="1:18" x14ac:dyDescent="0.25">
      <c r="A2873" s="7" t="s">
        <v>2375</v>
      </c>
      <c r="B2873" s="8" t="s">
        <v>83</v>
      </c>
      <c r="C2873" s="10">
        <f t="shared" si="134"/>
        <v>40985</v>
      </c>
      <c r="D2873" t="s">
        <v>11</v>
      </c>
      <c r="E2873" t="s">
        <v>12</v>
      </c>
      <c r="F2873" t="s">
        <v>142</v>
      </c>
      <c r="G2873" t="s">
        <v>2531</v>
      </c>
      <c r="H2873" t="s">
        <v>2532</v>
      </c>
      <c r="I2873" t="s">
        <v>2533</v>
      </c>
      <c r="J2873" t="s">
        <v>2534</v>
      </c>
      <c r="K2873" t="s">
        <v>79</v>
      </c>
      <c r="L2873" s="12" t="s">
        <v>24</v>
      </c>
      <c r="M2873" s="12" t="s">
        <v>133</v>
      </c>
      <c r="N2873" s="12" t="s">
        <v>150</v>
      </c>
      <c r="O2873" s="12" t="s">
        <v>143</v>
      </c>
      <c r="P2873" s="12" t="s">
        <v>215</v>
      </c>
      <c r="Q2873" s="7" t="str">
        <f t="shared" si="133"/>
        <v>(2012,11,'2012.03.17',39,45,57,77,81,0),</v>
      </c>
      <c r="R2873" s="7" t="str">
        <f t="shared" si="135"/>
        <v>(2012,11,'2012.03.17',39,45,57,77,81),</v>
      </c>
    </row>
    <row r="2874" spans="1:18" x14ac:dyDescent="0.25">
      <c r="A2874" s="7" t="s">
        <v>2375</v>
      </c>
      <c r="B2874" s="8" t="s">
        <v>31</v>
      </c>
      <c r="C2874" s="10">
        <f t="shared" si="134"/>
        <v>40992</v>
      </c>
      <c r="D2874" t="s">
        <v>11</v>
      </c>
      <c r="E2874" t="s">
        <v>12</v>
      </c>
      <c r="F2874" t="s">
        <v>24</v>
      </c>
      <c r="G2874" t="s">
        <v>2527</v>
      </c>
      <c r="H2874" t="s">
        <v>2528</v>
      </c>
      <c r="I2874" t="s">
        <v>2529</v>
      </c>
      <c r="J2874" t="s">
        <v>2530</v>
      </c>
      <c r="K2874" t="s">
        <v>323</v>
      </c>
      <c r="L2874" s="12" t="s">
        <v>89</v>
      </c>
      <c r="M2874" s="12" t="s">
        <v>142</v>
      </c>
      <c r="N2874" s="12" t="s">
        <v>248</v>
      </c>
      <c r="O2874" s="12" t="s">
        <v>239</v>
      </c>
      <c r="P2874" s="12" t="s">
        <v>125</v>
      </c>
      <c r="Q2874" s="7" t="str">
        <f t="shared" si="133"/>
        <v>(2012,12,'2012.03.24',5,44,63,73,83,0),</v>
      </c>
      <c r="R2874" s="7" t="str">
        <f t="shared" si="135"/>
        <v>(2012,12,'2012.03.24',5,44,63,73,83),</v>
      </c>
    </row>
    <row r="2875" spans="1:18" x14ac:dyDescent="0.25">
      <c r="A2875" s="7" t="s">
        <v>2375</v>
      </c>
      <c r="B2875" s="8" t="s">
        <v>65</v>
      </c>
      <c r="C2875" s="10">
        <f t="shared" si="134"/>
        <v>40999</v>
      </c>
      <c r="D2875" t="s">
        <v>11</v>
      </c>
      <c r="E2875" t="s">
        <v>12</v>
      </c>
      <c r="F2875" t="s">
        <v>46</v>
      </c>
      <c r="G2875" t="s">
        <v>2523</v>
      </c>
      <c r="H2875" t="s">
        <v>2524</v>
      </c>
      <c r="I2875" t="s">
        <v>2525</v>
      </c>
      <c r="J2875" t="s">
        <v>2526</v>
      </c>
      <c r="K2875" t="s">
        <v>908</v>
      </c>
      <c r="L2875" s="12" t="s">
        <v>54</v>
      </c>
      <c r="M2875" s="12" t="s">
        <v>90</v>
      </c>
      <c r="N2875" s="12" t="s">
        <v>92</v>
      </c>
      <c r="O2875" s="12" t="s">
        <v>56</v>
      </c>
      <c r="P2875" s="12" t="s">
        <v>379</v>
      </c>
      <c r="Q2875" s="7" t="str">
        <f t="shared" si="133"/>
        <v>(2012,13,'2012.03.31',15,17,68,71,89,0),</v>
      </c>
      <c r="R2875" s="7" t="str">
        <f t="shared" si="135"/>
        <v>(2012,13,'2012.03.31',15,17,68,71,89),</v>
      </c>
    </row>
    <row r="2876" spans="1:18" x14ac:dyDescent="0.25">
      <c r="A2876" s="7" t="s">
        <v>2375</v>
      </c>
      <c r="B2876" s="8" t="s">
        <v>127</v>
      </c>
      <c r="C2876" s="10">
        <f t="shared" si="134"/>
        <v>41006</v>
      </c>
      <c r="D2876" t="s">
        <v>11</v>
      </c>
      <c r="E2876" t="s">
        <v>12</v>
      </c>
      <c r="F2876" t="s">
        <v>44</v>
      </c>
      <c r="G2876" t="s">
        <v>2519</v>
      </c>
      <c r="H2876" t="s">
        <v>2520</v>
      </c>
      <c r="I2876" t="s">
        <v>2521</v>
      </c>
      <c r="J2876" t="s">
        <v>2522</v>
      </c>
      <c r="K2876" t="s">
        <v>671</v>
      </c>
      <c r="L2876" s="12" t="s">
        <v>64</v>
      </c>
      <c r="M2876" s="12" t="s">
        <v>106</v>
      </c>
      <c r="N2876" s="12" t="s">
        <v>301</v>
      </c>
      <c r="O2876" s="12" t="s">
        <v>246</v>
      </c>
      <c r="P2876" s="12" t="s">
        <v>308</v>
      </c>
      <c r="Q2876" s="7" t="str">
        <f t="shared" si="133"/>
        <v>(2012,14,'2012.04.07',35,75,80,84,86,0),</v>
      </c>
      <c r="R2876" s="7" t="str">
        <f t="shared" si="135"/>
        <v>(2012,14,'2012.04.07',35,75,80,84,86),</v>
      </c>
    </row>
    <row r="2877" spans="1:18" x14ac:dyDescent="0.25">
      <c r="A2877" s="7" t="s">
        <v>2375</v>
      </c>
      <c r="B2877" s="8" t="s">
        <v>54</v>
      </c>
      <c r="C2877" s="10">
        <f t="shared" si="134"/>
        <v>41013</v>
      </c>
      <c r="D2877" t="s">
        <v>11</v>
      </c>
      <c r="E2877" t="s">
        <v>12</v>
      </c>
      <c r="F2877" t="s">
        <v>34</v>
      </c>
      <c r="G2877" t="s">
        <v>2515</v>
      </c>
      <c r="H2877" t="s">
        <v>2516</v>
      </c>
      <c r="I2877" t="s">
        <v>2517</v>
      </c>
      <c r="J2877" t="s">
        <v>2518</v>
      </c>
      <c r="K2877" t="s">
        <v>908</v>
      </c>
      <c r="L2877" s="12" t="s">
        <v>108</v>
      </c>
      <c r="M2877" s="12" t="s">
        <v>163</v>
      </c>
      <c r="N2877" s="12" t="s">
        <v>24</v>
      </c>
      <c r="O2877" s="12" t="s">
        <v>105</v>
      </c>
      <c r="P2877" s="12" t="s">
        <v>35</v>
      </c>
      <c r="Q2877" s="7" t="str">
        <f t="shared" si="133"/>
        <v>(2012,15,'2012.04.14',1,23,39,50,65,0),</v>
      </c>
      <c r="R2877" s="7" t="str">
        <f t="shared" si="135"/>
        <v>(2012,15,'2012.04.14',1,23,39,50,65),</v>
      </c>
    </row>
    <row r="2878" spans="1:18" x14ac:dyDescent="0.25">
      <c r="A2878" s="7" t="s">
        <v>2375</v>
      </c>
      <c r="B2878" s="8" t="s">
        <v>43</v>
      </c>
      <c r="C2878" s="10">
        <f t="shared" si="134"/>
        <v>41020</v>
      </c>
      <c r="D2878" t="s">
        <v>11</v>
      </c>
      <c r="E2878" t="s">
        <v>12</v>
      </c>
      <c r="F2878" t="s">
        <v>126</v>
      </c>
      <c r="G2878" t="s">
        <v>2511</v>
      </c>
      <c r="H2878" t="s">
        <v>2512</v>
      </c>
      <c r="I2878" t="s">
        <v>2513</v>
      </c>
      <c r="J2878" t="s">
        <v>2514</v>
      </c>
      <c r="K2878" t="s">
        <v>300</v>
      </c>
      <c r="L2878" s="12" t="s">
        <v>33</v>
      </c>
      <c r="M2878" s="12" t="s">
        <v>152</v>
      </c>
      <c r="N2878" s="12" t="s">
        <v>45</v>
      </c>
      <c r="O2878" s="12" t="s">
        <v>23</v>
      </c>
      <c r="P2878" s="12" t="s">
        <v>468</v>
      </c>
      <c r="Q2878" s="7" t="str">
        <f t="shared" si="133"/>
        <v>(2012,16,'2012.04.21',24,25,43,60,85,0),</v>
      </c>
      <c r="R2878" s="7" t="str">
        <f t="shared" si="135"/>
        <v>(2012,16,'2012.04.21',24,25,43,60,85),</v>
      </c>
    </row>
    <row r="2879" spans="1:18" x14ac:dyDescent="0.25">
      <c r="A2879" s="7" t="s">
        <v>2375</v>
      </c>
      <c r="B2879" s="8" t="s">
        <v>90</v>
      </c>
      <c r="C2879" s="10">
        <f t="shared" si="134"/>
        <v>41027</v>
      </c>
      <c r="D2879" t="s">
        <v>11</v>
      </c>
      <c r="E2879" t="s">
        <v>12</v>
      </c>
      <c r="F2879" t="s">
        <v>92</v>
      </c>
      <c r="G2879" t="s">
        <v>2507</v>
      </c>
      <c r="H2879" t="s">
        <v>2508</v>
      </c>
      <c r="I2879" t="s">
        <v>2509</v>
      </c>
      <c r="J2879" t="s">
        <v>2510</v>
      </c>
      <c r="K2879" t="s">
        <v>1021</v>
      </c>
      <c r="L2879" s="12" t="s">
        <v>108</v>
      </c>
      <c r="M2879" s="12" t="s">
        <v>270</v>
      </c>
      <c r="N2879" s="12" t="s">
        <v>163</v>
      </c>
      <c r="O2879" s="12" t="s">
        <v>192</v>
      </c>
      <c r="P2879" s="12" t="s">
        <v>105</v>
      </c>
      <c r="Q2879" s="7" t="str">
        <f t="shared" si="133"/>
        <v>(2012,17,'2012.04.28',1,6,23,46,50,0),</v>
      </c>
      <c r="R2879" s="7" t="str">
        <f t="shared" si="135"/>
        <v>(2012,17,'2012.04.28',1,6,23,46,50),</v>
      </c>
    </row>
    <row r="2880" spans="1:18" x14ac:dyDescent="0.25">
      <c r="A2880" s="7" t="s">
        <v>2375</v>
      </c>
      <c r="B2880" s="8" t="s">
        <v>19</v>
      </c>
      <c r="C2880" s="10">
        <f t="shared" si="134"/>
        <v>41034</v>
      </c>
      <c r="D2880" t="s">
        <v>11</v>
      </c>
      <c r="E2880" t="s">
        <v>12</v>
      </c>
      <c r="F2880" t="s">
        <v>10</v>
      </c>
      <c r="G2880" t="s">
        <v>2503</v>
      </c>
      <c r="H2880" t="s">
        <v>2504</v>
      </c>
      <c r="I2880" t="s">
        <v>2505</v>
      </c>
      <c r="J2880" t="s">
        <v>2506</v>
      </c>
      <c r="K2880" t="s">
        <v>114</v>
      </c>
      <c r="L2880" s="12" t="s">
        <v>44</v>
      </c>
      <c r="M2880" s="12" t="s">
        <v>21</v>
      </c>
      <c r="N2880" s="12" t="s">
        <v>92</v>
      </c>
      <c r="O2880" s="12" t="s">
        <v>47</v>
      </c>
      <c r="P2880" s="12" t="s">
        <v>269</v>
      </c>
      <c r="Q2880" s="7" t="str">
        <f t="shared" si="133"/>
        <v>(2012,18,'2012.05.05',21,36,68,69,87,0),</v>
      </c>
      <c r="R2880" s="7" t="str">
        <f t="shared" si="135"/>
        <v>(2012,18,'2012.05.05',21,36,68,69,87),</v>
      </c>
    </row>
    <row r="2881" spans="1:18" x14ac:dyDescent="0.25">
      <c r="A2881" s="7" t="s">
        <v>2375</v>
      </c>
      <c r="B2881" s="8" t="s">
        <v>55</v>
      </c>
      <c r="C2881" s="10">
        <f t="shared" si="134"/>
        <v>41041</v>
      </c>
      <c r="D2881" t="s">
        <v>11</v>
      </c>
      <c r="E2881" t="s">
        <v>12</v>
      </c>
      <c r="F2881" t="s">
        <v>24</v>
      </c>
      <c r="G2881" t="s">
        <v>2499</v>
      </c>
      <c r="H2881" t="s">
        <v>2500</v>
      </c>
      <c r="I2881" t="s">
        <v>2501</v>
      </c>
      <c r="J2881" t="s">
        <v>2502</v>
      </c>
      <c r="K2881" t="s">
        <v>1039</v>
      </c>
      <c r="L2881" s="12" t="s">
        <v>108</v>
      </c>
      <c r="M2881" s="12" t="s">
        <v>152</v>
      </c>
      <c r="N2881" s="12" t="s">
        <v>135</v>
      </c>
      <c r="O2881" s="12" t="s">
        <v>47</v>
      </c>
      <c r="P2881" s="12" t="s">
        <v>215</v>
      </c>
      <c r="Q2881" s="7" t="str">
        <f t="shared" si="133"/>
        <v>(2012,19,'2012.05.12',1,25,27,69,81,0),</v>
      </c>
      <c r="R2881" s="7" t="str">
        <f t="shared" si="135"/>
        <v>(2012,19,'2012.05.12',1,25,27,69,81),</v>
      </c>
    </row>
    <row r="2882" spans="1:18" x14ac:dyDescent="0.25">
      <c r="A2882" s="7" t="s">
        <v>2375</v>
      </c>
      <c r="B2882" s="8" t="s">
        <v>115</v>
      </c>
      <c r="C2882" s="10">
        <f t="shared" si="134"/>
        <v>41048</v>
      </c>
      <c r="D2882" t="s">
        <v>11</v>
      </c>
      <c r="E2882" t="s">
        <v>12</v>
      </c>
      <c r="F2882" t="s">
        <v>246</v>
      </c>
      <c r="G2882" t="s">
        <v>2495</v>
      </c>
      <c r="H2882" t="s">
        <v>2496</v>
      </c>
      <c r="I2882" t="s">
        <v>2497</v>
      </c>
      <c r="J2882" t="s">
        <v>2498</v>
      </c>
      <c r="K2882" t="s">
        <v>2146</v>
      </c>
      <c r="L2882" s="12" t="s">
        <v>83</v>
      </c>
      <c r="M2882" s="12" t="s">
        <v>21</v>
      </c>
      <c r="N2882" s="12" t="s">
        <v>45</v>
      </c>
      <c r="O2882" s="12" t="s">
        <v>248</v>
      </c>
      <c r="P2882" s="12" t="s">
        <v>233</v>
      </c>
      <c r="Q2882" s="7" t="str">
        <f t="shared" ref="Q2882:Q2945" si="136">"("&amp;A2882&amp;","&amp;B2882&amp;",'"&amp;TEXT(C2882,"éééé.hh.nn")&amp;"',"&amp;L2882&amp;","&amp;M2882&amp;","&amp;N2882&amp;","&amp;O2882&amp;","&amp;P2882&amp;",0)"&amp;IF(P2883&lt;&gt;0,",","")</f>
        <v>(2012,20,'2012.05.19',11,36,43,63,66,0),</v>
      </c>
      <c r="R2882" s="7" t="str">
        <f t="shared" si="135"/>
        <v>(2012,20,'2012.05.19',11,36,43,63,66),</v>
      </c>
    </row>
    <row r="2883" spans="1:18" x14ac:dyDescent="0.25">
      <c r="A2883" s="7" t="s">
        <v>2375</v>
      </c>
      <c r="B2883" s="8" t="s">
        <v>44</v>
      </c>
      <c r="C2883" s="10">
        <f t="shared" ref="C2883:C2946" si="137">+C2882+7</f>
        <v>41055</v>
      </c>
      <c r="D2883" t="s">
        <v>11</v>
      </c>
      <c r="E2883" t="s">
        <v>12</v>
      </c>
      <c r="F2883" t="s">
        <v>175</v>
      </c>
      <c r="G2883" t="s">
        <v>2491</v>
      </c>
      <c r="H2883" t="s">
        <v>2492</v>
      </c>
      <c r="I2883" t="s">
        <v>2493</v>
      </c>
      <c r="J2883" t="s">
        <v>2494</v>
      </c>
      <c r="K2883" t="s">
        <v>857</v>
      </c>
      <c r="L2883" s="12" t="s">
        <v>163</v>
      </c>
      <c r="M2883" s="12" t="s">
        <v>107</v>
      </c>
      <c r="N2883" s="12" t="s">
        <v>133</v>
      </c>
      <c r="O2883" s="12" t="s">
        <v>134</v>
      </c>
      <c r="P2883" s="12" t="s">
        <v>56</v>
      </c>
      <c r="Q2883" s="7" t="str">
        <f t="shared" si="136"/>
        <v>(2012,21,'2012.05.26',23,30,45,56,71,0),</v>
      </c>
      <c r="R2883" s="7" t="str">
        <f t="shared" ref="R2883:R2946" si="138">IF(TRIM(P2883)="","","("&amp;A2883&amp;","&amp;B2883&amp;",'"&amp;TEXT(C2883,"éééé.hh.nn")&amp;"',"&amp;L2883&amp;","&amp;M2883&amp;","&amp;N2883&amp;","&amp;O2883&amp;","&amp;P2883&amp;")"&amp;IF(P2884=0,";",","))</f>
        <v>(2012,21,'2012.05.26',23,30,45,56,71),</v>
      </c>
    </row>
    <row r="2884" spans="1:18" x14ac:dyDescent="0.25">
      <c r="A2884" s="7" t="s">
        <v>2375</v>
      </c>
      <c r="B2884" s="8" t="s">
        <v>32</v>
      </c>
      <c r="C2884" s="10">
        <f t="shared" si="137"/>
        <v>41062</v>
      </c>
      <c r="D2884" t="s">
        <v>11</v>
      </c>
      <c r="E2884" t="s">
        <v>12</v>
      </c>
      <c r="F2884" t="s">
        <v>133</v>
      </c>
      <c r="G2884" t="s">
        <v>2487</v>
      </c>
      <c r="H2884" t="s">
        <v>2488</v>
      </c>
      <c r="I2884" t="s">
        <v>2489</v>
      </c>
      <c r="J2884" t="s">
        <v>2490</v>
      </c>
      <c r="K2884" t="s">
        <v>2257</v>
      </c>
      <c r="L2884" s="12" t="s">
        <v>19</v>
      </c>
      <c r="M2884" s="12" t="s">
        <v>115</v>
      </c>
      <c r="N2884" s="12" t="s">
        <v>107</v>
      </c>
      <c r="O2884" s="12" t="s">
        <v>98</v>
      </c>
      <c r="P2884" s="12" t="s">
        <v>122</v>
      </c>
      <c r="Q2884" s="7" t="str">
        <f t="shared" si="136"/>
        <v>(2012,22,'2012.06.02',18,20,30,42,51,0),</v>
      </c>
      <c r="R2884" s="7" t="str">
        <f t="shared" si="138"/>
        <v>(2012,22,'2012.06.02',18,20,30,42,51),</v>
      </c>
    </row>
    <row r="2885" spans="1:18" x14ac:dyDescent="0.25">
      <c r="A2885" s="7" t="s">
        <v>2375</v>
      </c>
      <c r="B2885" s="8" t="s">
        <v>163</v>
      </c>
      <c r="C2885" s="10">
        <f t="shared" si="137"/>
        <v>41069</v>
      </c>
      <c r="D2885" t="s">
        <v>11</v>
      </c>
      <c r="E2885" t="s">
        <v>12</v>
      </c>
      <c r="F2885" t="s">
        <v>24</v>
      </c>
      <c r="G2885" t="s">
        <v>2483</v>
      </c>
      <c r="H2885" t="s">
        <v>2484</v>
      </c>
      <c r="I2885" t="s">
        <v>2485</v>
      </c>
      <c r="J2885" t="s">
        <v>2486</v>
      </c>
      <c r="K2885" t="s">
        <v>998</v>
      </c>
      <c r="L2885" s="12" t="s">
        <v>127</v>
      </c>
      <c r="M2885" s="12" t="s">
        <v>44</v>
      </c>
      <c r="N2885" s="12" t="s">
        <v>32</v>
      </c>
      <c r="O2885" s="12" t="s">
        <v>169</v>
      </c>
      <c r="P2885" s="12" t="s">
        <v>214</v>
      </c>
      <c r="Q2885" s="7" t="str">
        <f t="shared" si="136"/>
        <v>(2012,23,'2012.06.09',14,21,22,58,64,0),</v>
      </c>
      <c r="R2885" s="7" t="str">
        <f t="shared" si="138"/>
        <v>(2012,23,'2012.06.09',14,21,22,58,64),</v>
      </c>
    </row>
    <row r="2886" spans="1:18" x14ac:dyDescent="0.25">
      <c r="A2886" s="7" t="s">
        <v>2375</v>
      </c>
      <c r="B2886" s="8" t="s">
        <v>33</v>
      </c>
      <c r="C2886" s="10">
        <f t="shared" si="137"/>
        <v>41076</v>
      </c>
      <c r="D2886" t="s">
        <v>207</v>
      </c>
      <c r="E2886" t="s">
        <v>2478</v>
      </c>
      <c r="F2886" t="s">
        <v>72</v>
      </c>
      <c r="G2886" t="s">
        <v>2479</v>
      </c>
      <c r="H2886" t="s">
        <v>2480</v>
      </c>
      <c r="I2886" t="s">
        <v>2481</v>
      </c>
      <c r="J2886" t="s">
        <v>2482</v>
      </c>
      <c r="K2886" t="s">
        <v>1382</v>
      </c>
      <c r="L2886" s="12" t="s">
        <v>55</v>
      </c>
      <c r="M2886" s="12" t="s">
        <v>74</v>
      </c>
      <c r="N2886" s="12" t="s">
        <v>199</v>
      </c>
      <c r="O2886" s="12" t="s">
        <v>23</v>
      </c>
      <c r="P2886" s="12" t="s">
        <v>379</v>
      </c>
      <c r="Q2886" s="7" t="str">
        <f t="shared" si="136"/>
        <v>(2012,24,'2012.06.16',19,26,53,60,89,0),</v>
      </c>
      <c r="R2886" s="7" t="str">
        <f t="shared" si="138"/>
        <v>(2012,24,'2012.06.16',19,26,53,60,89),</v>
      </c>
    </row>
    <row r="2887" spans="1:18" x14ac:dyDescent="0.25">
      <c r="A2887" s="7" t="s">
        <v>2375</v>
      </c>
      <c r="B2887" s="8" t="s">
        <v>152</v>
      </c>
      <c r="C2887" s="10">
        <f t="shared" si="137"/>
        <v>41083</v>
      </c>
      <c r="D2887" t="s">
        <v>11</v>
      </c>
      <c r="E2887" t="s">
        <v>12</v>
      </c>
      <c r="F2887" t="s">
        <v>46</v>
      </c>
      <c r="G2887" t="s">
        <v>2475</v>
      </c>
      <c r="H2887" t="s">
        <v>1995</v>
      </c>
      <c r="I2887" t="s">
        <v>2476</v>
      </c>
      <c r="J2887" t="s">
        <v>2477</v>
      </c>
      <c r="K2887" t="s">
        <v>1551</v>
      </c>
      <c r="L2887" s="12" t="s">
        <v>55</v>
      </c>
      <c r="M2887" s="12" t="s">
        <v>33</v>
      </c>
      <c r="N2887" s="12" t="s">
        <v>81</v>
      </c>
      <c r="O2887" s="12" t="s">
        <v>23</v>
      </c>
      <c r="P2887" s="12" t="s">
        <v>208</v>
      </c>
      <c r="Q2887" s="7" t="str">
        <f t="shared" si="136"/>
        <v>(2012,25,'2012.06.23',19,24,47,60,88,0),</v>
      </c>
      <c r="R2887" s="7" t="str">
        <f t="shared" si="138"/>
        <v>(2012,25,'2012.06.23',19,24,47,60,88),</v>
      </c>
    </row>
    <row r="2888" spans="1:18" x14ac:dyDescent="0.25">
      <c r="A2888" s="7" t="s">
        <v>2375</v>
      </c>
      <c r="B2888" s="8" t="s">
        <v>74</v>
      </c>
      <c r="C2888" s="10">
        <f t="shared" si="137"/>
        <v>41090</v>
      </c>
      <c r="D2888" t="s">
        <v>11</v>
      </c>
      <c r="E2888" t="s">
        <v>12</v>
      </c>
      <c r="F2888" t="s">
        <v>74</v>
      </c>
      <c r="G2888" t="s">
        <v>2471</v>
      </c>
      <c r="H2888" t="s">
        <v>2472</v>
      </c>
      <c r="I2888" t="s">
        <v>2473</v>
      </c>
      <c r="J2888" t="s">
        <v>2474</v>
      </c>
      <c r="K2888" t="s">
        <v>1242</v>
      </c>
      <c r="L2888" s="12" t="s">
        <v>83</v>
      </c>
      <c r="M2888" s="12" t="s">
        <v>31</v>
      </c>
      <c r="N2888" s="12" t="s">
        <v>71</v>
      </c>
      <c r="O2888" s="12" t="s">
        <v>34</v>
      </c>
      <c r="P2888" s="12" t="s">
        <v>169</v>
      </c>
      <c r="Q2888" s="7" t="str">
        <f t="shared" si="136"/>
        <v>(2012,26,'2012.06.30',11,12,31,49,58,0),</v>
      </c>
      <c r="R2888" s="7" t="str">
        <f t="shared" si="138"/>
        <v>(2012,26,'2012.06.30',11,12,31,49,58),</v>
      </c>
    </row>
    <row r="2889" spans="1:18" x14ac:dyDescent="0.25">
      <c r="A2889" s="7" t="s">
        <v>2375</v>
      </c>
      <c r="B2889" s="8" t="s">
        <v>135</v>
      </c>
      <c r="C2889" s="10">
        <f t="shared" si="137"/>
        <v>41097</v>
      </c>
      <c r="D2889" t="s">
        <v>11</v>
      </c>
      <c r="E2889" t="s">
        <v>12</v>
      </c>
      <c r="F2889" t="s">
        <v>33</v>
      </c>
      <c r="G2889" t="s">
        <v>2467</v>
      </c>
      <c r="H2889" t="s">
        <v>2468</v>
      </c>
      <c r="I2889" t="s">
        <v>2469</v>
      </c>
      <c r="J2889" t="s">
        <v>2470</v>
      </c>
      <c r="K2889" t="s">
        <v>1298</v>
      </c>
      <c r="L2889" s="12" t="s">
        <v>90</v>
      </c>
      <c r="M2889" s="12" t="s">
        <v>116</v>
      </c>
      <c r="N2889" s="12" t="s">
        <v>245</v>
      </c>
      <c r="O2889" s="12" t="s">
        <v>73</v>
      </c>
      <c r="P2889" s="12" t="s">
        <v>622</v>
      </c>
      <c r="Q2889" s="7" t="str">
        <f t="shared" si="136"/>
        <v>(2012,27,'2012.07.07',17,29,74,76,82,0),</v>
      </c>
      <c r="R2889" s="7" t="str">
        <f t="shared" si="138"/>
        <v>(2012,27,'2012.07.07',17,29,74,76,82),</v>
      </c>
    </row>
    <row r="2890" spans="1:18" x14ac:dyDescent="0.25">
      <c r="A2890" s="7" t="s">
        <v>2375</v>
      </c>
      <c r="B2890" s="8" t="s">
        <v>126</v>
      </c>
      <c r="C2890" s="10">
        <f t="shared" si="137"/>
        <v>41104</v>
      </c>
      <c r="D2890" t="s">
        <v>11</v>
      </c>
      <c r="E2890" t="s">
        <v>12</v>
      </c>
      <c r="F2890" t="s">
        <v>32</v>
      </c>
      <c r="G2890" t="s">
        <v>2465</v>
      </c>
      <c r="H2890" t="s">
        <v>416</v>
      </c>
      <c r="I2890" t="s">
        <v>1302</v>
      </c>
      <c r="J2890" t="s">
        <v>2466</v>
      </c>
      <c r="K2890" t="s">
        <v>2244</v>
      </c>
      <c r="L2890" s="12" t="s">
        <v>115</v>
      </c>
      <c r="M2890" s="12" t="s">
        <v>142</v>
      </c>
      <c r="N2890" s="12" t="s">
        <v>99</v>
      </c>
      <c r="O2890" s="12" t="s">
        <v>35</v>
      </c>
      <c r="P2890" s="12" t="s">
        <v>125</v>
      </c>
      <c r="Q2890" s="7" t="str">
        <f t="shared" si="136"/>
        <v>(2012,28,'2012.07.14',20,44,52,65,83,0),</v>
      </c>
      <c r="R2890" s="7" t="str">
        <f t="shared" si="138"/>
        <v>(2012,28,'2012.07.14',20,44,52,65,83),</v>
      </c>
    </row>
    <row r="2891" spans="1:18" x14ac:dyDescent="0.25">
      <c r="A2891" s="7" t="s">
        <v>2375</v>
      </c>
      <c r="B2891" s="8" t="s">
        <v>116</v>
      </c>
      <c r="C2891" s="10">
        <f t="shared" si="137"/>
        <v>41111</v>
      </c>
      <c r="D2891" t="s">
        <v>11</v>
      </c>
      <c r="E2891" t="s">
        <v>12</v>
      </c>
      <c r="F2891" t="s">
        <v>74</v>
      </c>
      <c r="G2891" t="s">
        <v>2461</v>
      </c>
      <c r="H2891" t="s">
        <v>2462</v>
      </c>
      <c r="I2891" t="s">
        <v>2463</v>
      </c>
      <c r="J2891" t="s">
        <v>2464</v>
      </c>
      <c r="K2891" t="s">
        <v>1655</v>
      </c>
      <c r="L2891" s="12" t="s">
        <v>55</v>
      </c>
      <c r="M2891" s="12" t="s">
        <v>45</v>
      </c>
      <c r="N2891" s="12" t="s">
        <v>192</v>
      </c>
      <c r="O2891" s="12" t="s">
        <v>81</v>
      </c>
      <c r="P2891" s="12" t="s">
        <v>99</v>
      </c>
      <c r="Q2891" s="7" t="str">
        <f t="shared" si="136"/>
        <v>(2012,29,'2012.07.21',19,43,46,47,52,0),</v>
      </c>
      <c r="R2891" s="7" t="str">
        <f t="shared" si="138"/>
        <v>(2012,29,'2012.07.21',19,43,46,47,52),</v>
      </c>
    </row>
    <row r="2892" spans="1:18" x14ac:dyDescent="0.25">
      <c r="A2892" s="7" t="s">
        <v>2375</v>
      </c>
      <c r="B2892" s="8" t="s">
        <v>107</v>
      </c>
      <c r="C2892" s="10">
        <f t="shared" si="137"/>
        <v>41118</v>
      </c>
      <c r="D2892" t="s">
        <v>11</v>
      </c>
      <c r="E2892" t="s">
        <v>12</v>
      </c>
      <c r="F2892" t="s">
        <v>64</v>
      </c>
      <c r="G2892" t="s">
        <v>2457</v>
      </c>
      <c r="H2892" t="s">
        <v>2458</v>
      </c>
      <c r="I2892" t="s">
        <v>2459</v>
      </c>
      <c r="J2892" t="s">
        <v>2460</v>
      </c>
      <c r="K2892" t="s">
        <v>789</v>
      </c>
      <c r="L2892" s="12" t="s">
        <v>53</v>
      </c>
      <c r="M2892" s="12" t="s">
        <v>20</v>
      </c>
      <c r="N2892" s="12" t="s">
        <v>64</v>
      </c>
      <c r="O2892" s="12" t="s">
        <v>125</v>
      </c>
      <c r="P2892" s="12" t="s">
        <v>379</v>
      </c>
      <c r="Q2892" s="7" t="str">
        <f t="shared" si="136"/>
        <v>(2012,30,'2012.07.28',7,33,35,83,89,0),</v>
      </c>
      <c r="R2892" s="7" t="str">
        <f t="shared" si="138"/>
        <v>(2012,30,'2012.07.28',7,33,35,83,89),</v>
      </c>
    </row>
    <row r="2893" spans="1:18" x14ac:dyDescent="0.25">
      <c r="A2893" s="7" t="s">
        <v>2375</v>
      </c>
      <c r="B2893" s="8" t="s">
        <v>71</v>
      </c>
      <c r="C2893" s="10">
        <f t="shared" si="137"/>
        <v>41125</v>
      </c>
      <c r="D2893" t="s">
        <v>108</v>
      </c>
      <c r="E2893" t="s">
        <v>2453</v>
      </c>
      <c r="F2893" t="s">
        <v>98</v>
      </c>
      <c r="G2893" t="s">
        <v>2454</v>
      </c>
      <c r="H2893" t="s">
        <v>2455</v>
      </c>
      <c r="I2893" t="s">
        <v>293</v>
      </c>
      <c r="J2893" t="s">
        <v>2456</v>
      </c>
      <c r="K2893" t="s">
        <v>1701</v>
      </c>
      <c r="L2893" s="12" t="s">
        <v>43</v>
      </c>
      <c r="M2893" s="12" t="s">
        <v>32</v>
      </c>
      <c r="N2893" s="12" t="s">
        <v>126</v>
      </c>
      <c r="O2893" s="12" t="s">
        <v>10</v>
      </c>
      <c r="P2893" s="12" t="s">
        <v>123</v>
      </c>
      <c r="Q2893" s="7" t="str">
        <f t="shared" si="136"/>
        <v>(2012,31,'2012.08.04',16,22,28,40,54,0),</v>
      </c>
      <c r="R2893" s="7" t="str">
        <f t="shared" si="138"/>
        <v>(2012,31,'2012.08.04',16,22,28,40,54),</v>
      </c>
    </row>
    <row r="2894" spans="1:18" x14ac:dyDescent="0.25">
      <c r="A2894" s="7" t="s">
        <v>2375</v>
      </c>
      <c r="B2894" s="8" t="s">
        <v>80</v>
      </c>
      <c r="C2894" s="10">
        <f t="shared" si="137"/>
        <v>41132</v>
      </c>
      <c r="D2894" t="s">
        <v>11</v>
      </c>
      <c r="E2894" t="s">
        <v>12</v>
      </c>
      <c r="F2894" t="s">
        <v>19</v>
      </c>
      <c r="G2894" t="s">
        <v>2449</v>
      </c>
      <c r="H2894" t="s">
        <v>2450</v>
      </c>
      <c r="I2894" t="s">
        <v>2451</v>
      </c>
      <c r="J2894" t="s">
        <v>2452</v>
      </c>
      <c r="K2894" t="s">
        <v>1026</v>
      </c>
      <c r="L2894" s="12" t="s">
        <v>43</v>
      </c>
      <c r="M2894" s="12" t="s">
        <v>163</v>
      </c>
      <c r="N2894" s="12" t="s">
        <v>74</v>
      </c>
      <c r="O2894" s="12" t="s">
        <v>245</v>
      </c>
      <c r="P2894" s="12" t="s">
        <v>106</v>
      </c>
      <c r="Q2894" s="7" t="str">
        <f t="shared" si="136"/>
        <v>(2012,32,'2012.08.11',16,23,26,74,75,0),</v>
      </c>
      <c r="R2894" s="7" t="str">
        <f t="shared" si="138"/>
        <v>(2012,32,'2012.08.11',16,23,26,74,75),</v>
      </c>
    </row>
    <row r="2895" spans="1:18" x14ac:dyDescent="0.25">
      <c r="A2895" s="7" t="s">
        <v>2375</v>
      </c>
      <c r="B2895" s="8" t="s">
        <v>20</v>
      </c>
      <c r="C2895" s="10">
        <f t="shared" si="137"/>
        <v>41139</v>
      </c>
      <c r="D2895" t="s">
        <v>11</v>
      </c>
      <c r="E2895" t="s">
        <v>12</v>
      </c>
      <c r="F2895" t="s">
        <v>13</v>
      </c>
      <c r="G2895" t="s">
        <v>2445</v>
      </c>
      <c r="H2895" t="s">
        <v>2446</v>
      </c>
      <c r="I2895" t="s">
        <v>2447</v>
      </c>
      <c r="J2895" t="s">
        <v>2448</v>
      </c>
      <c r="K2895" t="s">
        <v>789</v>
      </c>
      <c r="L2895" s="12" t="s">
        <v>83</v>
      </c>
      <c r="M2895" s="12" t="s">
        <v>98</v>
      </c>
      <c r="N2895" s="12" t="s">
        <v>199</v>
      </c>
      <c r="O2895" s="12" t="s">
        <v>214</v>
      </c>
      <c r="P2895" s="12" t="s">
        <v>233</v>
      </c>
      <c r="Q2895" s="7" t="str">
        <f t="shared" si="136"/>
        <v>(2012,33,'2012.08.18',11,42,53,64,66,0),</v>
      </c>
      <c r="R2895" s="7" t="str">
        <f t="shared" si="138"/>
        <v>(2012,33,'2012.08.18',11,42,53,64,66),</v>
      </c>
    </row>
    <row r="2896" spans="1:18" x14ac:dyDescent="0.25">
      <c r="A2896" s="7" t="s">
        <v>2375</v>
      </c>
      <c r="B2896" s="8" t="s">
        <v>25</v>
      </c>
      <c r="C2896" s="10">
        <f t="shared" si="137"/>
        <v>41146</v>
      </c>
      <c r="D2896" t="s">
        <v>11</v>
      </c>
      <c r="E2896" t="s">
        <v>12</v>
      </c>
      <c r="F2896" t="s">
        <v>31</v>
      </c>
      <c r="G2896" t="s">
        <v>2442</v>
      </c>
      <c r="H2896" t="s">
        <v>1733</v>
      </c>
      <c r="I2896" t="s">
        <v>2443</v>
      </c>
      <c r="J2896" t="s">
        <v>2444</v>
      </c>
      <c r="K2896" t="s">
        <v>894</v>
      </c>
      <c r="L2896" s="12" t="s">
        <v>53</v>
      </c>
      <c r="M2896" s="12" t="s">
        <v>74</v>
      </c>
      <c r="N2896" s="12" t="s">
        <v>46</v>
      </c>
      <c r="O2896" s="12" t="s">
        <v>215</v>
      </c>
      <c r="P2896" s="12" t="s">
        <v>208</v>
      </c>
      <c r="Q2896" s="7" t="str">
        <f t="shared" si="136"/>
        <v>(2012,34,'2012.08.25',7,26,37,81,88,0),</v>
      </c>
      <c r="R2896" s="7" t="str">
        <f t="shared" si="138"/>
        <v>(2012,34,'2012.08.25',7,26,37,81,88),</v>
      </c>
    </row>
    <row r="2897" spans="1:18" x14ac:dyDescent="0.25">
      <c r="A2897" s="7" t="s">
        <v>2375</v>
      </c>
      <c r="B2897" s="8" t="s">
        <v>64</v>
      </c>
      <c r="C2897" s="10">
        <f t="shared" si="137"/>
        <v>41153</v>
      </c>
      <c r="D2897" t="s">
        <v>11</v>
      </c>
      <c r="E2897" t="s">
        <v>12</v>
      </c>
      <c r="F2897" t="s">
        <v>83</v>
      </c>
      <c r="G2897" t="s">
        <v>2438</v>
      </c>
      <c r="H2897" t="s">
        <v>2439</v>
      </c>
      <c r="I2897" t="s">
        <v>2440</v>
      </c>
      <c r="J2897" t="s">
        <v>2441</v>
      </c>
      <c r="K2897" t="s">
        <v>780</v>
      </c>
      <c r="L2897" s="12" t="s">
        <v>33</v>
      </c>
      <c r="M2897" s="12" t="s">
        <v>106</v>
      </c>
      <c r="N2897" s="12" t="s">
        <v>125</v>
      </c>
      <c r="O2897" s="12" t="s">
        <v>246</v>
      </c>
      <c r="P2897" s="12" t="s">
        <v>468</v>
      </c>
      <c r="Q2897" s="7" t="str">
        <f t="shared" si="136"/>
        <v>(2012,35,'2012.09.01',24,75,83,84,85,0),</v>
      </c>
      <c r="R2897" s="7" t="str">
        <f t="shared" si="138"/>
        <v>(2012,35,'2012.09.01',24,75,83,84,85),</v>
      </c>
    </row>
    <row r="2898" spans="1:18" x14ac:dyDescent="0.25">
      <c r="A2898" s="7" t="s">
        <v>2375</v>
      </c>
      <c r="B2898" s="8" t="s">
        <v>21</v>
      </c>
      <c r="C2898" s="10">
        <f t="shared" si="137"/>
        <v>41160</v>
      </c>
      <c r="D2898" t="s">
        <v>11</v>
      </c>
      <c r="E2898" t="s">
        <v>12</v>
      </c>
      <c r="F2898" t="s">
        <v>142</v>
      </c>
      <c r="G2898" t="s">
        <v>2436</v>
      </c>
      <c r="H2898" t="s">
        <v>1801</v>
      </c>
      <c r="I2898" t="s">
        <v>1209</v>
      </c>
      <c r="J2898" t="s">
        <v>2437</v>
      </c>
      <c r="K2898" t="s">
        <v>884</v>
      </c>
      <c r="L2898" s="12" t="s">
        <v>108</v>
      </c>
      <c r="M2898" s="12" t="s">
        <v>53</v>
      </c>
      <c r="N2898" s="12" t="s">
        <v>107</v>
      </c>
      <c r="O2898" s="12" t="s">
        <v>142</v>
      </c>
      <c r="P2898" s="12" t="s">
        <v>47</v>
      </c>
      <c r="Q2898" s="7" t="str">
        <f t="shared" si="136"/>
        <v>(2012,36,'2012.09.08',1,7,30,44,69,0),</v>
      </c>
      <c r="R2898" s="7" t="str">
        <f t="shared" si="138"/>
        <v>(2012,36,'2012.09.08',1,7,30,44,69),</v>
      </c>
    </row>
    <row r="2899" spans="1:18" x14ac:dyDescent="0.25">
      <c r="A2899" s="7" t="s">
        <v>2375</v>
      </c>
      <c r="B2899" s="8" t="s">
        <v>46</v>
      </c>
      <c r="C2899" s="10">
        <f t="shared" si="137"/>
        <v>41167</v>
      </c>
      <c r="D2899" t="s">
        <v>11</v>
      </c>
      <c r="E2899" t="s">
        <v>12</v>
      </c>
      <c r="F2899" t="s">
        <v>54</v>
      </c>
      <c r="G2899" t="s">
        <v>2434</v>
      </c>
      <c r="H2899" t="s">
        <v>555</v>
      </c>
      <c r="I2899" t="s">
        <v>943</v>
      </c>
      <c r="J2899" t="s">
        <v>2435</v>
      </c>
      <c r="K2899" t="s">
        <v>333</v>
      </c>
      <c r="L2899" s="12" t="s">
        <v>24</v>
      </c>
      <c r="M2899" s="12" t="s">
        <v>124</v>
      </c>
      <c r="N2899" s="12" t="s">
        <v>239</v>
      </c>
      <c r="O2899" s="12" t="s">
        <v>125</v>
      </c>
      <c r="P2899" s="12" t="s">
        <v>186</v>
      </c>
      <c r="Q2899" s="7" t="str">
        <f t="shared" si="136"/>
        <v>(2012,37,'2012.09.15',39,62,73,83,90,0),</v>
      </c>
      <c r="R2899" s="7" t="str">
        <f t="shared" si="138"/>
        <v>(2012,37,'2012.09.15',39,62,73,83,90),</v>
      </c>
    </row>
    <row r="2900" spans="1:18" x14ac:dyDescent="0.25">
      <c r="A2900" s="7" t="s">
        <v>2375</v>
      </c>
      <c r="B2900" s="8" t="s">
        <v>36</v>
      </c>
      <c r="C2900" s="10">
        <f t="shared" si="137"/>
        <v>41174</v>
      </c>
      <c r="D2900" t="s">
        <v>11</v>
      </c>
      <c r="E2900" t="s">
        <v>12</v>
      </c>
      <c r="F2900" t="s">
        <v>64</v>
      </c>
      <c r="G2900" t="s">
        <v>2431</v>
      </c>
      <c r="H2900" t="s">
        <v>2432</v>
      </c>
      <c r="I2900" t="s">
        <v>682</v>
      </c>
      <c r="J2900" t="s">
        <v>2433</v>
      </c>
      <c r="K2900" t="s">
        <v>789</v>
      </c>
      <c r="L2900" s="12" t="s">
        <v>126</v>
      </c>
      <c r="M2900" s="12" t="s">
        <v>36</v>
      </c>
      <c r="N2900" s="12" t="s">
        <v>99</v>
      </c>
      <c r="O2900" s="12" t="s">
        <v>134</v>
      </c>
      <c r="P2900" s="12" t="s">
        <v>35</v>
      </c>
      <c r="Q2900" s="7" t="str">
        <f t="shared" si="136"/>
        <v>(2012,38,'2012.09.22',28,38,52,56,65,0),</v>
      </c>
      <c r="R2900" s="7" t="str">
        <f t="shared" si="138"/>
        <v>(2012,38,'2012.09.22',28,38,52,56,65),</v>
      </c>
    </row>
    <row r="2901" spans="1:18" x14ac:dyDescent="0.25">
      <c r="A2901" s="7" t="s">
        <v>2375</v>
      </c>
      <c r="B2901" s="8" t="s">
        <v>24</v>
      </c>
      <c r="C2901" s="10">
        <f t="shared" si="137"/>
        <v>41181</v>
      </c>
      <c r="D2901" t="s">
        <v>108</v>
      </c>
      <c r="E2901" t="s">
        <v>2426</v>
      </c>
      <c r="F2901" t="s">
        <v>105</v>
      </c>
      <c r="G2901" t="s">
        <v>2427</v>
      </c>
      <c r="H2901" t="s">
        <v>2428</v>
      </c>
      <c r="I2901" t="s">
        <v>2429</v>
      </c>
      <c r="J2901" t="s">
        <v>2430</v>
      </c>
      <c r="K2901" t="s">
        <v>1003</v>
      </c>
      <c r="L2901" s="12" t="s">
        <v>207</v>
      </c>
      <c r="M2901" s="12" t="s">
        <v>31</v>
      </c>
      <c r="N2901" s="12" t="s">
        <v>116</v>
      </c>
      <c r="O2901" s="12" t="s">
        <v>92</v>
      </c>
      <c r="P2901" s="12" t="s">
        <v>308</v>
      </c>
      <c r="Q2901" s="7" t="str">
        <f t="shared" si="136"/>
        <v>(2012,39,'2012.09.29',2,12,29,68,86,0),</v>
      </c>
      <c r="R2901" s="7" t="str">
        <f t="shared" si="138"/>
        <v>(2012,39,'2012.09.29',2,12,29,68,86),</v>
      </c>
    </row>
    <row r="2902" spans="1:18" x14ac:dyDescent="0.25">
      <c r="A2902" s="7" t="s">
        <v>2375</v>
      </c>
      <c r="B2902" s="8" t="s">
        <v>10</v>
      </c>
      <c r="C2902" s="10">
        <f t="shared" si="137"/>
        <v>41188</v>
      </c>
      <c r="D2902" t="s">
        <v>11</v>
      </c>
      <c r="E2902" t="s">
        <v>12</v>
      </c>
      <c r="F2902" t="s">
        <v>163</v>
      </c>
      <c r="G2902" t="s">
        <v>2422</v>
      </c>
      <c r="H2902" t="s">
        <v>2423</v>
      </c>
      <c r="I2902" t="s">
        <v>2424</v>
      </c>
      <c r="J2902" t="s">
        <v>2425</v>
      </c>
      <c r="K2902" t="s">
        <v>393</v>
      </c>
      <c r="L2902" s="12" t="s">
        <v>19</v>
      </c>
      <c r="M2902" s="12" t="s">
        <v>126</v>
      </c>
      <c r="N2902" s="12" t="s">
        <v>116</v>
      </c>
      <c r="O2902" s="12" t="s">
        <v>20</v>
      </c>
      <c r="P2902" s="12" t="s">
        <v>82</v>
      </c>
      <c r="Q2902" s="7" t="str">
        <f t="shared" si="136"/>
        <v>(2012,40,'2012.10.06',18,28,29,33,59,0),</v>
      </c>
      <c r="R2902" s="7" t="str">
        <f t="shared" si="138"/>
        <v>(2012,40,'2012.10.06',18,28,29,33,59),</v>
      </c>
    </row>
    <row r="2903" spans="1:18" x14ac:dyDescent="0.25">
      <c r="A2903" s="7" t="s">
        <v>2375</v>
      </c>
      <c r="B2903" s="8" t="s">
        <v>13</v>
      </c>
      <c r="C2903" s="10">
        <f t="shared" si="137"/>
        <v>41195</v>
      </c>
      <c r="D2903" t="s">
        <v>11</v>
      </c>
      <c r="E2903" t="s">
        <v>12</v>
      </c>
      <c r="F2903" t="s">
        <v>116</v>
      </c>
      <c r="G2903" t="s">
        <v>2418</v>
      </c>
      <c r="H2903" t="s">
        <v>2419</v>
      </c>
      <c r="I2903" t="s">
        <v>2420</v>
      </c>
      <c r="J2903" t="s">
        <v>2421</v>
      </c>
      <c r="K2903" t="s">
        <v>1189</v>
      </c>
      <c r="L2903" s="12" t="s">
        <v>270</v>
      </c>
      <c r="M2903" s="12" t="s">
        <v>163</v>
      </c>
      <c r="N2903" s="12" t="s">
        <v>13</v>
      </c>
      <c r="O2903" s="12" t="s">
        <v>215</v>
      </c>
      <c r="P2903" s="12" t="s">
        <v>468</v>
      </c>
      <c r="Q2903" s="7" t="str">
        <f t="shared" si="136"/>
        <v>(2012,41,'2012.10.13',6,23,41,81,85,0),</v>
      </c>
      <c r="R2903" s="7" t="str">
        <f t="shared" si="138"/>
        <v>(2012,41,'2012.10.13',6,23,41,81,85),</v>
      </c>
    </row>
    <row r="2904" spans="1:18" x14ac:dyDescent="0.25">
      <c r="A2904" s="7" t="s">
        <v>2375</v>
      </c>
      <c r="B2904" s="8" t="s">
        <v>98</v>
      </c>
      <c r="C2904" s="10">
        <f t="shared" si="137"/>
        <v>41202</v>
      </c>
      <c r="D2904" t="s">
        <v>11</v>
      </c>
      <c r="E2904" t="s">
        <v>12</v>
      </c>
      <c r="F2904" t="s">
        <v>107</v>
      </c>
      <c r="G2904" t="s">
        <v>2414</v>
      </c>
      <c r="H2904" t="s">
        <v>2415</v>
      </c>
      <c r="I2904" t="s">
        <v>2416</v>
      </c>
      <c r="J2904" t="s">
        <v>2417</v>
      </c>
      <c r="K2904" t="s">
        <v>1808</v>
      </c>
      <c r="L2904" s="12" t="s">
        <v>81</v>
      </c>
      <c r="M2904" s="12" t="s">
        <v>122</v>
      </c>
      <c r="N2904" s="12" t="s">
        <v>199</v>
      </c>
      <c r="O2904" s="12" t="s">
        <v>150</v>
      </c>
      <c r="P2904" s="12" t="s">
        <v>248</v>
      </c>
      <c r="Q2904" s="7" t="str">
        <f t="shared" si="136"/>
        <v>(2012,42,'2012.10.20',47,51,53,57,63,0),</v>
      </c>
      <c r="R2904" s="7" t="str">
        <f t="shared" si="138"/>
        <v>(2012,42,'2012.10.20',47,51,53,57,63),</v>
      </c>
    </row>
    <row r="2905" spans="1:18" x14ac:dyDescent="0.25">
      <c r="A2905" s="7" t="s">
        <v>2375</v>
      </c>
      <c r="B2905" s="8" t="s">
        <v>45</v>
      </c>
      <c r="C2905" s="10">
        <f t="shared" si="137"/>
        <v>41209</v>
      </c>
      <c r="D2905" t="s">
        <v>11</v>
      </c>
      <c r="E2905" t="s">
        <v>12</v>
      </c>
      <c r="F2905" t="s">
        <v>142</v>
      </c>
      <c r="G2905" t="s">
        <v>2410</v>
      </c>
      <c r="H2905" t="s">
        <v>2411</v>
      </c>
      <c r="I2905" t="s">
        <v>2412</v>
      </c>
      <c r="J2905" t="s">
        <v>2413</v>
      </c>
      <c r="K2905" t="s">
        <v>1003</v>
      </c>
      <c r="L2905" s="12" t="s">
        <v>54</v>
      </c>
      <c r="M2905" s="12" t="s">
        <v>19</v>
      </c>
      <c r="N2905" s="12" t="s">
        <v>46</v>
      </c>
      <c r="O2905" s="12" t="s">
        <v>22</v>
      </c>
      <c r="P2905" s="12" t="s">
        <v>201</v>
      </c>
      <c r="Q2905" s="7" t="str">
        <f t="shared" si="136"/>
        <v>(2012,43,'2012.10.27',15,18,37,48,72,0),</v>
      </c>
      <c r="R2905" s="7" t="str">
        <f t="shared" si="138"/>
        <v>(2012,43,'2012.10.27',15,18,37,48,72),</v>
      </c>
    </row>
    <row r="2906" spans="1:18" x14ac:dyDescent="0.25">
      <c r="A2906" s="7" t="s">
        <v>2375</v>
      </c>
      <c r="B2906" s="8" t="s">
        <v>142</v>
      </c>
      <c r="C2906" s="10">
        <f t="shared" si="137"/>
        <v>41216</v>
      </c>
      <c r="D2906" t="s">
        <v>11</v>
      </c>
      <c r="E2906" t="s">
        <v>12</v>
      </c>
      <c r="F2906" t="s">
        <v>200</v>
      </c>
      <c r="G2906" t="s">
        <v>2406</v>
      </c>
      <c r="H2906" t="s">
        <v>2407</v>
      </c>
      <c r="I2906" t="s">
        <v>2408</v>
      </c>
      <c r="J2906" t="s">
        <v>2409</v>
      </c>
      <c r="K2906" t="s">
        <v>2004</v>
      </c>
      <c r="L2906" s="12" t="s">
        <v>42</v>
      </c>
      <c r="M2906" s="12" t="s">
        <v>54</v>
      </c>
      <c r="N2906" s="12" t="s">
        <v>55</v>
      </c>
      <c r="O2906" s="12" t="s">
        <v>248</v>
      </c>
      <c r="P2906" s="12" t="s">
        <v>379</v>
      </c>
      <c r="Q2906" s="7" t="str">
        <f t="shared" si="136"/>
        <v>(2012,44,'2012.11.03',3,15,19,63,89,0),</v>
      </c>
      <c r="R2906" s="7" t="str">
        <f t="shared" si="138"/>
        <v>(2012,44,'2012.11.03',3,15,19,63,89),</v>
      </c>
    </row>
    <row r="2907" spans="1:18" x14ac:dyDescent="0.25">
      <c r="A2907" s="7" t="s">
        <v>2375</v>
      </c>
      <c r="B2907" s="8" t="s">
        <v>133</v>
      </c>
      <c r="C2907" s="10">
        <f t="shared" si="137"/>
        <v>41223</v>
      </c>
      <c r="D2907" t="s">
        <v>11</v>
      </c>
      <c r="E2907" t="s">
        <v>12</v>
      </c>
      <c r="F2907" t="s">
        <v>134</v>
      </c>
      <c r="G2907" t="s">
        <v>2403</v>
      </c>
      <c r="H2907" t="s">
        <v>1320</v>
      </c>
      <c r="I2907" t="s">
        <v>2404</v>
      </c>
      <c r="J2907" t="s">
        <v>2405</v>
      </c>
      <c r="K2907" t="s">
        <v>993</v>
      </c>
      <c r="L2907" s="12" t="s">
        <v>198</v>
      </c>
      <c r="M2907" s="12" t="s">
        <v>43</v>
      </c>
      <c r="N2907" s="12" t="s">
        <v>34</v>
      </c>
      <c r="O2907" s="12" t="s">
        <v>123</v>
      </c>
      <c r="P2907" s="12" t="s">
        <v>92</v>
      </c>
      <c r="Q2907" s="7" t="str">
        <f t="shared" si="136"/>
        <v>(2012,45,'2012.11.10',9,16,49,54,68,0),</v>
      </c>
      <c r="R2907" s="7" t="str">
        <f t="shared" si="138"/>
        <v>(2012,45,'2012.11.10',9,16,49,54,68),</v>
      </c>
    </row>
    <row r="2908" spans="1:18" x14ac:dyDescent="0.25">
      <c r="A2908" s="7" t="s">
        <v>2375</v>
      </c>
      <c r="B2908" s="8" t="s">
        <v>192</v>
      </c>
      <c r="C2908" s="10">
        <f t="shared" si="137"/>
        <v>41230</v>
      </c>
      <c r="D2908" t="s">
        <v>11</v>
      </c>
      <c r="E2908" t="s">
        <v>12</v>
      </c>
      <c r="F2908" t="s">
        <v>152</v>
      </c>
      <c r="G2908" t="s">
        <v>2399</v>
      </c>
      <c r="H2908" t="s">
        <v>2400</v>
      </c>
      <c r="I2908" t="s">
        <v>2401</v>
      </c>
      <c r="J2908" t="s">
        <v>2402</v>
      </c>
      <c r="K2908" t="s">
        <v>1189</v>
      </c>
      <c r="L2908" s="12" t="s">
        <v>43</v>
      </c>
      <c r="M2908" s="12" t="s">
        <v>33</v>
      </c>
      <c r="N2908" s="12" t="s">
        <v>10</v>
      </c>
      <c r="O2908" s="12" t="s">
        <v>214</v>
      </c>
      <c r="P2908" s="12" t="s">
        <v>239</v>
      </c>
      <c r="Q2908" s="7" t="str">
        <f t="shared" si="136"/>
        <v>(2012,46,'2012.11.17',16,24,40,64,73,0),</v>
      </c>
      <c r="R2908" s="7" t="str">
        <f t="shared" si="138"/>
        <v>(2012,46,'2012.11.17',16,24,40,64,73),</v>
      </c>
    </row>
    <row r="2909" spans="1:18" x14ac:dyDescent="0.25">
      <c r="A2909" s="7" t="s">
        <v>2375</v>
      </c>
      <c r="B2909" s="8" t="s">
        <v>81</v>
      </c>
      <c r="C2909" s="10">
        <f t="shared" si="137"/>
        <v>41237</v>
      </c>
      <c r="D2909" t="s">
        <v>11</v>
      </c>
      <c r="E2909" t="s">
        <v>12</v>
      </c>
      <c r="F2909" t="s">
        <v>19</v>
      </c>
      <c r="G2909" t="s">
        <v>2395</v>
      </c>
      <c r="H2909" t="s">
        <v>2396</v>
      </c>
      <c r="I2909" t="s">
        <v>2397</v>
      </c>
      <c r="J2909" t="s">
        <v>2398</v>
      </c>
      <c r="K2909" t="s">
        <v>1113</v>
      </c>
      <c r="L2909" s="12" t="s">
        <v>115</v>
      </c>
      <c r="M2909" s="12" t="s">
        <v>74</v>
      </c>
      <c r="N2909" s="12" t="s">
        <v>82</v>
      </c>
      <c r="O2909" s="12" t="s">
        <v>201</v>
      </c>
      <c r="P2909" s="12" t="s">
        <v>106</v>
      </c>
      <c r="Q2909" s="7" t="str">
        <f t="shared" si="136"/>
        <v>(2012,47,'2012.11.24',20,26,59,72,75,0),</v>
      </c>
      <c r="R2909" s="7" t="str">
        <f t="shared" si="138"/>
        <v>(2012,47,'2012.11.24',20,26,59,72,75),</v>
      </c>
    </row>
    <row r="2910" spans="1:18" x14ac:dyDescent="0.25">
      <c r="A2910" s="7" t="s">
        <v>2375</v>
      </c>
      <c r="B2910" s="8" t="s">
        <v>22</v>
      </c>
      <c r="C2910" s="10">
        <f t="shared" si="137"/>
        <v>41244</v>
      </c>
      <c r="D2910" t="s">
        <v>11</v>
      </c>
      <c r="E2910" t="s">
        <v>12</v>
      </c>
      <c r="F2910" t="s">
        <v>150</v>
      </c>
      <c r="G2910" t="s">
        <v>2391</v>
      </c>
      <c r="H2910" t="s">
        <v>2392</v>
      </c>
      <c r="I2910" t="s">
        <v>2393</v>
      </c>
      <c r="J2910" t="s">
        <v>2394</v>
      </c>
      <c r="K2910" t="s">
        <v>1546</v>
      </c>
      <c r="L2910" s="12" t="s">
        <v>54</v>
      </c>
      <c r="M2910" s="12" t="s">
        <v>20</v>
      </c>
      <c r="N2910" s="12" t="s">
        <v>134</v>
      </c>
      <c r="O2910" s="12" t="s">
        <v>23</v>
      </c>
      <c r="P2910" s="12" t="s">
        <v>73</v>
      </c>
      <c r="Q2910" s="7" t="str">
        <f t="shared" si="136"/>
        <v>(2012,48,'2012.12.01',15,33,56,60,76,0),</v>
      </c>
      <c r="R2910" s="7" t="str">
        <f t="shared" si="138"/>
        <v>(2012,48,'2012.12.01',15,33,56,60,76),</v>
      </c>
    </row>
    <row r="2911" spans="1:18" x14ac:dyDescent="0.25">
      <c r="A2911" s="7" t="s">
        <v>2375</v>
      </c>
      <c r="B2911" s="8" t="s">
        <v>34</v>
      </c>
      <c r="C2911" s="10">
        <f t="shared" si="137"/>
        <v>41251</v>
      </c>
      <c r="D2911" t="s">
        <v>11</v>
      </c>
      <c r="E2911" t="s">
        <v>12</v>
      </c>
      <c r="F2911" t="s">
        <v>46</v>
      </c>
      <c r="G2911" t="s">
        <v>2388</v>
      </c>
      <c r="H2911" t="s">
        <v>455</v>
      </c>
      <c r="I2911" t="s">
        <v>2389</v>
      </c>
      <c r="J2911" t="s">
        <v>2390</v>
      </c>
      <c r="K2911" t="s">
        <v>2035</v>
      </c>
      <c r="L2911" s="12" t="s">
        <v>115</v>
      </c>
      <c r="M2911" s="12" t="s">
        <v>71</v>
      </c>
      <c r="N2911" s="12" t="s">
        <v>25</v>
      </c>
      <c r="O2911" s="12" t="s">
        <v>47</v>
      </c>
      <c r="P2911" s="12" t="s">
        <v>246</v>
      </c>
      <c r="Q2911" s="7" t="str">
        <f t="shared" si="136"/>
        <v>(2012,49,'2012.12.08',20,31,34,69,84,0),</v>
      </c>
      <c r="R2911" s="7" t="str">
        <f t="shared" si="138"/>
        <v>(2012,49,'2012.12.08',20,31,34,69,84),</v>
      </c>
    </row>
    <row r="2912" spans="1:18" x14ac:dyDescent="0.25">
      <c r="A2912" s="7" t="s">
        <v>2375</v>
      </c>
      <c r="B2912" s="8" t="s">
        <v>105</v>
      </c>
      <c r="C2912" s="10">
        <f t="shared" si="137"/>
        <v>41258</v>
      </c>
      <c r="D2912" t="s">
        <v>11</v>
      </c>
      <c r="E2912" t="s">
        <v>12</v>
      </c>
      <c r="F2912" t="s">
        <v>32</v>
      </c>
      <c r="G2912" t="s">
        <v>2384</v>
      </c>
      <c r="H2912" t="s">
        <v>2385</v>
      </c>
      <c r="I2912" t="s">
        <v>2386</v>
      </c>
      <c r="J2912" t="s">
        <v>2387</v>
      </c>
      <c r="K2912" t="s">
        <v>1433</v>
      </c>
      <c r="L2912" s="12" t="s">
        <v>89</v>
      </c>
      <c r="M2912" s="12" t="s">
        <v>43</v>
      </c>
      <c r="N2912" s="12" t="s">
        <v>200</v>
      </c>
      <c r="O2912" s="12" t="s">
        <v>622</v>
      </c>
      <c r="P2912" s="12" t="s">
        <v>468</v>
      </c>
      <c r="Q2912" s="7" t="str">
        <f t="shared" si="136"/>
        <v>(2012,50,'2012.12.15',5,16,70,82,85,0),</v>
      </c>
      <c r="R2912" s="7" t="str">
        <f t="shared" si="138"/>
        <v>(2012,50,'2012.12.15',5,16,70,82,85),</v>
      </c>
    </row>
    <row r="2913" spans="1:18" x14ac:dyDescent="0.25">
      <c r="A2913" s="7" t="s">
        <v>2375</v>
      </c>
      <c r="B2913" s="8" t="s">
        <v>122</v>
      </c>
      <c r="C2913" s="10">
        <f t="shared" si="137"/>
        <v>41265</v>
      </c>
      <c r="D2913" t="s">
        <v>11</v>
      </c>
      <c r="E2913" t="s">
        <v>12</v>
      </c>
      <c r="F2913" t="s">
        <v>214</v>
      </c>
      <c r="G2913" t="s">
        <v>2381</v>
      </c>
      <c r="H2913" t="s">
        <v>840</v>
      </c>
      <c r="I2913" t="s">
        <v>2382</v>
      </c>
      <c r="J2913" t="s">
        <v>2383</v>
      </c>
      <c r="K2913" t="s">
        <v>1201</v>
      </c>
      <c r="L2913" s="12" t="s">
        <v>89</v>
      </c>
      <c r="M2913" s="12" t="s">
        <v>54</v>
      </c>
      <c r="N2913" s="12" t="s">
        <v>80</v>
      </c>
      <c r="O2913" s="12" t="s">
        <v>99</v>
      </c>
      <c r="P2913" s="12" t="s">
        <v>125</v>
      </c>
      <c r="Q2913" s="7" t="str">
        <f t="shared" si="136"/>
        <v>(2012,51,'2012.12.22',5,15,32,52,83,0),</v>
      </c>
      <c r="R2913" s="7" t="str">
        <f t="shared" si="138"/>
        <v>(2012,51,'2012.12.22',5,15,32,52,83),</v>
      </c>
    </row>
    <row r="2914" spans="1:18" x14ac:dyDescent="0.25">
      <c r="A2914" s="7" t="s">
        <v>2375</v>
      </c>
      <c r="B2914" s="8" t="s">
        <v>99</v>
      </c>
      <c r="C2914" s="10">
        <f t="shared" si="137"/>
        <v>41272</v>
      </c>
      <c r="D2914" t="s">
        <v>11</v>
      </c>
      <c r="E2914" t="s">
        <v>12</v>
      </c>
      <c r="F2914" t="s">
        <v>21</v>
      </c>
      <c r="G2914" t="s">
        <v>2376</v>
      </c>
      <c r="H2914" t="s">
        <v>2377</v>
      </c>
      <c r="I2914" t="s">
        <v>2378</v>
      </c>
      <c r="J2914" t="s">
        <v>2379</v>
      </c>
      <c r="K2914" t="s">
        <v>2380</v>
      </c>
      <c r="L2914" s="12" t="s">
        <v>25</v>
      </c>
      <c r="M2914" s="12" t="s">
        <v>13</v>
      </c>
      <c r="N2914" s="12" t="s">
        <v>134</v>
      </c>
      <c r="O2914" s="12" t="s">
        <v>82</v>
      </c>
      <c r="P2914" s="12" t="s">
        <v>91</v>
      </c>
      <c r="Q2914" s="7" t="str">
        <f t="shared" si="136"/>
        <v>(2012,52,'2012.12.29',34,41,56,59,61,0),</v>
      </c>
      <c r="R2914" s="7" t="str">
        <f t="shared" si="138"/>
        <v>(2012,52,'2012.12.29',34,41,56,59,61),</v>
      </c>
    </row>
    <row r="2915" spans="1:18" x14ac:dyDescent="0.25">
      <c r="A2915" s="7" t="s">
        <v>2159</v>
      </c>
      <c r="B2915" s="8" t="s">
        <v>108</v>
      </c>
      <c r="C2915" s="10">
        <f t="shared" si="137"/>
        <v>41279</v>
      </c>
      <c r="D2915" t="s">
        <v>108</v>
      </c>
      <c r="E2915" t="s">
        <v>2370</v>
      </c>
      <c r="F2915" t="s">
        <v>80</v>
      </c>
      <c r="G2915" t="s">
        <v>2371</v>
      </c>
      <c r="H2915" t="s">
        <v>2372</v>
      </c>
      <c r="I2915" t="s">
        <v>2373</v>
      </c>
      <c r="J2915" t="s">
        <v>2374</v>
      </c>
      <c r="K2915" t="s">
        <v>1701</v>
      </c>
      <c r="L2915" s="12" t="s">
        <v>126</v>
      </c>
      <c r="M2915" s="12" t="s">
        <v>81</v>
      </c>
      <c r="N2915" s="12" t="s">
        <v>169</v>
      </c>
      <c r="O2915" s="12" t="s">
        <v>201</v>
      </c>
      <c r="P2915" s="12" t="s">
        <v>106</v>
      </c>
      <c r="Q2915" s="7" t="str">
        <f t="shared" si="136"/>
        <v>(2013,1,'2013.01.05',28,47,58,72,75,0),</v>
      </c>
      <c r="R2915" s="7" t="str">
        <f t="shared" si="138"/>
        <v>(2013,1,'2013.01.05',28,47,58,72,75),</v>
      </c>
    </row>
    <row r="2916" spans="1:18" x14ac:dyDescent="0.25">
      <c r="A2916" s="7" t="s">
        <v>2159</v>
      </c>
      <c r="B2916" s="8" t="s">
        <v>207</v>
      </c>
      <c r="C2916" s="10">
        <f t="shared" si="137"/>
        <v>41286</v>
      </c>
      <c r="D2916" t="s">
        <v>11</v>
      </c>
      <c r="E2916" t="s">
        <v>12</v>
      </c>
      <c r="F2916" t="s">
        <v>45</v>
      </c>
      <c r="G2916" t="s">
        <v>2366</v>
      </c>
      <c r="H2916" t="s">
        <v>2367</v>
      </c>
      <c r="I2916" t="s">
        <v>2368</v>
      </c>
      <c r="J2916" t="s">
        <v>2369</v>
      </c>
      <c r="K2916" t="s">
        <v>393</v>
      </c>
      <c r="L2916" s="12" t="s">
        <v>168</v>
      </c>
      <c r="M2916" s="12" t="s">
        <v>31</v>
      </c>
      <c r="N2916" s="12" t="s">
        <v>71</v>
      </c>
      <c r="O2916" s="12" t="s">
        <v>106</v>
      </c>
      <c r="P2916" s="12" t="s">
        <v>468</v>
      </c>
      <c r="Q2916" s="7" t="str">
        <f t="shared" si="136"/>
        <v>(2013,2,'2013.01.12',4,12,31,75,85,0),</v>
      </c>
      <c r="R2916" s="7" t="str">
        <f t="shared" si="138"/>
        <v>(2013,2,'2013.01.12',4,12,31,75,85),</v>
      </c>
    </row>
    <row r="2917" spans="1:18" x14ac:dyDescent="0.25">
      <c r="A2917" s="7" t="s">
        <v>2159</v>
      </c>
      <c r="B2917" s="8" t="s">
        <v>42</v>
      </c>
      <c r="C2917" s="10">
        <f t="shared" si="137"/>
        <v>41293</v>
      </c>
      <c r="D2917" t="s">
        <v>11</v>
      </c>
      <c r="E2917" t="s">
        <v>12</v>
      </c>
      <c r="F2917" t="s">
        <v>25</v>
      </c>
      <c r="G2917" t="s">
        <v>2361</v>
      </c>
      <c r="H2917" t="s">
        <v>2362</v>
      </c>
      <c r="I2917" t="s">
        <v>2363</v>
      </c>
      <c r="J2917" t="s">
        <v>2364</v>
      </c>
      <c r="K2917" t="s">
        <v>2365</v>
      </c>
      <c r="L2917" s="12" t="s">
        <v>168</v>
      </c>
      <c r="M2917" s="12" t="s">
        <v>115</v>
      </c>
      <c r="N2917" s="12" t="s">
        <v>33</v>
      </c>
      <c r="O2917" s="12" t="s">
        <v>21</v>
      </c>
      <c r="P2917" s="12" t="s">
        <v>24</v>
      </c>
      <c r="Q2917" s="7" t="str">
        <f t="shared" si="136"/>
        <v>(2013,3,'2013.01.19',4,20,24,36,39,0),</v>
      </c>
      <c r="R2917" s="7" t="str">
        <f t="shared" si="138"/>
        <v>(2013,3,'2013.01.19',4,20,24,36,39),</v>
      </c>
    </row>
    <row r="2918" spans="1:18" x14ac:dyDescent="0.25">
      <c r="A2918" s="7" t="s">
        <v>2159</v>
      </c>
      <c r="B2918" s="8" t="s">
        <v>168</v>
      </c>
      <c r="C2918" s="10">
        <f t="shared" si="137"/>
        <v>41300</v>
      </c>
      <c r="D2918" t="s">
        <v>11</v>
      </c>
      <c r="E2918" t="s">
        <v>12</v>
      </c>
      <c r="F2918" t="s">
        <v>99</v>
      </c>
      <c r="G2918" t="s">
        <v>2357</v>
      </c>
      <c r="H2918" t="s">
        <v>2358</v>
      </c>
      <c r="I2918" t="s">
        <v>2359</v>
      </c>
      <c r="J2918" t="s">
        <v>2360</v>
      </c>
      <c r="K2918" t="s">
        <v>1841</v>
      </c>
      <c r="L2918" s="12" t="s">
        <v>44</v>
      </c>
      <c r="M2918" s="12" t="s">
        <v>20</v>
      </c>
      <c r="N2918" s="12" t="s">
        <v>45</v>
      </c>
      <c r="O2918" s="12" t="s">
        <v>134</v>
      </c>
      <c r="P2918" s="12" t="s">
        <v>151</v>
      </c>
      <c r="Q2918" s="7" t="str">
        <f t="shared" si="136"/>
        <v>(2013,4,'2013.01.26',21,33,43,56,79,0),</v>
      </c>
      <c r="R2918" s="7" t="str">
        <f t="shared" si="138"/>
        <v>(2013,4,'2013.01.26',21,33,43,56,79),</v>
      </c>
    </row>
    <row r="2919" spans="1:18" x14ac:dyDescent="0.25">
      <c r="A2919" s="7" t="s">
        <v>2159</v>
      </c>
      <c r="B2919" s="8" t="s">
        <v>89</v>
      </c>
      <c r="C2919" s="10">
        <f t="shared" si="137"/>
        <v>41307</v>
      </c>
      <c r="D2919" t="s">
        <v>11</v>
      </c>
      <c r="E2919" t="s">
        <v>12</v>
      </c>
      <c r="F2919" t="s">
        <v>535</v>
      </c>
      <c r="G2919" t="s">
        <v>2352</v>
      </c>
      <c r="H2919" t="s">
        <v>2353</v>
      </c>
      <c r="I2919" t="s">
        <v>2354</v>
      </c>
      <c r="J2919" t="s">
        <v>2355</v>
      </c>
      <c r="K2919" t="s">
        <v>2356</v>
      </c>
      <c r="L2919" s="12" t="s">
        <v>53</v>
      </c>
      <c r="M2919" s="12" t="s">
        <v>127</v>
      </c>
      <c r="N2919" s="12" t="s">
        <v>55</v>
      </c>
      <c r="O2919" s="12" t="s">
        <v>46</v>
      </c>
      <c r="P2919" s="12" t="s">
        <v>142</v>
      </c>
      <c r="Q2919" s="7" t="str">
        <f t="shared" si="136"/>
        <v>(2013,5,'2013.02.02',7,14,19,37,44,0),</v>
      </c>
      <c r="R2919" s="7" t="str">
        <f t="shared" si="138"/>
        <v>(2013,5,'2013.02.02',7,14,19,37,44),</v>
      </c>
    </row>
    <row r="2920" spans="1:18" x14ac:dyDescent="0.25">
      <c r="A2920" s="7" t="s">
        <v>2159</v>
      </c>
      <c r="B2920" s="8" t="s">
        <v>270</v>
      </c>
      <c r="C2920" s="10">
        <f t="shared" si="137"/>
        <v>41314</v>
      </c>
      <c r="D2920" t="s">
        <v>11</v>
      </c>
      <c r="E2920" t="s">
        <v>12</v>
      </c>
      <c r="F2920" t="s">
        <v>71</v>
      </c>
      <c r="G2920" t="s">
        <v>2348</v>
      </c>
      <c r="H2920" t="s">
        <v>2349</v>
      </c>
      <c r="I2920" t="s">
        <v>2350</v>
      </c>
      <c r="J2920" t="s">
        <v>2351</v>
      </c>
      <c r="K2920" t="s">
        <v>61</v>
      </c>
      <c r="L2920" s="12" t="s">
        <v>108</v>
      </c>
      <c r="M2920" s="12" t="s">
        <v>71</v>
      </c>
      <c r="N2920" s="12" t="s">
        <v>175</v>
      </c>
      <c r="O2920" s="12" t="s">
        <v>143</v>
      </c>
      <c r="P2920" s="12" t="s">
        <v>208</v>
      </c>
      <c r="Q2920" s="7" t="str">
        <f t="shared" si="136"/>
        <v>(2013,6,'2013.02.09',1,31,55,77,88,0),</v>
      </c>
      <c r="R2920" s="7" t="str">
        <f t="shared" si="138"/>
        <v>(2013,6,'2013.02.09',1,31,55,77,88),</v>
      </c>
    </row>
    <row r="2921" spans="1:18" x14ac:dyDescent="0.25">
      <c r="A2921" s="7" t="s">
        <v>2159</v>
      </c>
      <c r="B2921" s="8" t="s">
        <v>53</v>
      </c>
      <c r="C2921" s="10">
        <f t="shared" si="137"/>
        <v>41321</v>
      </c>
      <c r="D2921" t="s">
        <v>11</v>
      </c>
      <c r="E2921" t="s">
        <v>12</v>
      </c>
      <c r="F2921" t="s">
        <v>22</v>
      </c>
      <c r="G2921" t="s">
        <v>2344</v>
      </c>
      <c r="H2921" t="s">
        <v>2345</v>
      </c>
      <c r="I2921" t="s">
        <v>2346</v>
      </c>
      <c r="J2921" t="s">
        <v>2347</v>
      </c>
      <c r="K2921" t="s">
        <v>1484</v>
      </c>
      <c r="L2921" s="12" t="s">
        <v>42</v>
      </c>
      <c r="M2921" s="12" t="s">
        <v>55</v>
      </c>
      <c r="N2921" s="12" t="s">
        <v>13</v>
      </c>
      <c r="O2921" s="12" t="s">
        <v>175</v>
      </c>
      <c r="P2921" s="12" t="s">
        <v>91</v>
      </c>
      <c r="Q2921" s="7" t="str">
        <f t="shared" si="136"/>
        <v>(2013,7,'2013.02.16',3,19,41,55,61,0),</v>
      </c>
      <c r="R2921" s="7" t="str">
        <f t="shared" si="138"/>
        <v>(2013,7,'2013.02.16',3,19,41,55,61),</v>
      </c>
    </row>
    <row r="2922" spans="1:18" x14ac:dyDescent="0.25">
      <c r="A2922" s="7" t="s">
        <v>2159</v>
      </c>
      <c r="B2922" s="8" t="s">
        <v>232</v>
      </c>
      <c r="C2922" s="10">
        <f t="shared" si="137"/>
        <v>41328</v>
      </c>
      <c r="D2922" t="s">
        <v>11</v>
      </c>
      <c r="E2922" t="s">
        <v>12</v>
      </c>
      <c r="F2922" t="s">
        <v>163</v>
      </c>
      <c r="G2922" t="s">
        <v>2340</v>
      </c>
      <c r="H2922" t="s">
        <v>2341</v>
      </c>
      <c r="I2922" t="s">
        <v>2342</v>
      </c>
      <c r="J2922" t="s">
        <v>2343</v>
      </c>
      <c r="K2922" t="s">
        <v>857</v>
      </c>
      <c r="L2922" s="12" t="s">
        <v>207</v>
      </c>
      <c r="M2922" s="12" t="s">
        <v>42</v>
      </c>
      <c r="N2922" s="12" t="s">
        <v>81</v>
      </c>
      <c r="O2922" s="12" t="s">
        <v>91</v>
      </c>
      <c r="P2922" s="12" t="s">
        <v>72</v>
      </c>
      <c r="Q2922" s="7" t="str">
        <f t="shared" si="136"/>
        <v>(2013,8,'2013.02.23',2,3,47,61,67,0),</v>
      </c>
      <c r="R2922" s="7" t="str">
        <f t="shared" si="138"/>
        <v>(2013,8,'2013.02.23',2,3,47,61,67),</v>
      </c>
    </row>
    <row r="2923" spans="1:18" x14ac:dyDescent="0.25">
      <c r="A2923" s="7" t="s">
        <v>2159</v>
      </c>
      <c r="B2923" s="8" t="s">
        <v>198</v>
      </c>
      <c r="C2923" s="10">
        <f t="shared" si="137"/>
        <v>41335</v>
      </c>
      <c r="D2923" t="s">
        <v>11</v>
      </c>
      <c r="E2923" t="s">
        <v>12</v>
      </c>
      <c r="F2923" t="s">
        <v>23</v>
      </c>
      <c r="G2923" t="s">
        <v>2335</v>
      </c>
      <c r="H2923" t="s">
        <v>2336</v>
      </c>
      <c r="I2923" t="s">
        <v>2337</v>
      </c>
      <c r="J2923" t="s">
        <v>2338</v>
      </c>
      <c r="K2923" t="s">
        <v>2339</v>
      </c>
      <c r="L2923" s="12" t="s">
        <v>270</v>
      </c>
      <c r="M2923" s="12" t="s">
        <v>54</v>
      </c>
      <c r="N2923" s="12" t="s">
        <v>163</v>
      </c>
      <c r="O2923" s="12" t="s">
        <v>45</v>
      </c>
      <c r="P2923" s="12" t="s">
        <v>92</v>
      </c>
      <c r="Q2923" s="7" t="str">
        <f t="shared" si="136"/>
        <v>(2013,9,'2013.03.02',6,15,23,43,68,0),</v>
      </c>
      <c r="R2923" s="7" t="str">
        <f t="shared" si="138"/>
        <v>(2013,9,'2013.03.02',6,15,23,43,68),</v>
      </c>
    </row>
    <row r="2924" spans="1:18" x14ac:dyDescent="0.25">
      <c r="A2924" s="7" t="s">
        <v>2159</v>
      </c>
      <c r="B2924" s="8" t="s">
        <v>62</v>
      </c>
      <c r="C2924" s="10">
        <f t="shared" si="137"/>
        <v>41342</v>
      </c>
      <c r="D2924" t="s">
        <v>11</v>
      </c>
      <c r="E2924" t="s">
        <v>12</v>
      </c>
      <c r="F2924" t="s">
        <v>81</v>
      </c>
      <c r="G2924" t="s">
        <v>2331</v>
      </c>
      <c r="H2924" t="s">
        <v>2332</v>
      </c>
      <c r="I2924" t="s">
        <v>2333</v>
      </c>
      <c r="J2924" t="s">
        <v>2334</v>
      </c>
      <c r="K2924" t="s">
        <v>1785</v>
      </c>
      <c r="L2924" s="12" t="s">
        <v>270</v>
      </c>
      <c r="M2924" s="12" t="s">
        <v>19</v>
      </c>
      <c r="N2924" s="12" t="s">
        <v>74</v>
      </c>
      <c r="O2924" s="12" t="s">
        <v>73</v>
      </c>
      <c r="P2924" s="12" t="s">
        <v>143</v>
      </c>
      <c r="Q2924" s="7" t="str">
        <f t="shared" si="136"/>
        <v>(2013,10,'2013.03.09',6,18,26,76,77,0),</v>
      </c>
      <c r="R2924" s="7" t="str">
        <f t="shared" si="138"/>
        <v>(2013,10,'2013.03.09',6,18,26,76,77),</v>
      </c>
    </row>
    <row r="2925" spans="1:18" x14ac:dyDescent="0.25">
      <c r="A2925" s="7" t="s">
        <v>2159</v>
      </c>
      <c r="B2925" s="8" t="s">
        <v>83</v>
      </c>
      <c r="C2925" s="10">
        <f t="shared" si="137"/>
        <v>41349</v>
      </c>
      <c r="D2925" t="s">
        <v>11</v>
      </c>
      <c r="E2925" t="s">
        <v>12</v>
      </c>
      <c r="F2925" t="s">
        <v>91</v>
      </c>
      <c r="G2925" t="s">
        <v>2327</v>
      </c>
      <c r="H2925" t="s">
        <v>2328</v>
      </c>
      <c r="I2925" t="s">
        <v>2329</v>
      </c>
      <c r="J2925" t="s">
        <v>2330</v>
      </c>
      <c r="K2925" t="s">
        <v>1626</v>
      </c>
      <c r="L2925" s="12" t="s">
        <v>207</v>
      </c>
      <c r="M2925" s="12" t="s">
        <v>31</v>
      </c>
      <c r="N2925" s="12" t="s">
        <v>163</v>
      </c>
      <c r="O2925" s="12" t="s">
        <v>150</v>
      </c>
      <c r="P2925" s="12" t="s">
        <v>63</v>
      </c>
      <c r="Q2925" s="7" t="str">
        <f t="shared" si="136"/>
        <v>(2013,11,'2013.03.16',2,12,23,57,78,0),</v>
      </c>
      <c r="R2925" s="7" t="str">
        <f t="shared" si="138"/>
        <v>(2013,11,'2013.03.16',2,12,23,57,78),</v>
      </c>
    </row>
    <row r="2926" spans="1:18" x14ac:dyDescent="0.25">
      <c r="A2926" s="7" t="s">
        <v>2159</v>
      </c>
      <c r="B2926" s="8" t="s">
        <v>31</v>
      </c>
      <c r="C2926" s="10">
        <f t="shared" si="137"/>
        <v>41356</v>
      </c>
      <c r="D2926" t="s">
        <v>108</v>
      </c>
      <c r="E2926" t="s">
        <v>2322</v>
      </c>
      <c r="F2926" t="s">
        <v>122</v>
      </c>
      <c r="G2926" t="s">
        <v>2323</v>
      </c>
      <c r="H2926" t="s">
        <v>2324</v>
      </c>
      <c r="I2926" t="s">
        <v>2325</v>
      </c>
      <c r="J2926" t="s">
        <v>2326</v>
      </c>
      <c r="K2926" t="s">
        <v>1242</v>
      </c>
      <c r="L2926" s="12" t="s">
        <v>108</v>
      </c>
      <c r="M2926" s="12" t="s">
        <v>54</v>
      </c>
      <c r="N2926" s="12" t="s">
        <v>133</v>
      </c>
      <c r="O2926" s="12" t="s">
        <v>92</v>
      </c>
      <c r="P2926" s="12" t="s">
        <v>200</v>
      </c>
      <c r="Q2926" s="7" t="str">
        <f t="shared" si="136"/>
        <v>(2013,12,'2013.03.23',1,15,45,68,70,0),</v>
      </c>
      <c r="R2926" s="7" t="str">
        <f t="shared" si="138"/>
        <v>(2013,12,'2013.03.23',1,15,45,68,70),</v>
      </c>
    </row>
    <row r="2927" spans="1:18" x14ac:dyDescent="0.25">
      <c r="A2927" s="7" t="s">
        <v>2159</v>
      </c>
      <c r="B2927" s="8" t="s">
        <v>65</v>
      </c>
      <c r="C2927" s="10">
        <f t="shared" si="137"/>
        <v>41363</v>
      </c>
      <c r="D2927" t="s">
        <v>11</v>
      </c>
      <c r="E2927" t="s">
        <v>12</v>
      </c>
      <c r="F2927" t="s">
        <v>80</v>
      </c>
      <c r="G2927" t="s">
        <v>2317</v>
      </c>
      <c r="H2927" t="s">
        <v>2318</v>
      </c>
      <c r="I2927" t="s">
        <v>2319</v>
      </c>
      <c r="J2927" t="s">
        <v>2320</v>
      </c>
      <c r="K2927" t="s">
        <v>2321</v>
      </c>
      <c r="L2927" s="12" t="s">
        <v>42</v>
      </c>
      <c r="M2927" s="12" t="s">
        <v>133</v>
      </c>
      <c r="N2927" s="12" t="s">
        <v>134</v>
      </c>
      <c r="O2927" s="12" t="s">
        <v>150</v>
      </c>
      <c r="P2927" s="12" t="s">
        <v>308</v>
      </c>
      <c r="Q2927" s="7" t="str">
        <f t="shared" si="136"/>
        <v>(2013,13,'2013.03.30',3,45,56,57,86,0),</v>
      </c>
      <c r="R2927" s="7" t="str">
        <f t="shared" si="138"/>
        <v>(2013,13,'2013.03.30',3,45,56,57,86),</v>
      </c>
    </row>
    <row r="2928" spans="1:18" x14ac:dyDescent="0.25">
      <c r="A2928" s="7" t="s">
        <v>2159</v>
      </c>
      <c r="B2928" s="8" t="s">
        <v>127</v>
      </c>
      <c r="C2928" s="10">
        <f t="shared" si="137"/>
        <v>41370</v>
      </c>
      <c r="D2928" t="s">
        <v>11</v>
      </c>
      <c r="E2928" t="s">
        <v>12</v>
      </c>
      <c r="F2928" t="s">
        <v>33</v>
      </c>
      <c r="G2928" t="s">
        <v>2312</v>
      </c>
      <c r="H2928" t="s">
        <v>2313</v>
      </c>
      <c r="I2928" t="s">
        <v>2314</v>
      </c>
      <c r="J2928" t="s">
        <v>2315</v>
      </c>
      <c r="K2928" t="s">
        <v>2316</v>
      </c>
      <c r="L2928" s="12" t="s">
        <v>108</v>
      </c>
      <c r="M2928" s="12" t="s">
        <v>107</v>
      </c>
      <c r="N2928" s="12" t="s">
        <v>46</v>
      </c>
      <c r="O2928" s="12" t="s">
        <v>175</v>
      </c>
      <c r="P2928" s="12" t="s">
        <v>622</v>
      </c>
      <c r="Q2928" s="7" t="str">
        <f t="shared" si="136"/>
        <v>(2013,14,'2013.04.06',1,30,37,55,82,0),</v>
      </c>
      <c r="R2928" s="7" t="str">
        <f t="shared" si="138"/>
        <v>(2013,14,'2013.04.06',1,30,37,55,82),</v>
      </c>
    </row>
    <row r="2929" spans="1:18" x14ac:dyDescent="0.25">
      <c r="A2929" s="7" t="s">
        <v>2159</v>
      </c>
      <c r="B2929" s="8" t="s">
        <v>54</v>
      </c>
      <c r="C2929" s="10">
        <f t="shared" si="137"/>
        <v>41377</v>
      </c>
      <c r="D2929" t="s">
        <v>11</v>
      </c>
      <c r="E2929" t="s">
        <v>12</v>
      </c>
      <c r="F2929" t="s">
        <v>127</v>
      </c>
      <c r="G2929" t="s">
        <v>2308</v>
      </c>
      <c r="H2929" t="s">
        <v>2309</v>
      </c>
      <c r="I2929" t="s">
        <v>2310</v>
      </c>
      <c r="J2929" t="s">
        <v>2311</v>
      </c>
      <c r="K2929" t="s">
        <v>1223</v>
      </c>
      <c r="L2929" s="12" t="s">
        <v>74</v>
      </c>
      <c r="M2929" s="12" t="s">
        <v>24</v>
      </c>
      <c r="N2929" s="12" t="s">
        <v>10</v>
      </c>
      <c r="O2929" s="12" t="s">
        <v>99</v>
      </c>
      <c r="P2929" s="12" t="s">
        <v>199</v>
      </c>
      <c r="Q2929" s="7" t="str">
        <f t="shared" si="136"/>
        <v>(2013,15,'2013.04.13',26,39,40,52,53,0),</v>
      </c>
      <c r="R2929" s="7" t="str">
        <f t="shared" si="138"/>
        <v>(2013,15,'2013.04.13',26,39,40,52,53),</v>
      </c>
    </row>
    <row r="2930" spans="1:18" x14ac:dyDescent="0.25">
      <c r="A2930" s="7" t="s">
        <v>2159</v>
      </c>
      <c r="B2930" s="8" t="s">
        <v>43</v>
      </c>
      <c r="C2930" s="10">
        <f t="shared" si="137"/>
        <v>41384</v>
      </c>
      <c r="D2930" t="s">
        <v>11</v>
      </c>
      <c r="E2930" t="s">
        <v>12</v>
      </c>
      <c r="F2930" t="s">
        <v>13</v>
      </c>
      <c r="G2930" t="s">
        <v>2304</v>
      </c>
      <c r="H2930" t="s">
        <v>2305</v>
      </c>
      <c r="I2930" t="s">
        <v>2306</v>
      </c>
      <c r="J2930" t="s">
        <v>2307</v>
      </c>
      <c r="K2930" t="s">
        <v>323</v>
      </c>
      <c r="L2930" s="12" t="s">
        <v>19</v>
      </c>
      <c r="M2930" s="12" t="s">
        <v>20</v>
      </c>
      <c r="N2930" s="12" t="s">
        <v>199</v>
      </c>
      <c r="O2930" s="12" t="s">
        <v>106</v>
      </c>
      <c r="P2930" s="12" t="s">
        <v>379</v>
      </c>
      <c r="Q2930" s="7" t="str">
        <f t="shared" si="136"/>
        <v>(2013,16,'2013.04.20',18,33,53,75,89,0),</v>
      </c>
      <c r="R2930" s="7" t="str">
        <f t="shared" si="138"/>
        <v>(2013,16,'2013.04.20',18,33,53,75,89),</v>
      </c>
    </row>
    <row r="2931" spans="1:18" x14ac:dyDescent="0.25">
      <c r="A2931" s="7" t="s">
        <v>2159</v>
      </c>
      <c r="B2931" s="8" t="s">
        <v>90</v>
      </c>
      <c r="C2931" s="10">
        <f t="shared" si="137"/>
        <v>41391</v>
      </c>
      <c r="D2931" t="s">
        <v>11</v>
      </c>
      <c r="E2931" t="s">
        <v>12</v>
      </c>
      <c r="F2931" t="s">
        <v>55</v>
      </c>
      <c r="G2931" t="s">
        <v>2300</v>
      </c>
      <c r="H2931" t="s">
        <v>2301</v>
      </c>
      <c r="I2931" t="s">
        <v>2302</v>
      </c>
      <c r="J2931" t="s">
        <v>2303</v>
      </c>
      <c r="K2931" t="s">
        <v>30</v>
      </c>
      <c r="L2931" s="12" t="s">
        <v>115</v>
      </c>
      <c r="M2931" s="12" t="s">
        <v>163</v>
      </c>
      <c r="N2931" s="12" t="s">
        <v>24</v>
      </c>
      <c r="O2931" s="12" t="s">
        <v>200</v>
      </c>
      <c r="P2931" s="12" t="s">
        <v>63</v>
      </c>
      <c r="Q2931" s="7" t="str">
        <f t="shared" si="136"/>
        <v>(2013,17,'2013.04.27',20,23,39,70,78,0),</v>
      </c>
      <c r="R2931" s="7" t="str">
        <f t="shared" si="138"/>
        <v>(2013,17,'2013.04.27',20,23,39,70,78),</v>
      </c>
    </row>
    <row r="2932" spans="1:18" x14ac:dyDescent="0.25">
      <c r="A2932" s="7" t="s">
        <v>2159</v>
      </c>
      <c r="B2932" s="8" t="s">
        <v>19</v>
      </c>
      <c r="C2932" s="10">
        <f t="shared" si="137"/>
        <v>41398</v>
      </c>
      <c r="D2932" t="s">
        <v>11</v>
      </c>
      <c r="E2932" t="s">
        <v>12</v>
      </c>
      <c r="F2932" t="s">
        <v>13</v>
      </c>
      <c r="G2932" t="s">
        <v>2296</v>
      </c>
      <c r="H2932" t="s">
        <v>2297</v>
      </c>
      <c r="I2932" t="s">
        <v>2298</v>
      </c>
      <c r="J2932" t="s">
        <v>2299</v>
      </c>
      <c r="K2932" t="s">
        <v>1701</v>
      </c>
      <c r="L2932" s="12" t="s">
        <v>152</v>
      </c>
      <c r="M2932" s="12" t="s">
        <v>24</v>
      </c>
      <c r="N2932" s="12" t="s">
        <v>133</v>
      </c>
      <c r="O2932" s="12" t="s">
        <v>123</v>
      </c>
      <c r="P2932" s="12" t="s">
        <v>35</v>
      </c>
      <c r="Q2932" s="7" t="str">
        <f t="shared" si="136"/>
        <v>(2013,18,'2013.05.04',25,39,45,54,65,0),</v>
      </c>
      <c r="R2932" s="7" t="str">
        <f t="shared" si="138"/>
        <v>(2013,18,'2013.05.04',25,39,45,54,65),</v>
      </c>
    </row>
    <row r="2933" spans="1:18" x14ac:dyDescent="0.25">
      <c r="A2933" s="7" t="s">
        <v>2159</v>
      </c>
      <c r="B2933" s="8" t="s">
        <v>55</v>
      </c>
      <c r="C2933" s="10">
        <f t="shared" si="137"/>
        <v>41405</v>
      </c>
      <c r="D2933" t="s">
        <v>11</v>
      </c>
      <c r="E2933" t="s">
        <v>12</v>
      </c>
      <c r="F2933" t="s">
        <v>19</v>
      </c>
      <c r="G2933" t="s">
        <v>2292</v>
      </c>
      <c r="H2933" t="s">
        <v>2293</v>
      </c>
      <c r="I2933" t="s">
        <v>2294</v>
      </c>
      <c r="J2933" t="s">
        <v>2295</v>
      </c>
      <c r="K2933" t="s">
        <v>2244</v>
      </c>
      <c r="L2933" s="12" t="s">
        <v>31</v>
      </c>
      <c r="M2933" s="12" t="s">
        <v>46</v>
      </c>
      <c r="N2933" s="12" t="s">
        <v>124</v>
      </c>
      <c r="O2933" s="12" t="s">
        <v>622</v>
      </c>
      <c r="P2933" s="12" t="s">
        <v>125</v>
      </c>
      <c r="Q2933" s="7" t="str">
        <f t="shared" si="136"/>
        <v>(2013,19,'2013.05.11',12,37,62,82,83,0),</v>
      </c>
      <c r="R2933" s="7" t="str">
        <f t="shared" si="138"/>
        <v>(2013,19,'2013.05.11',12,37,62,82,83),</v>
      </c>
    </row>
    <row r="2934" spans="1:18" x14ac:dyDescent="0.25">
      <c r="A2934" s="7" t="s">
        <v>2159</v>
      </c>
      <c r="B2934" s="8" t="s">
        <v>115</v>
      </c>
      <c r="C2934" s="10">
        <f t="shared" si="137"/>
        <v>41412</v>
      </c>
      <c r="D2934" t="s">
        <v>11</v>
      </c>
      <c r="E2934" t="s">
        <v>12</v>
      </c>
      <c r="F2934" t="s">
        <v>105</v>
      </c>
      <c r="G2934" t="s">
        <v>2288</v>
      </c>
      <c r="H2934" t="s">
        <v>2289</v>
      </c>
      <c r="I2934" t="s">
        <v>2290</v>
      </c>
      <c r="J2934" t="s">
        <v>2291</v>
      </c>
      <c r="K2934" t="s">
        <v>1206</v>
      </c>
      <c r="L2934" s="12" t="s">
        <v>163</v>
      </c>
      <c r="M2934" s="12" t="s">
        <v>74</v>
      </c>
      <c r="N2934" s="12" t="s">
        <v>20</v>
      </c>
      <c r="O2934" s="12" t="s">
        <v>199</v>
      </c>
      <c r="P2934" s="12" t="s">
        <v>23</v>
      </c>
      <c r="Q2934" s="7" t="str">
        <f t="shared" si="136"/>
        <v>(2013,20,'2013.05.18',23,26,33,53,60,0),</v>
      </c>
      <c r="R2934" s="7" t="str">
        <f t="shared" si="138"/>
        <v>(2013,20,'2013.05.18',23,26,33,53,60),</v>
      </c>
    </row>
    <row r="2935" spans="1:18" x14ac:dyDescent="0.25">
      <c r="A2935" s="7" t="s">
        <v>2159</v>
      </c>
      <c r="B2935" s="8" t="s">
        <v>44</v>
      </c>
      <c r="C2935" s="10">
        <f t="shared" si="137"/>
        <v>41419</v>
      </c>
      <c r="D2935" t="s">
        <v>11</v>
      </c>
      <c r="E2935" t="s">
        <v>12</v>
      </c>
      <c r="F2935" t="s">
        <v>44</v>
      </c>
      <c r="G2935" t="s">
        <v>2284</v>
      </c>
      <c r="H2935" t="s">
        <v>2285</v>
      </c>
      <c r="I2935" t="s">
        <v>2286</v>
      </c>
      <c r="J2935" t="s">
        <v>2287</v>
      </c>
      <c r="K2935" t="s">
        <v>549</v>
      </c>
      <c r="L2935" s="12" t="s">
        <v>65</v>
      </c>
      <c r="M2935" s="12" t="s">
        <v>105</v>
      </c>
      <c r="N2935" s="12" t="s">
        <v>199</v>
      </c>
      <c r="O2935" s="12" t="s">
        <v>82</v>
      </c>
      <c r="P2935" s="12" t="s">
        <v>200</v>
      </c>
      <c r="Q2935" s="7" t="str">
        <f t="shared" si="136"/>
        <v>(2013,21,'2013.05.25',13,50,53,59,70,0),</v>
      </c>
      <c r="R2935" s="7" t="str">
        <f t="shared" si="138"/>
        <v>(2013,21,'2013.05.25',13,50,53,59,70),</v>
      </c>
    </row>
    <row r="2936" spans="1:18" x14ac:dyDescent="0.25">
      <c r="A2936" s="7" t="s">
        <v>2159</v>
      </c>
      <c r="B2936" s="8" t="s">
        <v>32</v>
      </c>
      <c r="C2936" s="10">
        <f t="shared" si="137"/>
        <v>41426</v>
      </c>
      <c r="D2936" t="s">
        <v>11</v>
      </c>
      <c r="E2936" t="s">
        <v>12</v>
      </c>
      <c r="F2936" t="s">
        <v>71</v>
      </c>
      <c r="G2936" t="s">
        <v>2280</v>
      </c>
      <c r="H2936" t="s">
        <v>2281</v>
      </c>
      <c r="I2936" t="s">
        <v>2282</v>
      </c>
      <c r="J2936" t="s">
        <v>2283</v>
      </c>
      <c r="K2936" t="s">
        <v>894</v>
      </c>
      <c r="L2936" s="12" t="s">
        <v>198</v>
      </c>
      <c r="M2936" s="12" t="s">
        <v>107</v>
      </c>
      <c r="N2936" s="12" t="s">
        <v>24</v>
      </c>
      <c r="O2936" s="12" t="s">
        <v>99</v>
      </c>
      <c r="P2936" s="12" t="s">
        <v>106</v>
      </c>
      <c r="Q2936" s="7" t="str">
        <f t="shared" si="136"/>
        <v>(2013,22,'2013.06.01',9,30,39,52,75,0),</v>
      </c>
      <c r="R2936" s="7" t="str">
        <f t="shared" si="138"/>
        <v>(2013,22,'2013.06.01',9,30,39,52,75),</v>
      </c>
    </row>
    <row r="2937" spans="1:18" x14ac:dyDescent="0.25">
      <c r="A2937" s="7" t="s">
        <v>2159</v>
      </c>
      <c r="B2937" s="8" t="s">
        <v>163</v>
      </c>
      <c r="C2937" s="10">
        <f t="shared" si="137"/>
        <v>41433</v>
      </c>
      <c r="D2937" t="s">
        <v>11</v>
      </c>
      <c r="E2937" t="s">
        <v>12</v>
      </c>
      <c r="F2937" t="s">
        <v>35</v>
      </c>
      <c r="G2937" t="s">
        <v>2276</v>
      </c>
      <c r="H2937" t="s">
        <v>2277</v>
      </c>
      <c r="I2937" t="s">
        <v>2278</v>
      </c>
      <c r="J2937" t="s">
        <v>2279</v>
      </c>
      <c r="K2937" t="s">
        <v>1049</v>
      </c>
      <c r="L2937" s="12" t="s">
        <v>65</v>
      </c>
      <c r="M2937" s="12" t="s">
        <v>74</v>
      </c>
      <c r="N2937" s="12" t="s">
        <v>98</v>
      </c>
      <c r="O2937" s="12" t="s">
        <v>151</v>
      </c>
      <c r="P2937" s="12" t="s">
        <v>246</v>
      </c>
      <c r="Q2937" s="7" t="str">
        <f t="shared" si="136"/>
        <v>(2013,23,'2013.06.08',13,26,42,79,84,0),</v>
      </c>
      <c r="R2937" s="7" t="str">
        <f t="shared" si="138"/>
        <v>(2013,23,'2013.06.08',13,26,42,79,84),</v>
      </c>
    </row>
    <row r="2938" spans="1:18" x14ac:dyDescent="0.25">
      <c r="A2938" s="7" t="s">
        <v>2159</v>
      </c>
      <c r="B2938" s="8" t="s">
        <v>33</v>
      </c>
      <c r="C2938" s="10">
        <f t="shared" si="137"/>
        <v>41440</v>
      </c>
      <c r="D2938" t="s">
        <v>11</v>
      </c>
      <c r="E2938" t="s">
        <v>12</v>
      </c>
      <c r="F2938" t="s">
        <v>33</v>
      </c>
      <c r="G2938" t="s">
        <v>2272</v>
      </c>
      <c r="H2938" t="s">
        <v>2273</v>
      </c>
      <c r="I2938" t="s">
        <v>2274</v>
      </c>
      <c r="J2938" t="s">
        <v>2275</v>
      </c>
      <c r="K2938" t="s">
        <v>1419</v>
      </c>
      <c r="L2938" s="12" t="s">
        <v>65</v>
      </c>
      <c r="M2938" s="12" t="s">
        <v>54</v>
      </c>
      <c r="N2938" s="12" t="s">
        <v>107</v>
      </c>
      <c r="O2938" s="12" t="s">
        <v>71</v>
      </c>
      <c r="P2938" s="12" t="s">
        <v>13</v>
      </c>
      <c r="Q2938" s="7" t="str">
        <f t="shared" si="136"/>
        <v>(2013,24,'2013.06.15',13,15,30,31,41,0),</v>
      </c>
      <c r="R2938" s="7" t="str">
        <f t="shared" si="138"/>
        <v>(2013,24,'2013.06.15',13,15,30,31,41),</v>
      </c>
    </row>
    <row r="2939" spans="1:18" x14ac:dyDescent="0.25">
      <c r="A2939" s="7" t="s">
        <v>2159</v>
      </c>
      <c r="B2939" s="8" t="s">
        <v>152</v>
      </c>
      <c r="C2939" s="10">
        <f t="shared" si="137"/>
        <v>41447</v>
      </c>
      <c r="D2939" t="s">
        <v>11</v>
      </c>
      <c r="E2939" t="s">
        <v>12</v>
      </c>
      <c r="F2939" t="s">
        <v>105</v>
      </c>
      <c r="G2939" t="s">
        <v>2268</v>
      </c>
      <c r="H2939" t="s">
        <v>2269</v>
      </c>
      <c r="I2939" t="s">
        <v>2270</v>
      </c>
      <c r="J2939" t="s">
        <v>2271</v>
      </c>
      <c r="K2939" t="s">
        <v>1021</v>
      </c>
      <c r="L2939" s="12" t="s">
        <v>232</v>
      </c>
      <c r="M2939" s="12" t="s">
        <v>31</v>
      </c>
      <c r="N2939" s="12" t="s">
        <v>36</v>
      </c>
      <c r="O2939" s="12" t="s">
        <v>133</v>
      </c>
      <c r="P2939" s="12" t="s">
        <v>468</v>
      </c>
      <c r="Q2939" s="7" t="str">
        <f t="shared" si="136"/>
        <v>(2013,25,'2013.06.22',8,12,38,45,85,0),</v>
      </c>
      <c r="R2939" s="7" t="str">
        <f t="shared" si="138"/>
        <v>(2013,25,'2013.06.22',8,12,38,45,85),</v>
      </c>
    </row>
    <row r="2940" spans="1:18" x14ac:dyDescent="0.25">
      <c r="A2940" s="7" t="s">
        <v>2159</v>
      </c>
      <c r="B2940" s="8" t="s">
        <v>74</v>
      </c>
      <c r="C2940" s="10">
        <f t="shared" si="137"/>
        <v>41454</v>
      </c>
      <c r="D2940" t="s">
        <v>11</v>
      </c>
      <c r="E2940" t="s">
        <v>12</v>
      </c>
      <c r="F2940" t="s">
        <v>152</v>
      </c>
      <c r="G2940" t="s">
        <v>2265</v>
      </c>
      <c r="H2940" t="s">
        <v>1051</v>
      </c>
      <c r="I2940" t="s">
        <v>2266</v>
      </c>
      <c r="J2940" t="s">
        <v>2267</v>
      </c>
      <c r="K2940" t="s">
        <v>61</v>
      </c>
      <c r="L2940" s="12" t="s">
        <v>127</v>
      </c>
      <c r="M2940" s="12" t="s">
        <v>135</v>
      </c>
      <c r="N2940" s="12" t="s">
        <v>214</v>
      </c>
      <c r="O2940" s="12" t="s">
        <v>200</v>
      </c>
      <c r="P2940" s="12" t="s">
        <v>468</v>
      </c>
      <c r="Q2940" s="7" t="str">
        <f t="shared" si="136"/>
        <v>(2013,26,'2013.06.29',14,27,64,70,85,0),</v>
      </c>
      <c r="R2940" s="7" t="str">
        <f t="shared" si="138"/>
        <v>(2013,26,'2013.06.29',14,27,64,70,85),</v>
      </c>
    </row>
    <row r="2941" spans="1:18" x14ac:dyDescent="0.25">
      <c r="A2941" s="7" t="s">
        <v>2159</v>
      </c>
      <c r="B2941" s="8" t="s">
        <v>135</v>
      </c>
      <c r="C2941" s="10">
        <f t="shared" si="137"/>
        <v>41461</v>
      </c>
      <c r="D2941" t="s">
        <v>11</v>
      </c>
      <c r="E2941" t="s">
        <v>12</v>
      </c>
      <c r="F2941" t="s">
        <v>80</v>
      </c>
      <c r="G2941" t="s">
        <v>2261</v>
      </c>
      <c r="H2941" t="s">
        <v>2262</v>
      </c>
      <c r="I2941" t="s">
        <v>2263</v>
      </c>
      <c r="J2941" t="s">
        <v>2264</v>
      </c>
      <c r="K2941" t="s">
        <v>238</v>
      </c>
      <c r="L2941" s="12" t="s">
        <v>175</v>
      </c>
      <c r="M2941" s="12" t="s">
        <v>92</v>
      </c>
      <c r="N2941" s="12" t="s">
        <v>73</v>
      </c>
      <c r="O2941" s="12" t="s">
        <v>63</v>
      </c>
      <c r="P2941" s="12" t="s">
        <v>215</v>
      </c>
      <c r="Q2941" s="7" t="str">
        <f t="shared" si="136"/>
        <v>(2013,27,'2013.07.06',55,68,76,78,81,0),</v>
      </c>
      <c r="R2941" s="7" t="str">
        <f t="shared" si="138"/>
        <v>(2013,27,'2013.07.06',55,68,76,78,81),</v>
      </c>
    </row>
    <row r="2942" spans="1:18" x14ac:dyDescent="0.25">
      <c r="A2942" s="7" t="s">
        <v>2159</v>
      </c>
      <c r="B2942" s="8" t="s">
        <v>126</v>
      </c>
      <c r="C2942" s="10">
        <f t="shared" si="137"/>
        <v>41468</v>
      </c>
      <c r="D2942" t="s">
        <v>11</v>
      </c>
      <c r="E2942" t="s">
        <v>12</v>
      </c>
      <c r="F2942" t="s">
        <v>73</v>
      </c>
      <c r="G2942" t="s">
        <v>2258</v>
      </c>
      <c r="H2942" t="s">
        <v>2259</v>
      </c>
      <c r="I2942" t="s">
        <v>803</v>
      </c>
      <c r="J2942" t="s">
        <v>2260</v>
      </c>
      <c r="K2942" t="s">
        <v>2067</v>
      </c>
      <c r="L2942" s="12" t="s">
        <v>207</v>
      </c>
      <c r="M2942" s="12" t="s">
        <v>65</v>
      </c>
      <c r="N2942" s="12" t="s">
        <v>54</v>
      </c>
      <c r="O2942" s="12" t="s">
        <v>21</v>
      </c>
      <c r="P2942" s="12" t="s">
        <v>47</v>
      </c>
      <c r="Q2942" s="7" t="str">
        <f t="shared" si="136"/>
        <v>(2013,28,'2013.07.13',2,13,15,36,69,0),</v>
      </c>
      <c r="R2942" s="7" t="str">
        <f t="shared" si="138"/>
        <v>(2013,28,'2013.07.13',2,13,15,36,69),</v>
      </c>
    </row>
    <row r="2943" spans="1:18" x14ac:dyDescent="0.25">
      <c r="A2943" s="7" t="s">
        <v>2159</v>
      </c>
      <c r="B2943" s="8" t="s">
        <v>116</v>
      </c>
      <c r="C2943" s="10">
        <f t="shared" si="137"/>
        <v>41475</v>
      </c>
      <c r="D2943" t="s">
        <v>11</v>
      </c>
      <c r="E2943" t="s">
        <v>12</v>
      </c>
      <c r="F2943" t="s">
        <v>105</v>
      </c>
      <c r="G2943" t="s">
        <v>2253</v>
      </c>
      <c r="H2943" t="s">
        <v>2254</v>
      </c>
      <c r="I2943" t="s">
        <v>2255</v>
      </c>
      <c r="J2943" t="s">
        <v>2256</v>
      </c>
      <c r="K2943" t="s">
        <v>2257</v>
      </c>
      <c r="L2943" s="12" t="s">
        <v>43</v>
      </c>
      <c r="M2943" s="12" t="s">
        <v>107</v>
      </c>
      <c r="N2943" s="12" t="s">
        <v>80</v>
      </c>
      <c r="O2943" s="12" t="s">
        <v>34</v>
      </c>
      <c r="P2943" s="12" t="s">
        <v>239</v>
      </c>
      <c r="Q2943" s="7" t="str">
        <f t="shared" si="136"/>
        <v>(2013,29,'2013.07.20',16,30,32,49,73,0),</v>
      </c>
      <c r="R2943" s="7" t="str">
        <f t="shared" si="138"/>
        <v>(2013,29,'2013.07.20',16,30,32,49,73),</v>
      </c>
    </row>
    <row r="2944" spans="1:18" x14ac:dyDescent="0.25">
      <c r="A2944" s="7" t="s">
        <v>2159</v>
      </c>
      <c r="B2944" s="8" t="s">
        <v>107</v>
      </c>
      <c r="C2944" s="10">
        <f t="shared" si="137"/>
        <v>41482</v>
      </c>
      <c r="D2944" t="s">
        <v>11</v>
      </c>
      <c r="E2944" t="s">
        <v>12</v>
      </c>
      <c r="F2944" t="s">
        <v>126</v>
      </c>
      <c r="G2944" t="s">
        <v>2249</v>
      </c>
      <c r="H2944" t="s">
        <v>2250</v>
      </c>
      <c r="I2944" t="s">
        <v>2251</v>
      </c>
      <c r="J2944" t="s">
        <v>2252</v>
      </c>
      <c r="K2944" t="s">
        <v>1215</v>
      </c>
      <c r="L2944" s="12" t="s">
        <v>32</v>
      </c>
      <c r="M2944" s="12" t="s">
        <v>82</v>
      </c>
      <c r="N2944" s="12" t="s">
        <v>124</v>
      </c>
      <c r="O2944" s="12" t="s">
        <v>301</v>
      </c>
      <c r="P2944" s="12" t="s">
        <v>186</v>
      </c>
      <c r="Q2944" s="7" t="str">
        <f t="shared" si="136"/>
        <v>(2013,30,'2013.07.27',22,59,62,80,90,0),</v>
      </c>
      <c r="R2944" s="7" t="str">
        <f t="shared" si="138"/>
        <v>(2013,30,'2013.07.27',22,59,62,80,90),</v>
      </c>
    </row>
    <row r="2945" spans="1:18" x14ac:dyDescent="0.25">
      <c r="A2945" s="7" t="s">
        <v>2159</v>
      </c>
      <c r="B2945" s="8" t="s">
        <v>71</v>
      </c>
      <c r="C2945" s="10">
        <f t="shared" si="137"/>
        <v>41489</v>
      </c>
      <c r="D2945" t="s">
        <v>11</v>
      </c>
      <c r="E2945" t="s">
        <v>12</v>
      </c>
      <c r="F2945" t="s">
        <v>83</v>
      </c>
      <c r="G2945" t="s">
        <v>2245</v>
      </c>
      <c r="H2945" t="s">
        <v>2246</v>
      </c>
      <c r="I2945" t="s">
        <v>2247</v>
      </c>
      <c r="J2945" t="s">
        <v>2248</v>
      </c>
      <c r="K2945" t="s">
        <v>369</v>
      </c>
      <c r="L2945" s="12" t="s">
        <v>107</v>
      </c>
      <c r="M2945" s="12" t="s">
        <v>71</v>
      </c>
      <c r="N2945" s="12" t="s">
        <v>24</v>
      </c>
      <c r="O2945" s="12" t="s">
        <v>63</v>
      </c>
      <c r="P2945" s="12" t="s">
        <v>125</v>
      </c>
      <c r="Q2945" s="7" t="str">
        <f t="shared" si="136"/>
        <v>(2013,31,'2013.08.03',30,31,39,78,83,0),</v>
      </c>
      <c r="R2945" s="7" t="str">
        <f t="shared" si="138"/>
        <v>(2013,31,'2013.08.03',30,31,39,78,83),</v>
      </c>
    </row>
    <row r="2946" spans="1:18" x14ac:dyDescent="0.25">
      <c r="A2946" s="7" t="s">
        <v>2159</v>
      </c>
      <c r="B2946" s="8" t="s">
        <v>80</v>
      </c>
      <c r="C2946" s="10">
        <f t="shared" si="137"/>
        <v>41496</v>
      </c>
      <c r="D2946" t="s">
        <v>11</v>
      </c>
      <c r="E2946" t="s">
        <v>12</v>
      </c>
      <c r="F2946" t="s">
        <v>10</v>
      </c>
      <c r="G2946" t="s">
        <v>2240</v>
      </c>
      <c r="H2946" t="s">
        <v>2241</v>
      </c>
      <c r="I2946" t="s">
        <v>2242</v>
      </c>
      <c r="J2946" t="s">
        <v>2243</v>
      </c>
      <c r="K2946" t="s">
        <v>2244</v>
      </c>
      <c r="L2946" s="12" t="s">
        <v>98</v>
      </c>
      <c r="M2946" s="12" t="s">
        <v>142</v>
      </c>
      <c r="N2946" s="12" t="s">
        <v>34</v>
      </c>
      <c r="O2946" s="12" t="s">
        <v>200</v>
      </c>
      <c r="P2946" s="12" t="s">
        <v>63</v>
      </c>
      <c r="Q2946" s="7" t="str">
        <f t="shared" ref="Q2946:Q3009" si="139">"("&amp;A2946&amp;","&amp;B2946&amp;",'"&amp;TEXT(C2946,"éééé.hh.nn")&amp;"',"&amp;L2946&amp;","&amp;M2946&amp;","&amp;N2946&amp;","&amp;O2946&amp;","&amp;P2946&amp;",0)"&amp;IF(P2947&lt;&gt;0,",","")</f>
        <v>(2013,32,'2013.08.10',42,44,49,70,78,0),</v>
      </c>
      <c r="R2946" s="7" t="str">
        <f t="shared" si="138"/>
        <v>(2013,32,'2013.08.10',42,44,49,70,78),</v>
      </c>
    </row>
    <row r="2947" spans="1:18" x14ac:dyDescent="0.25">
      <c r="A2947" s="7" t="s">
        <v>2159</v>
      </c>
      <c r="B2947" s="8" t="s">
        <v>20</v>
      </c>
      <c r="C2947" s="10">
        <f t="shared" ref="C2947:C3010" si="140">+C2946+7</f>
        <v>41503</v>
      </c>
      <c r="D2947" t="s">
        <v>11</v>
      </c>
      <c r="E2947" t="s">
        <v>12</v>
      </c>
      <c r="F2947" t="s">
        <v>47</v>
      </c>
      <c r="G2947" t="s">
        <v>2236</v>
      </c>
      <c r="H2947" t="s">
        <v>2237</v>
      </c>
      <c r="I2947" t="s">
        <v>2238</v>
      </c>
      <c r="J2947" t="s">
        <v>2239</v>
      </c>
      <c r="K2947" t="s">
        <v>2146</v>
      </c>
      <c r="L2947" s="12" t="s">
        <v>31</v>
      </c>
      <c r="M2947" s="12" t="s">
        <v>152</v>
      </c>
      <c r="N2947" s="12" t="s">
        <v>71</v>
      </c>
      <c r="O2947" s="12" t="s">
        <v>134</v>
      </c>
      <c r="P2947" s="12" t="s">
        <v>150</v>
      </c>
      <c r="Q2947" s="7" t="str">
        <f t="shared" si="139"/>
        <v>(2013,33,'2013.08.17',12,25,31,56,57,0),</v>
      </c>
      <c r="R2947" s="7" t="str">
        <f t="shared" ref="R2947:R3010" si="141">IF(TRIM(P2947)="","","("&amp;A2947&amp;","&amp;B2947&amp;",'"&amp;TEXT(C2947,"éééé.hh.nn")&amp;"',"&amp;L2947&amp;","&amp;M2947&amp;","&amp;N2947&amp;","&amp;O2947&amp;","&amp;P2947&amp;")"&amp;IF(P2948=0,";",","))</f>
        <v>(2013,33,'2013.08.17',12,25,31,56,57),</v>
      </c>
    </row>
    <row r="2948" spans="1:18" x14ac:dyDescent="0.25">
      <c r="A2948" s="7" t="s">
        <v>2159</v>
      </c>
      <c r="B2948" s="8" t="s">
        <v>25</v>
      </c>
      <c r="C2948" s="10">
        <f t="shared" si="140"/>
        <v>41510</v>
      </c>
      <c r="D2948" t="s">
        <v>11</v>
      </c>
      <c r="E2948" t="s">
        <v>12</v>
      </c>
      <c r="F2948" t="s">
        <v>175</v>
      </c>
      <c r="G2948" t="s">
        <v>2232</v>
      </c>
      <c r="H2948" t="s">
        <v>2233</v>
      </c>
      <c r="I2948" t="s">
        <v>2234</v>
      </c>
      <c r="J2948" t="s">
        <v>2235</v>
      </c>
      <c r="K2948" t="s">
        <v>1123</v>
      </c>
      <c r="L2948" s="12" t="s">
        <v>62</v>
      </c>
      <c r="M2948" s="12" t="s">
        <v>31</v>
      </c>
      <c r="N2948" s="12" t="s">
        <v>32</v>
      </c>
      <c r="O2948" s="12" t="s">
        <v>24</v>
      </c>
      <c r="P2948" s="12" t="s">
        <v>92</v>
      </c>
      <c r="Q2948" s="7" t="str">
        <f t="shared" si="139"/>
        <v>(2013,34,'2013.08.24',10,12,22,39,68,0),</v>
      </c>
      <c r="R2948" s="7" t="str">
        <f t="shared" si="141"/>
        <v>(2013,34,'2013.08.24',10,12,22,39,68),</v>
      </c>
    </row>
    <row r="2949" spans="1:18" x14ac:dyDescent="0.25">
      <c r="A2949" s="7" t="s">
        <v>2159</v>
      </c>
      <c r="B2949" s="8" t="s">
        <v>64</v>
      </c>
      <c r="C2949" s="10">
        <f t="shared" si="140"/>
        <v>41517</v>
      </c>
      <c r="D2949" t="s">
        <v>11</v>
      </c>
      <c r="E2949" t="s">
        <v>12</v>
      </c>
      <c r="F2949" t="s">
        <v>201</v>
      </c>
      <c r="G2949" t="s">
        <v>2228</v>
      </c>
      <c r="H2949" t="s">
        <v>2229</v>
      </c>
      <c r="I2949" t="s">
        <v>2230</v>
      </c>
      <c r="J2949" t="s">
        <v>2231</v>
      </c>
      <c r="K2949" t="s">
        <v>1277</v>
      </c>
      <c r="L2949" s="12" t="s">
        <v>54</v>
      </c>
      <c r="M2949" s="12" t="s">
        <v>33</v>
      </c>
      <c r="N2949" s="12" t="s">
        <v>22</v>
      </c>
      <c r="O2949" s="12" t="s">
        <v>82</v>
      </c>
      <c r="P2949" s="12" t="s">
        <v>35</v>
      </c>
      <c r="Q2949" s="7" t="str">
        <f t="shared" si="139"/>
        <v>(2013,35,'2013.08.31',15,24,48,59,65,0),</v>
      </c>
      <c r="R2949" s="7" t="str">
        <f t="shared" si="141"/>
        <v>(2013,35,'2013.08.31',15,24,48,59,65),</v>
      </c>
    </row>
    <row r="2950" spans="1:18" x14ac:dyDescent="0.25">
      <c r="A2950" s="7" t="s">
        <v>2159</v>
      </c>
      <c r="B2950" s="8" t="s">
        <v>21</v>
      </c>
      <c r="C2950" s="10">
        <f t="shared" si="140"/>
        <v>41524</v>
      </c>
      <c r="D2950" t="s">
        <v>11</v>
      </c>
      <c r="E2950" t="s">
        <v>12</v>
      </c>
      <c r="F2950" t="s">
        <v>25</v>
      </c>
      <c r="G2950" t="s">
        <v>2224</v>
      </c>
      <c r="H2950" t="s">
        <v>2225</v>
      </c>
      <c r="I2950" t="s">
        <v>2226</v>
      </c>
      <c r="J2950" t="s">
        <v>2227</v>
      </c>
      <c r="K2950" t="s">
        <v>355</v>
      </c>
      <c r="L2950" s="12" t="s">
        <v>74</v>
      </c>
      <c r="M2950" s="12" t="s">
        <v>233</v>
      </c>
      <c r="N2950" s="12" t="s">
        <v>143</v>
      </c>
      <c r="O2950" s="12" t="s">
        <v>622</v>
      </c>
      <c r="P2950" s="12" t="s">
        <v>269</v>
      </c>
      <c r="Q2950" s="7" t="str">
        <f t="shared" si="139"/>
        <v>(2013,36,'2013.09.07',26,66,77,82,87,0),</v>
      </c>
      <c r="R2950" s="7" t="str">
        <f t="shared" si="141"/>
        <v>(2013,36,'2013.09.07',26,66,77,82,87),</v>
      </c>
    </row>
    <row r="2951" spans="1:18" x14ac:dyDescent="0.25">
      <c r="A2951" s="7" t="s">
        <v>2159</v>
      </c>
      <c r="B2951" s="8" t="s">
        <v>46</v>
      </c>
      <c r="C2951" s="10">
        <f t="shared" si="140"/>
        <v>41531</v>
      </c>
      <c r="D2951" t="s">
        <v>11</v>
      </c>
      <c r="E2951" t="s">
        <v>12</v>
      </c>
      <c r="F2951" t="s">
        <v>21</v>
      </c>
      <c r="G2951" t="s">
        <v>2220</v>
      </c>
      <c r="H2951" t="s">
        <v>2221</v>
      </c>
      <c r="I2951" t="s">
        <v>2222</v>
      </c>
      <c r="J2951" t="s">
        <v>2223</v>
      </c>
      <c r="K2951" t="s">
        <v>805</v>
      </c>
      <c r="L2951" s="12" t="s">
        <v>108</v>
      </c>
      <c r="M2951" s="12" t="s">
        <v>54</v>
      </c>
      <c r="N2951" s="12" t="s">
        <v>22</v>
      </c>
      <c r="O2951" s="12" t="s">
        <v>199</v>
      </c>
      <c r="P2951" s="12" t="s">
        <v>124</v>
      </c>
      <c r="Q2951" s="7" t="str">
        <f t="shared" si="139"/>
        <v>(2013,37,'2013.09.14',1,15,48,53,62,0),</v>
      </c>
      <c r="R2951" s="7" t="str">
        <f t="shared" si="141"/>
        <v>(2013,37,'2013.09.14',1,15,48,53,62),</v>
      </c>
    </row>
    <row r="2952" spans="1:18" x14ac:dyDescent="0.25">
      <c r="A2952" s="7" t="s">
        <v>2159</v>
      </c>
      <c r="B2952" s="8" t="s">
        <v>36</v>
      </c>
      <c r="C2952" s="10">
        <f t="shared" si="140"/>
        <v>41538</v>
      </c>
      <c r="D2952" t="s">
        <v>108</v>
      </c>
      <c r="E2952" t="s">
        <v>2215</v>
      </c>
      <c r="F2952" t="s">
        <v>23</v>
      </c>
      <c r="G2952" t="s">
        <v>2216</v>
      </c>
      <c r="H2952" t="s">
        <v>2217</v>
      </c>
      <c r="I2952" t="s">
        <v>2218</v>
      </c>
      <c r="J2952" t="s">
        <v>2219</v>
      </c>
      <c r="K2952" t="s">
        <v>1277</v>
      </c>
      <c r="L2952" s="12" t="s">
        <v>90</v>
      </c>
      <c r="M2952" s="12" t="s">
        <v>44</v>
      </c>
      <c r="N2952" s="12" t="s">
        <v>200</v>
      </c>
      <c r="O2952" s="12" t="s">
        <v>143</v>
      </c>
      <c r="P2952" s="12" t="s">
        <v>125</v>
      </c>
      <c r="Q2952" s="7" t="str">
        <f t="shared" si="139"/>
        <v>(2013,38,'2013.09.21',17,21,70,77,83,0),</v>
      </c>
      <c r="R2952" s="7" t="str">
        <f t="shared" si="141"/>
        <v>(2013,38,'2013.09.21',17,21,70,77,83),</v>
      </c>
    </row>
    <row r="2953" spans="1:18" x14ac:dyDescent="0.25">
      <c r="A2953" s="7" t="s">
        <v>2159</v>
      </c>
      <c r="B2953" s="8" t="s">
        <v>24</v>
      </c>
      <c r="C2953" s="10">
        <f t="shared" si="140"/>
        <v>41545</v>
      </c>
      <c r="D2953" t="s">
        <v>11</v>
      </c>
      <c r="E2953" t="s">
        <v>12</v>
      </c>
      <c r="F2953" t="s">
        <v>44</v>
      </c>
      <c r="G2953" t="s">
        <v>2211</v>
      </c>
      <c r="H2953" t="s">
        <v>2212</v>
      </c>
      <c r="I2953" t="s">
        <v>2213</v>
      </c>
      <c r="J2953" t="s">
        <v>2214</v>
      </c>
      <c r="K2953" t="s">
        <v>1228</v>
      </c>
      <c r="L2953" s="12" t="s">
        <v>89</v>
      </c>
      <c r="M2953" s="12" t="s">
        <v>71</v>
      </c>
      <c r="N2953" s="12" t="s">
        <v>214</v>
      </c>
      <c r="O2953" s="12" t="s">
        <v>73</v>
      </c>
      <c r="P2953" s="12" t="s">
        <v>308</v>
      </c>
      <c r="Q2953" s="7" t="str">
        <f t="shared" si="139"/>
        <v>(2013,39,'2013.09.28',5,31,64,76,86,0),</v>
      </c>
      <c r="R2953" s="7" t="str">
        <f t="shared" si="141"/>
        <v>(2013,39,'2013.09.28',5,31,64,76,86),</v>
      </c>
    </row>
    <row r="2954" spans="1:18" x14ac:dyDescent="0.25">
      <c r="A2954" s="7" t="s">
        <v>2159</v>
      </c>
      <c r="B2954" s="8" t="s">
        <v>10</v>
      </c>
      <c r="C2954" s="10">
        <f t="shared" si="140"/>
        <v>41552</v>
      </c>
      <c r="D2954" t="s">
        <v>11</v>
      </c>
      <c r="E2954" t="s">
        <v>12</v>
      </c>
      <c r="F2954" t="s">
        <v>13</v>
      </c>
      <c r="G2954" t="s">
        <v>2207</v>
      </c>
      <c r="H2954" t="s">
        <v>2208</v>
      </c>
      <c r="I2954" t="s">
        <v>2209</v>
      </c>
      <c r="J2954" t="s">
        <v>2210</v>
      </c>
      <c r="K2954" t="s">
        <v>1916</v>
      </c>
      <c r="L2954" s="12" t="s">
        <v>53</v>
      </c>
      <c r="M2954" s="12" t="s">
        <v>152</v>
      </c>
      <c r="N2954" s="12" t="s">
        <v>25</v>
      </c>
      <c r="O2954" s="12" t="s">
        <v>46</v>
      </c>
      <c r="P2954" s="12" t="s">
        <v>192</v>
      </c>
      <c r="Q2954" s="7" t="str">
        <f t="shared" si="139"/>
        <v>(2013,40,'2013.10.05',7,25,34,37,46,0),</v>
      </c>
      <c r="R2954" s="7" t="str">
        <f t="shared" si="141"/>
        <v>(2013,40,'2013.10.05',7,25,34,37,46),</v>
      </c>
    </row>
    <row r="2955" spans="1:18" x14ac:dyDescent="0.25">
      <c r="A2955" s="7" t="s">
        <v>2159</v>
      </c>
      <c r="B2955" s="8" t="s">
        <v>13</v>
      </c>
      <c r="C2955" s="10">
        <f t="shared" si="140"/>
        <v>41559</v>
      </c>
      <c r="D2955" t="s">
        <v>11</v>
      </c>
      <c r="E2955" t="s">
        <v>12</v>
      </c>
      <c r="F2955" t="s">
        <v>43</v>
      </c>
      <c r="G2955" t="s">
        <v>2203</v>
      </c>
      <c r="H2955" t="s">
        <v>2204</v>
      </c>
      <c r="I2955" t="s">
        <v>2205</v>
      </c>
      <c r="J2955" t="s">
        <v>2206</v>
      </c>
      <c r="K2955" t="s">
        <v>191</v>
      </c>
      <c r="L2955" s="12" t="s">
        <v>107</v>
      </c>
      <c r="M2955" s="12" t="s">
        <v>71</v>
      </c>
      <c r="N2955" s="12" t="s">
        <v>64</v>
      </c>
      <c r="O2955" s="12" t="s">
        <v>45</v>
      </c>
      <c r="P2955" s="12" t="s">
        <v>123</v>
      </c>
      <c r="Q2955" s="7" t="str">
        <f t="shared" si="139"/>
        <v>(2013,41,'2013.10.12',30,31,35,43,54,0),</v>
      </c>
      <c r="R2955" s="7" t="str">
        <f t="shared" si="141"/>
        <v>(2013,41,'2013.10.12',30,31,35,43,54),</v>
      </c>
    </row>
    <row r="2956" spans="1:18" x14ac:dyDescent="0.25">
      <c r="A2956" s="7" t="s">
        <v>2159</v>
      </c>
      <c r="B2956" s="8" t="s">
        <v>98</v>
      </c>
      <c r="C2956" s="10">
        <f t="shared" si="140"/>
        <v>41566</v>
      </c>
      <c r="D2956" t="s">
        <v>11</v>
      </c>
      <c r="E2956" t="s">
        <v>12</v>
      </c>
      <c r="F2956" t="s">
        <v>34</v>
      </c>
      <c r="G2956" t="s">
        <v>2200</v>
      </c>
      <c r="H2956" t="s">
        <v>1208</v>
      </c>
      <c r="I2956" t="s">
        <v>2201</v>
      </c>
      <c r="J2956" t="s">
        <v>2202</v>
      </c>
      <c r="K2956" t="s">
        <v>2146</v>
      </c>
      <c r="L2956" s="12" t="s">
        <v>198</v>
      </c>
      <c r="M2956" s="12" t="s">
        <v>90</v>
      </c>
      <c r="N2956" s="12" t="s">
        <v>47</v>
      </c>
      <c r="O2956" s="12" t="s">
        <v>201</v>
      </c>
      <c r="P2956" s="12" t="s">
        <v>468</v>
      </c>
      <c r="Q2956" s="7" t="str">
        <f t="shared" si="139"/>
        <v>(2013,42,'2013.10.19',9,17,69,72,85,0),</v>
      </c>
      <c r="R2956" s="7" t="str">
        <f t="shared" si="141"/>
        <v>(2013,42,'2013.10.19',9,17,69,72,85),</v>
      </c>
    </row>
    <row r="2957" spans="1:18" x14ac:dyDescent="0.25">
      <c r="A2957" s="7" t="s">
        <v>2159</v>
      </c>
      <c r="B2957" s="8" t="s">
        <v>45</v>
      </c>
      <c r="C2957" s="10">
        <f t="shared" si="140"/>
        <v>41573</v>
      </c>
      <c r="D2957" t="s">
        <v>11</v>
      </c>
      <c r="E2957" t="s">
        <v>12</v>
      </c>
      <c r="F2957" t="s">
        <v>64</v>
      </c>
      <c r="G2957" t="s">
        <v>2196</v>
      </c>
      <c r="H2957" t="s">
        <v>2197</v>
      </c>
      <c r="I2957" t="s">
        <v>2198</v>
      </c>
      <c r="J2957" t="s">
        <v>2199</v>
      </c>
      <c r="K2957" t="s">
        <v>1201</v>
      </c>
      <c r="L2957" s="12" t="s">
        <v>53</v>
      </c>
      <c r="M2957" s="12" t="s">
        <v>71</v>
      </c>
      <c r="N2957" s="12" t="s">
        <v>21</v>
      </c>
      <c r="O2957" s="12" t="s">
        <v>22</v>
      </c>
      <c r="P2957" s="12" t="s">
        <v>233</v>
      </c>
      <c r="Q2957" s="7" t="str">
        <f t="shared" si="139"/>
        <v>(2013,43,'2013.10.26',7,31,36,48,66,0),</v>
      </c>
      <c r="R2957" s="7" t="str">
        <f t="shared" si="141"/>
        <v>(2013,43,'2013.10.26',7,31,36,48,66),</v>
      </c>
    </row>
    <row r="2958" spans="1:18" x14ac:dyDescent="0.25">
      <c r="A2958" s="7" t="s">
        <v>2159</v>
      </c>
      <c r="B2958" s="8" t="s">
        <v>142</v>
      </c>
      <c r="C2958" s="10">
        <f t="shared" si="140"/>
        <v>41580</v>
      </c>
      <c r="D2958" t="s">
        <v>11</v>
      </c>
      <c r="E2958" t="s">
        <v>12</v>
      </c>
      <c r="F2958" t="s">
        <v>127</v>
      </c>
      <c r="G2958" t="s">
        <v>2193</v>
      </c>
      <c r="H2958" t="s">
        <v>2194</v>
      </c>
      <c r="I2958" t="s">
        <v>2191</v>
      </c>
      <c r="J2958" t="s">
        <v>2195</v>
      </c>
      <c r="K2958" t="s">
        <v>285</v>
      </c>
      <c r="L2958" s="12" t="s">
        <v>115</v>
      </c>
      <c r="M2958" s="12" t="s">
        <v>45</v>
      </c>
      <c r="N2958" s="12" t="s">
        <v>142</v>
      </c>
      <c r="O2958" s="12" t="s">
        <v>192</v>
      </c>
      <c r="P2958" s="12" t="s">
        <v>175</v>
      </c>
      <c r="Q2958" s="7" t="str">
        <f t="shared" si="139"/>
        <v>(2013,44,'2013.11.02',20,43,44,46,55,0),</v>
      </c>
      <c r="R2958" s="7" t="str">
        <f t="shared" si="141"/>
        <v>(2013,44,'2013.11.02',20,43,44,46,55),</v>
      </c>
    </row>
    <row r="2959" spans="1:18" x14ac:dyDescent="0.25">
      <c r="A2959" s="7" t="s">
        <v>2159</v>
      </c>
      <c r="B2959" s="8" t="s">
        <v>133</v>
      </c>
      <c r="C2959" s="10">
        <f t="shared" si="140"/>
        <v>41587</v>
      </c>
      <c r="D2959" t="s">
        <v>11</v>
      </c>
      <c r="E2959" t="s">
        <v>12</v>
      </c>
      <c r="F2959" t="s">
        <v>54</v>
      </c>
      <c r="G2959" t="s">
        <v>2189</v>
      </c>
      <c r="H2959" t="s">
        <v>2190</v>
      </c>
      <c r="I2959" t="s">
        <v>2191</v>
      </c>
      <c r="J2959" t="s">
        <v>2192</v>
      </c>
      <c r="K2959" t="s">
        <v>88</v>
      </c>
      <c r="L2959" s="12" t="s">
        <v>83</v>
      </c>
      <c r="M2959" s="12" t="s">
        <v>82</v>
      </c>
      <c r="N2959" s="12" t="s">
        <v>91</v>
      </c>
      <c r="O2959" s="12" t="s">
        <v>245</v>
      </c>
      <c r="P2959" s="12" t="s">
        <v>301</v>
      </c>
      <c r="Q2959" s="7" t="str">
        <f t="shared" si="139"/>
        <v>(2013,45,'2013.11.09',11,59,61,74,80,0),</v>
      </c>
      <c r="R2959" s="7" t="str">
        <f t="shared" si="141"/>
        <v>(2013,45,'2013.11.09',11,59,61,74,80),</v>
      </c>
    </row>
    <row r="2960" spans="1:18" x14ac:dyDescent="0.25">
      <c r="A2960" s="7" t="s">
        <v>2159</v>
      </c>
      <c r="B2960" s="8" t="s">
        <v>192</v>
      </c>
      <c r="C2960" s="10">
        <f t="shared" si="140"/>
        <v>41594</v>
      </c>
      <c r="D2960" t="s">
        <v>11</v>
      </c>
      <c r="E2960" t="s">
        <v>12</v>
      </c>
      <c r="F2960" t="s">
        <v>22</v>
      </c>
      <c r="G2960" t="s">
        <v>2185</v>
      </c>
      <c r="H2960" t="s">
        <v>2186</v>
      </c>
      <c r="I2960" t="s">
        <v>2187</v>
      </c>
      <c r="J2960" t="s">
        <v>2188</v>
      </c>
      <c r="K2960" t="s">
        <v>1095</v>
      </c>
      <c r="L2960" s="12" t="s">
        <v>270</v>
      </c>
      <c r="M2960" s="12" t="s">
        <v>65</v>
      </c>
      <c r="N2960" s="12" t="s">
        <v>25</v>
      </c>
      <c r="O2960" s="12" t="s">
        <v>24</v>
      </c>
      <c r="P2960" s="12" t="s">
        <v>122</v>
      </c>
      <c r="Q2960" s="7" t="str">
        <f t="shared" si="139"/>
        <v>(2013,46,'2013.11.16',6,13,34,39,51,0),</v>
      </c>
      <c r="R2960" s="7" t="str">
        <f t="shared" si="141"/>
        <v>(2013,46,'2013.11.16',6,13,34,39,51),</v>
      </c>
    </row>
    <row r="2961" spans="1:18" x14ac:dyDescent="0.25">
      <c r="A2961" s="7" t="s">
        <v>2159</v>
      </c>
      <c r="B2961" s="8" t="s">
        <v>81</v>
      </c>
      <c r="C2961" s="10">
        <f t="shared" si="140"/>
        <v>41601</v>
      </c>
      <c r="D2961" t="s">
        <v>11</v>
      </c>
      <c r="E2961" t="s">
        <v>12</v>
      </c>
      <c r="F2961" t="s">
        <v>71</v>
      </c>
      <c r="G2961" t="s">
        <v>2181</v>
      </c>
      <c r="H2961" t="s">
        <v>2182</v>
      </c>
      <c r="I2961" t="s">
        <v>2183</v>
      </c>
      <c r="J2961" t="s">
        <v>2184</v>
      </c>
      <c r="K2961" t="s">
        <v>1998</v>
      </c>
      <c r="L2961" s="12" t="s">
        <v>83</v>
      </c>
      <c r="M2961" s="12" t="s">
        <v>127</v>
      </c>
      <c r="N2961" s="12" t="s">
        <v>46</v>
      </c>
      <c r="O2961" s="12" t="s">
        <v>150</v>
      </c>
      <c r="P2961" s="12" t="s">
        <v>169</v>
      </c>
      <c r="Q2961" s="7" t="str">
        <f t="shared" si="139"/>
        <v>(2013,47,'2013.11.23',11,14,37,57,58,0),</v>
      </c>
      <c r="R2961" s="7" t="str">
        <f t="shared" si="141"/>
        <v>(2013,47,'2013.11.23',11,14,37,57,58),</v>
      </c>
    </row>
    <row r="2962" spans="1:18" x14ac:dyDescent="0.25">
      <c r="A2962" s="7" t="s">
        <v>2159</v>
      </c>
      <c r="B2962" s="8" t="s">
        <v>22</v>
      </c>
      <c r="C2962" s="10">
        <f t="shared" si="140"/>
        <v>41608</v>
      </c>
      <c r="D2962" t="s">
        <v>11</v>
      </c>
      <c r="E2962" t="s">
        <v>12</v>
      </c>
      <c r="F2962" t="s">
        <v>107</v>
      </c>
      <c r="G2962" t="s">
        <v>2177</v>
      </c>
      <c r="H2962" t="s">
        <v>2178</v>
      </c>
      <c r="I2962" t="s">
        <v>2179</v>
      </c>
      <c r="J2962" t="s">
        <v>2180</v>
      </c>
      <c r="K2962" t="s">
        <v>1680</v>
      </c>
      <c r="L2962" s="12" t="s">
        <v>31</v>
      </c>
      <c r="M2962" s="12" t="s">
        <v>107</v>
      </c>
      <c r="N2962" s="12" t="s">
        <v>122</v>
      </c>
      <c r="O2962" s="12" t="s">
        <v>233</v>
      </c>
      <c r="P2962" s="12" t="s">
        <v>239</v>
      </c>
      <c r="Q2962" s="7" t="str">
        <f t="shared" si="139"/>
        <v>(2013,48,'2013.11.30',12,30,51,66,73,0),</v>
      </c>
      <c r="R2962" s="7" t="str">
        <f t="shared" si="141"/>
        <v>(2013,48,'2013.11.30',12,30,51,66,73),</v>
      </c>
    </row>
    <row r="2963" spans="1:18" x14ac:dyDescent="0.25">
      <c r="A2963" s="7" t="s">
        <v>2159</v>
      </c>
      <c r="B2963" s="8" t="s">
        <v>34</v>
      </c>
      <c r="C2963" s="10">
        <f t="shared" si="140"/>
        <v>41615</v>
      </c>
      <c r="D2963" t="s">
        <v>11</v>
      </c>
      <c r="E2963" t="s">
        <v>12</v>
      </c>
      <c r="F2963" t="s">
        <v>163</v>
      </c>
      <c r="G2963" t="s">
        <v>2173</v>
      </c>
      <c r="H2963" t="s">
        <v>2174</v>
      </c>
      <c r="I2963" t="s">
        <v>2175</v>
      </c>
      <c r="J2963" t="s">
        <v>2176</v>
      </c>
      <c r="K2963" t="s">
        <v>825</v>
      </c>
      <c r="L2963" s="12" t="s">
        <v>232</v>
      </c>
      <c r="M2963" s="12" t="s">
        <v>33</v>
      </c>
      <c r="N2963" s="12" t="s">
        <v>122</v>
      </c>
      <c r="O2963" s="12" t="s">
        <v>308</v>
      </c>
      <c r="P2963" s="12" t="s">
        <v>269</v>
      </c>
      <c r="Q2963" s="7" t="str">
        <f t="shared" si="139"/>
        <v>(2013,49,'2013.12.07',8,24,51,86,87,0),</v>
      </c>
      <c r="R2963" s="7" t="str">
        <f t="shared" si="141"/>
        <v>(2013,49,'2013.12.07',8,24,51,86,87),</v>
      </c>
    </row>
    <row r="2964" spans="1:18" x14ac:dyDescent="0.25">
      <c r="A2964" s="7" t="s">
        <v>2159</v>
      </c>
      <c r="B2964" s="8" t="s">
        <v>105</v>
      </c>
      <c r="C2964" s="10">
        <f t="shared" si="140"/>
        <v>41622</v>
      </c>
      <c r="D2964" t="s">
        <v>11</v>
      </c>
      <c r="E2964" t="s">
        <v>12</v>
      </c>
      <c r="F2964" t="s">
        <v>107</v>
      </c>
      <c r="G2964" t="s">
        <v>2169</v>
      </c>
      <c r="H2964" t="s">
        <v>2170</v>
      </c>
      <c r="I2964" t="s">
        <v>2171</v>
      </c>
      <c r="J2964" t="s">
        <v>2172</v>
      </c>
      <c r="K2964" t="s">
        <v>403</v>
      </c>
      <c r="L2964" s="12" t="s">
        <v>45</v>
      </c>
      <c r="M2964" s="12" t="s">
        <v>105</v>
      </c>
      <c r="N2964" s="12" t="s">
        <v>233</v>
      </c>
      <c r="O2964" s="12" t="s">
        <v>63</v>
      </c>
      <c r="P2964" s="12" t="s">
        <v>301</v>
      </c>
      <c r="Q2964" s="7" t="str">
        <f t="shared" si="139"/>
        <v>(2013,50,'2013.12.14',43,50,66,78,80,0),</v>
      </c>
      <c r="R2964" s="7" t="str">
        <f t="shared" si="141"/>
        <v>(2013,50,'2013.12.14',43,50,66,78,80),</v>
      </c>
    </row>
    <row r="2965" spans="1:18" x14ac:dyDescent="0.25">
      <c r="A2965" s="7" t="s">
        <v>2159</v>
      </c>
      <c r="B2965" s="8" t="s">
        <v>122</v>
      </c>
      <c r="C2965" s="10">
        <f t="shared" si="140"/>
        <v>41629</v>
      </c>
      <c r="D2965" t="s">
        <v>11</v>
      </c>
      <c r="E2965" t="s">
        <v>12</v>
      </c>
      <c r="F2965" t="s">
        <v>214</v>
      </c>
      <c r="G2965" t="s">
        <v>2165</v>
      </c>
      <c r="H2965" t="s">
        <v>2166</v>
      </c>
      <c r="I2965" t="s">
        <v>2167</v>
      </c>
      <c r="J2965" t="s">
        <v>2168</v>
      </c>
      <c r="K2965" t="s">
        <v>1201</v>
      </c>
      <c r="L2965" s="12" t="s">
        <v>89</v>
      </c>
      <c r="M2965" s="12" t="s">
        <v>54</v>
      </c>
      <c r="N2965" s="12" t="s">
        <v>36</v>
      </c>
      <c r="O2965" s="12" t="s">
        <v>122</v>
      </c>
      <c r="P2965" s="12" t="s">
        <v>73</v>
      </c>
      <c r="Q2965" s="7" t="str">
        <f t="shared" si="139"/>
        <v>(2013,51,'2013.12.21',5,15,38,51,76,0),</v>
      </c>
      <c r="R2965" s="7" t="str">
        <f t="shared" si="141"/>
        <v>(2013,51,'2013.12.21',5,15,38,51,76),</v>
      </c>
    </row>
    <row r="2966" spans="1:18" x14ac:dyDescent="0.25">
      <c r="A2966" s="7" t="s">
        <v>2159</v>
      </c>
      <c r="B2966" s="8" t="s">
        <v>99</v>
      </c>
      <c r="C2966" s="10">
        <f t="shared" si="140"/>
        <v>41636</v>
      </c>
      <c r="D2966" t="s">
        <v>11</v>
      </c>
      <c r="E2966" t="s">
        <v>12</v>
      </c>
      <c r="F2966" t="s">
        <v>2160</v>
      </c>
      <c r="G2966" t="s">
        <v>2161</v>
      </c>
      <c r="H2966" t="s">
        <v>2162</v>
      </c>
      <c r="I2966" t="s">
        <v>2163</v>
      </c>
      <c r="J2966" t="s">
        <v>2164</v>
      </c>
      <c r="K2966" t="s">
        <v>540</v>
      </c>
      <c r="L2966" s="12" t="s">
        <v>232</v>
      </c>
      <c r="M2966" s="12" t="s">
        <v>127</v>
      </c>
      <c r="N2966" s="12" t="s">
        <v>33</v>
      </c>
      <c r="O2966" s="12" t="s">
        <v>80</v>
      </c>
      <c r="P2966" s="12" t="s">
        <v>123</v>
      </c>
      <c r="Q2966" s="7" t="str">
        <f t="shared" si="139"/>
        <v>(2013,52,'2013.12.28',8,14,24,32,54,0),</v>
      </c>
      <c r="R2966" s="7" t="str">
        <f t="shared" si="141"/>
        <v>(2013,52,'2013.12.28',8,14,24,32,54),</v>
      </c>
    </row>
    <row r="2967" spans="1:18" x14ac:dyDescent="0.25">
      <c r="A2967" s="7" t="s">
        <v>1938</v>
      </c>
      <c r="B2967" s="8" t="s">
        <v>108</v>
      </c>
      <c r="C2967" s="10">
        <f t="shared" si="140"/>
        <v>41643</v>
      </c>
      <c r="D2967" t="s">
        <v>11</v>
      </c>
      <c r="E2967" t="s">
        <v>12</v>
      </c>
      <c r="F2967" t="s">
        <v>55</v>
      </c>
      <c r="G2967" t="s">
        <v>2155</v>
      </c>
      <c r="H2967" t="s">
        <v>2156</v>
      </c>
      <c r="I2967" t="s">
        <v>2157</v>
      </c>
      <c r="J2967" t="s">
        <v>2158</v>
      </c>
      <c r="K2967" t="s">
        <v>231</v>
      </c>
      <c r="L2967" s="12" t="s">
        <v>33</v>
      </c>
      <c r="M2967" s="12" t="s">
        <v>98</v>
      </c>
      <c r="N2967" s="12" t="s">
        <v>192</v>
      </c>
      <c r="O2967" s="12" t="s">
        <v>81</v>
      </c>
      <c r="P2967" s="12" t="s">
        <v>215</v>
      </c>
      <c r="Q2967" s="7" t="str">
        <f t="shared" si="139"/>
        <v>(2014,1,'2014.01.04',24,42,46,47,81,0),</v>
      </c>
      <c r="R2967" s="7" t="str">
        <f t="shared" si="141"/>
        <v>(2014,1,'2014.01.04',24,42,46,47,81),</v>
      </c>
    </row>
    <row r="2968" spans="1:18" x14ac:dyDescent="0.25">
      <c r="A2968" s="7" t="s">
        <v>1938</v>
      </c>
      <c r="B2968" s="8" t="s">
        <v>207</v>
      </c>
      <c r="C2968" s="10">
        <f t="shared" si="140"/>
        <v>41650</v>
      </c>
      <c r="D2968" t="s">
        <v>11</v>
      </c>
      <c r="E2968" t="s">
        <v>12</v>
      </c>
      <c r="F2968" t="s">
        <v>81</v>
      </c>
      <c r="G2968" t="s">
        <v>2151</v>
      </c>
      <c r="H2968" t="s">
        <v>2152</v>
      </c>
      <c r="I2968" t="s">
        <v>2153</v>
      </c>
      <c r="J2968" t="s">
        <v>2154</v>
      </c>
      <c r="K2968" t="s">
        <v>1081</v>
      </c>
      <c r="L2968" s="12" t="s">
        <v>108</v>
      </c>
      <c r="M2968" s="12" t="s">
        <v>31</v>
      </c>
      <c r="N2968" s="12" t="s">
        <v>98</v>
      </c>
      <c r="O2968" s="12" t="s">
        <v>56</v>
      </c>
      <c r="P2968" s="12" t="s">
        <v>468</v>
      </c>
      <c r="Q2968" s="7" t="str">
        <f t="shared" si="139"/>
        <v>(2014,2,'2014.01.11',1,12,42,71,85,0),</v>
      </c>
      <c r="R2968" s="7" t="str">
        <f t="shared" si="141"/>
        <v>(2014,2,'2014.01.11',1,12,42,71,85),</v>
      </c>
    </row>
    <row r="2969" spans="1:18" x14ac:dyDescent="0.25">
      <c r="A2969" s="7" t="s">
        <v>1938</v>
      </c>
      <c r="B2969" s="8" t="s">
        <v>42</v>
      </c>
      <c r="C2969" s="10">
        <f t="shared" si="140"/>
        <v>41657</v>
      </c>
      <c r="D2969" t="s">
        <v>11</v>
      </c>
      <c r="E2969" t="s">
        <v>12</v>
      </c>
      <c r="F2969" t="s">
        <v>45</v>
      </c>
      <c r="G2969" t="s">
        <v>2147</v>
      </c>
      <c r="H2969" t="s">
        <v>2148</v>
      </c>
      <c r="I2969" t="s">
        <v>2149</v>
      </c>
      <c r="J2969" t="s">
        <v>2150</v>
      </c>
      <c r="K2969" t="s">
        <v>988</v>
      </c>
      <c r="L2969" s="12" t="s">
        <v>36</v>
      </c>
      <c r="M2969" s="12" t="s">
        <v>45</v>
      </c>
      <c r="N2969" s="12" t="s">
        <v>22</v>
      </c>
      <c r="O2969" s="12" t="s">
        <v>150</v>
      </c>
      <c r="P2969" s="12" t="s">
        <v>245</v>
      </c>
      <c r="Q2969" s="7" t="str">
        <f t="shared" si="139"/>
        <v>(2014,3,'2014.01.18',38,43,48,57,74,0),</v>
      </c>
      <c r="R2969" s="7" t="str">
        <f t="shared" si="141"/>
        <v>(2014,3,'2014.01.18',38,43,48,57,74),</v>
      </c>
    </row>
    <row r="2970" spans="1:18" x14ac:dyDescent="0.25">
      <c r="A2970" s="7" t="s">
        <v>1938</v>
      </c>
      <c r="B2970" s="8" t="s">
        <v>168</v>
      </c>
      <c r="C2970" s="10">
        <f t="shared" si="140"/>
        <v>41664</v>
      </c>
      <c r="D2970" t="s">
        <v>11</v>
      </c>
      <c r="E2970" t="s">
        <v>12</v>
      </c>
      <c r="F2970" t="s">
        <v>45</v>
      </c>
      <c r="G2970" t="s">
        <v>2143</v>
      </c>
      <c r="H2970" t="s">
        <v>2144</v>
      </c>
      <c r="I2970" t="s">
        <v>625</v>
      </c>
      <c r="J2970" t="s">
        <v>2145</v>
      </c>
      <c r="K2970" t="s">
        <v>2146</v>
      </c>
      <c r="L2970" s="12" t="s">
        <v>54</v>
      </c>
      <c r="M2970" s="12" t="s">
        <v>19</v>
      </c>
      <c r="N2970" s="12" t="s">
        <v>55</v>
      </c>
      <c r="O2970" s="12" t="s">
        <v>116</v>
      </c>
      <c r="P2970" s="12" t="s">
        <v>24</v>
      </c>
      <c r="Q2970" s="7" t="str">
        <f t="shared" si="139"/>
        <v>(2014,4,'2014.01.25',15,18,19,29,39,0),</v>
      </c>
      <c r="R2970" s="7" t="str">
        <f t="shared" si="141"/>
        <v>(2014,4,'2014.01.25',15,18,19,29,39),</v>
      </c>
    </row>
    <row r="2971" spans="1:18" x14ac:dyDescent="0.25">
      <c r="A2971" s="7" t="s">
        <v>1938</v>
      </c>
      <c r="B2971" s="8" t="s">
        <v>89</v>
      </c>
      <c r="C2971" s="10">
        <f t="shared" si="140"/>
        <v>41671</v>
      </c>
      <c r="D2971" t="s">
        <v>11</v>
      </c>
      <c r="E2971" t="s">
        <v>12</v>
      </c>
      <c r="F2971" t="s">
        <v>10</v>
      </c>
      <c r="G2971" t="s">
        <v>2140</v>
      </c>
      <c r="H2971" t="s">
        <v>2141</v>
      </c>
      <c r="I2971" t="s">
        <v>1879</v>
      </c>
      <c r="J2971" t="s">
        <v>2142</v>
      </c>
      <c r="K2971" t="s">
        <v>231</v>
      </c>
      <c r="L2971" s="12" t="s">
        <v>163</v>
      </c>
      <c r="M2971" s="12" t="s">
        <v>80</v>
      </c>
      <c r="N2971" s="12" t="s">
        <v>46</v>
      </c>
      <c r="O2971" s="12" t="s">
        <v>124</v>
      </c>
      <c r="P2971" s="12" t="s">
        <v>151</v>
      </c>
      <c r="Q2971" s="7" t="str">
        <f t="shared" si="139"/>
        <v>(2014,5,'2014.02.01',23,32,37,62,79,0),</v>
      </c>
      <c r="R2971" s="7" t="str">
        <f t="shared" si="141"/>
        <v>(2014,5,'2014.02.01',23,32,37,62,79),</v>
      </c>
    </row>
    <row r="2972" spans="1:18" x14ac:dyDescent="0.25">
      <c r="A2972" s="7" t="s">
        <v>1938</v>
      </c>
      <c r="B2972" s="8" t="s">
        <v>270</v>
      </c>
      <c r="C2972" s="10">
        <f t="shared" si="140"/>
        <v>41678</v>
      </c>
      <c r="D2972" t="s">
        <v>11</v>
      </c>
      <c r="E2972" t="s">
        <v>12</v>
      </c>
      <c r="F2972" t="s">
        <v>72</v>
      </c>
      <c r="G2972" t="s">
        <v>2136</v>
      </c>
      <c r="H2972" t="s">
        <v>2137</v>
      </c>
      <c r="I2972" t="s">
        <v>2138</v>
      </c>
      <c r="J2972" t="s">
        <v>2139</v>
      </c>
      <c r="K2972" t="s">
        <v>1497</v>
      </c>
      <c r="L2972" s="12" t="s">
        <v>54</v>
      </c>
      <c r="M2972" s="12" t="s">
        <v>24</v>
      </c>
      <c r="N2972" s="12" t="s">
        <v>98</v>
      </c>
      <c r="O2972" s="12" t="s">
        <v>99</v>
      </c>
      <c r="P2972" s="12" t="s">
        <v>175</v>
      </c>
      <c r="Q2972" s="7" t="str">
        <f t="shared" si="139"/>
        <v>(2014,6,'2014.02.08',15,39,42,52,55,0),</v>
      </c>
      <c r="R2972" s="7" t="str">
        <f t="shared" si="141"/>
        <v>(2014,6,'2014.02.08',15,39,42,52,55),</v>
      </c>
    </row>
    <row r="2973" spans="1:18" x14ac:dyDescent="0.25">
      <c r="A2973" s="7" t="s">
        <v>1938</v>
      </c>
      <c r="B2973" s="8" t="s">
        <v>53</v>
      </c>
      <c r="C2973" s="10">
        <f t="shared" si="140"/>
        <v>41685</v>
      </c>
      <c r="D2973" t="s">
        <v>11</v>
      </c>
      <c r="E2973" t="s">
        <v>12</v>
      </c>
      <c r="F2973" t="s">
        <v>2131</v>
      </c>
      <c r="G2973" t="s">
        <v>2132</v>
      </c>
      <c r="H2973" t="s">
        <v>2133</v>
      </c>
      <c r="I2973" t="s">
        <v>2134</v>
      </c>
      <c r="J2973" t="s">
        <v>2135</v>
      </c>
      <c r="K2973" t="s">
        <v>1090</v>
      </c>
      <c r="L2973" s="12" t="s">
        <v>207</v>
      </c>
      <c r="M2973" s="12" t="s">
        <v>62</v>
      </c>
      <c r="N2973" s="12" t="s">
        <v>24</v>
      </c>
      <c r="O2973" s="12" t="s">
        <v>142</v>
      </c>
      <c r="P2973" s="12" t="s">
        <v>92</v>
      </c>
      <c r="Q2973" s="7" t="str">
        <f t="shared" si="139"/>
        <v>(2014,7,'2014.02.15',2,10,39,44,68,0),</v>
      </c>
      <c r="R2973" s="7" t="str">
        <f t="shared" si="141"/>
        <v>(2014,7,'2014.02.15',2,10,39,44,68),</v>
      </c>
    </row>
    <row r="2974" spans="1:18" x14ac:dyDescent="0.25">
      <c r="A2974" s="7" t="s">
        <v>1938</v>
      </c>
      <c r="B2974" s="8" t="s">
        <v>232</v>
      </c>
      <c r="C2974" s="10">
        <f t="shared" si="140"/>
        <v>41692</v>
      </c>
      <c r="D2974" t="s">
        <v>11</v>
      </c>
      <c r="E2974" t="s">
        <v>12</v>
      </c>
      <c r="F2974" t="s">
        <v>135</v>
      </c>
      <c r="G2974" t="s">
        <v>2128</v>
      </c>
      <c r="H2974" t="s">
        <v>2019</v>
      </c>
      <c r="I2974" t="s">
        <v>2129</v>
      </c>
      <c r="J2974" t="s">
        <v>2130</v>
      </c>
      <c r="K2974" t="s">
        <v>599</v>
      </c>
      <c r="L2974" s="12" t="s">
        <v>10</v>
      </c>
      <c r="M2974" s="12" t="s">
        <v>142</v>
      </c>
      <c r="N2974" s="12" t="s">
        <v>124</v>
      </c>
      <c r="O2974" s="12" t="s">
        <v>106</v>
      </c>
      <c r="P2974" s="12" t="s">
        <v>246</v>
      </c>
      <c r="Q2974" s="7" t="str">
        <f t="shared" si="139"/>
        <v>(2014,8,'2014.02.22',40,44,62,75,84,0),</v>
      </c>
      <c r="R2974" s="7" t="str">
        <f t="shared" si="141"/>
        <v>(2014,8,'2014.02.22',40,44,62,75,84),</v>
      </c>
    </row>
    <row r="2975" spans="1:18" x14ac:dyDescent="0.25">
      <c r="A2975" s="7" t="s">
        <v>1938</v>
      </c>
      <c r="B2975" s="8" t="s">
        <v>198</v>
      </c>
      <c r="C2975" s="10">
        <f t="shared" si="140"/>
        <v>41699</v>
      </c>
      <c r="D2975" t="s">
        <v>11</v>
      </c>
      <c r="E2975" t="s">
        <v>12</v>
      </c>
      <c r="F2975" t="s">
        <v>46</v>
      </c>
      <c r="G2975" t="s">
        <v>2124</v>
      </c>
      <c r="H2975" t="s">
        <v>2125</v>
      </c>
      <c r="I2975" t="s">
        <v>2126</v>
      </c>
      <c r="J2975" t="s">
        <v>2127</v>
      </c>
      <c r="K2975" t="s">
        <v>549</v>
      </c>
      <c r="L2975" s="12" t="s">
        <v>42</v>
      </c>
      <c r="M2975" s="12" t="s">
        <v>82</v>
      </c>
      <c r="N2975" s="12" t="s">
        <v>248</v>
      </c>
      <c r="O2975" s="12" t="s">
        <v>233</v>
      </c>
      <c r="P2975" s="12" t="s">
        <v>246</v>
      </c>
      <c r="Q2975" s="7" t="str">
        <f t="shared" si="139"/>
        <v>(2014,9,'2014.03.01',3,59,63,66,84,0),</v>
      </c>
      <c r="R2975" s="7" t="str">
        <f t="shared" si="141"/>
        <v>(2014,9,'2014.03.01',3,59,63,66,84),</v>
      </c>
    </row>
    <row r="2976" spans="1:18" x14ac:dyDescent="0.25">
      <c r="A2976" s="7" t="s">
        <v>1938</v>
      </c>
      <c r="B2976" s="8" t="s">
        <v>62</v>
      </c>
      <c r="C2976" s="10">
        <f t="shared" si="140"/>
        <v>41706</v>
      </c>
      <c r="D2976" t="s">
        <v>11</v>
      </c>
      <c r="E2976" t="s">
        <v>12</v>
      </c>
      <c r="F2976" t="s">
        <v>1961</v>
      </c>
      <c r="G2976" t="s">
        <v>2120</v>
      </c>
      <c r="H2976" t="s">
        <v>2121</v>
      </c>
      <c r="I2976" t="s">
        <v>2122</v>
      </c>
      <c r="J2976" t="s">
        <v>2123</v>
      </c>
      <c r="K2976" t="s">
        <v>1785</v>
      </c>
      <c r="L2976" s="12" t="s">
        <v>42</v>
      </c>
      <c r="M2976" s="12" t="s">
        <v>74</v>
      </c>
      <c r="N2976" s="12" t="s">
        <v>71</v>
      </c>
      <c r="O2976" s="12" t="s">
        <v>192</v>
      </c>
      <c r="P2976" s="12" t="s">
        <v>233</v>
      </c>
      <c r="Q2976" s="7" t="str">
        <f t="shared" si="139"/>
        <v>(2014,10,'2014.03.08',3,26,31,46,66,0),</v>
      </c>
      <c r="R2976" s="7" t="str">
        <f t="shared" si="141"/>
        <v>(2014,10,'2014.03.08',3,26,31,46,66),</v>
      </c>
    </row>
    <row r="2977" spans="1:18" x14ac:dyDescent="0.25">
      <c r="A2977" s="7" t="s">
        <v>1938</v>
      </c>
      <c r="B2977" s="8" t="s">
        <v>83</v>
      </c>
      <c r="C2977" s="10">
        <f t="shared" si="140"/>
        <v>41713</v>
      </c>
      <c r="D2977" t="s">
        <v>108</v>
      </c>
      <c r="E2977" t="s">
        <v>2115</v>
      </c>
      <c r="F2977" t="s">
        <v>73</v>
      </c>
      <c r="G2977" t="s">
        <v>2116</v>
      </c>
      <c r="H2977" t="s">
        <v>2117</v>
      </c>
      <c r="I2977" t="s">
        <v>2118</v>
      </c>
      <c r="J2977" t="s">
        <v>2119</v>
      </c>
      <c r="K2977" t="s">
        <v>688</v>
      </c>
      <c r="L2977" s="12" t="s">
        <v>89</v>
      </c>
      <c r="M2977" s="12" t="s">
        <v>62</v>
      </c>
      <c r="N2977" s="12" t="s">
        <v>123</v>
      </c>
      <c r="O2977" s="12" t="s">
        <v>82</v>
      </c>
      <c r="P2977" s="12" t="s">
        <v>301</v>
      </c>
      <c r="Q2977" s="7" t="str">
        <f t="shared" si="139"/>
        <v>(2014,11,'2014.03.15',5,10,54,59,80,0),</v>
      </c>
      <c r="R2977" s="7" t="str">
        <f t="shared" si="141"/>
        <v>(2014,11,'2014.03.15',5,10,54,59,80),</v>
      </c>
    </row>
    <row r="2978" spans="1:18" x14ac:dyDescent="0.25">
      <c r="A2978" s="7" t="s">
        <v>1938</v>
      </c>
      <c r="B2978" s="8" t="s">
        <v>31</v>
      </c>
      <c r="C2978" s="10">
        <f t="shared" si="140"/>
        <v>41720</v>
      </c>
      <c r="D2978" t="s">
        <v>11</v>
      </c>
      <c r="E2978" t="s">
        <v>12</v>
      </c>
      <c r="F2978" t="s">
        <v>127</v>
      </c>
      <c r="G2978" t="s">
        <v>2112</v>
      </c>
      <c r="H2978" t="s">
        <v>633</v>
      </c>
      <c r="I2978" t="s">
        <v>2113</v>
      </c>
      <c r="J2978" t="s">
        <v>2114</v>
      </c>
      <c r="K2978" t="s">
        <v>41</v>
      </c>
      <c r="L2978" s="12" t="s">
        <v>163</v>
      </c>
      <c r="M2978" s="12" t="s">
        <v>74</v>
      </c>
      <c r="N2978" s="12" t="s">
        <v>135</v>
      </c>
      <c r="O2978" s="12" t="s">
        <v>308</v>
      </c>
      <c r="P2978" s="12" t="s">
        <v>269</v>
      </c>
      <c r="Q2978" s="7" t="str">
        <f t="shared" si="139"/>
        <v>(2014,12,'2014.03.22',23,26,27,86,87,0),</v>
      </c>
      <c r="R2978" s="7" t="str">
        <f t="shared" si="141"/>
        <v>(2014,12,'2014.03.22',23,26,27,86,87),</v>
      </c>
    </row>
    <row r="2979" spans="1:18" x14ac:dyDescent="0.25">
      <c r="A2979" s="7" t="s">
        <v>1938</v>
      </c>
      <c r="B2979" s="8" t="s">
        <v>65</v>
      </c>
      <c r="C2979" s="10">
        <f t="shared" si="140"/>
        <v>41727</v>
      </c>
      <c r="D2979" t="s">
        <v>11</v>
      </c>
      <c r="E2979" t="s">
        <v>12</v>
      </c>
      <c r="F2979" t="s">
        <v>135</v>
      </c>
      <c r="G2979" t="s">
        <v>2108</v>
      </c>
      <c r="H2979" t="s">
        <v>2109</v>
      </c>
      <c r="I2979" t="s">
        <v>2110</v>
      </c>
      <c r="J2979" t="s">
        <v>2111</v>
      </c>
      <c r="K2979" t="s">
        <v>954</v>
      </c>
      <c r="L2979" s="12" t="s">
        <v>55</v>
      </c>
      <c r="M2979" s="12" t="s">
        <v>115</v>
      </c>
      <c r="N2979" s="12" t="s">
        <v>107</v>
      </c>
      <c r="O2979" s="12" t="s">
        <v>45</v>
      </c>
      <c r="P2979" s="12" t="s">
        <v>35</v>
      </c>
      <c r="Q2979" s="7" t="str">
        <f t="shared" si="139"/>
        <v>(2014,13,'2014.03.29',19,20,30,43,65,0),</v>
      </c>
      <c r="R2979" s="7" t="str">
        <f t="shared" si="141"/>
        <v>(2014,13,'2014.03.29',19,20,30,43,65),</v>
      </c>
    </row>
    <row r="2980" spans="1:18" x14ac:dyDescent="0.25">
      <c r="A2980" s="7" t="s">
        <v>1938</v>
      </c>
      <c r="B2980" s="8" t="s">
        <v>127</v>
      </c>
      <c r="C2980" s="10">
        <f t="shared" si="140"/>
        <v>41734</v>
      </c>
      <c r="D2980" t="s">
        <v>11</v>
      </c>
      <c r="E2980" t="s">
        <v>12</v>
      </c>
      <c r="F2980" t="s">
        <v>46</v>
      </c>
      <c r="G2980" t="s">
        <v>2104</v>
      </c>
      <c r="H2980" t="s">
        <v>2105</v>
      </c>
      <c r="I2980" t="s">
        <v>2106</v>
      </c>
      <c r="J2980" t="s">
        <v>2107</v>
      </c>
      <c r="K2980" t="s">
        <v>1090</v>
      </c>
      <c r="L2980" s="12" t="s">
        <v>168</v>
      </c>
      <c r="M2980" s="12" t="s">
        <v>115</v>
      </c>
      <c r="N2980" s="12" t="s">
        <v>126</v>
      </c>
      <c r="O2980" s="12" t="s">
        <v>10</v>
      </c>
      <c r="P2980" s="12" t="s">
        <v>199</v>
      </c>
      <c r="Q2980" s="7" t="str">
        <f t="shared" si="139"/>
        <v>(2014,14,'2014.04.05',4,20,28,40,53,0),</v>
      </c>
      <c r="R2980" s="7" t="str">
        <f t="shared" si="141"/>
        <v>(2014,14,'2014.04.05',4,20,28,40,53),</v>
      </c>
    </row>
    <row r="2981" spans="1:18" x14ac:dyDescent="0.25">
      <c r="A2981" s="7" t="s">
        <v>1938</v>
      </c>
      <c r="B2981" s="8" t="s">
        <v>54</v>
      </c>
      <c r="C2981" s="10">
        <f t="shared" si="140"/>
        <v>41741</v>
      </c>
      <c r="D2981" t="s">
        <v>11</v>
      </c>
      <c r="E2981" t="s">
        <v>12</v>
      </c>
      <c r="F2981" t="s">
        <v>91</v>
      </c>
      <c r="G2981" t="s">
        <v>2100</v>
      </c>
      <c r="H2981" t="s">
        <v>2101</v>
      </c>
      <c r="I2981" t="s">
        <v>2102</v>
      </c>
      <c r="J2981" t="s">
        <v>2103</v>
      </c>
      <c r="K2981" t="s">
        <v>1003</v>
      </c>
      <c r="L2981" s="12" t="s">
        <v>89</v>
      </c>
      <c r="M2981" s="12" t="s">
        <v>115</v>
      </c>
      <c r="N2981" s="12" t="s">
        <v>32</v>
      </c>
      <c r="O2981" s="12" t="s">
        <v>34</v>
      </c>
      <c r="P2981" s="12" t="s">
        <v>200</v>
      </c>
      <c r="Q2981" s="7" t="str">
        <f t="shared" si="139"/>
        <v>(2014,15,'2014.04.12',5,20,22,49,70,0),</v>
      </c>
      <c r="R2981" s="7" t="str">
        <f t="shared" si="141"/>
        <v>(2014,15,'2014.04.12',5,20,22,49,70),</v>
      </c>
    </row>
    <row r="2982" spans="1:18" x14ac:dyDescent="0.25">
      <c r="A2982" s="7" t="s">
        <v>1938</v>
      </c>
      <c r="B2982" s="8" t="s">
        <v>43</v>
      </c>
      <c r="C2982" s="10">
        <f t="shared" si="140"/>
        <v>41748</v>
      </c>
      <c r="D2982" t="s">
        <v>11</v>
      </c>
      <c r="E2982" t="s">
        <v>12</v>
      </c>
      <c r="F2982" t="s">
        <v>55</v>
      </c>
      <c r="G2982" t="s">
        <v>2096</v>
      </c>
      <c r="H2982" t="s">
        <v>2097</v>
      </c>
      <c r="I2982" t="s">
        <v>2098</v>
      </c>
      <c r="J2982" t="s">
        <v>2099</v>
      </c>
      <c r="K2982" t="s">
        <v>313</v>
      </c>
      <c r="L2982" s="12" t="s">
        <v>116</v>
      </c>
      <c r="M2982" s="12" t="s">
        <v>10</v>
      </c>
      <c r="N2982" s="12" t="s">
        <v>192</v>
      </c>
      <c r="O2982" s="12" t="s">
        <v>201</v>
      </c>
      <c r="P2982" s="12" t="s">
        <v>186</v>
      </c>
      <c r="Q2982" s="7" t="str">
        <f t="shared" si="139"/>
        <v>(2014,16,'2014.04.19',29,40,46,72,90,0),</v>
      </c>
      <c r="R2982" s="7" t="str">
        <f t="shared" si="141"/>
        <v>(2014,16,'2014.04.19',29,40,46,72,90),</v>
      </c>
    </row>
    <row r="2983" spans="1:18" x14ac:dyDescent="0.25">
      <c r="A2983" s="7" t="s">
        <v>1938</v>
      </c>
      <c r="B2983" s="8" t="s">
        <v>90</v>
      </c>
      <c r="C2983" s="10">
        <f t="shared" si="140"/>
        <v>41755</v>
      </c>
      <c r="D2983" t="s">
        <v>11</v>
      </c>
      <c r="E2983" t="s">
        <v>12</v>
      </c>
      <c r="F2983" t="s">
        <v>24</v>
      </c>
      <c r="G2983" t="s">
        <v>2092</v>
      </c>
      <c r="H2983" t="s">
        <v>2093</v>
      </c>
      <c r="I2983" t="s">
        <v>2094</v>
      </c>
      <c r="J2983" t="s">
        <v>2095</v>
      </c>
      <c r="K2983" t="s">
        <v>1242</v>
      </c>
      <c r="L2983" s="12" t="s">
        <v>83</v>
      </c>
      <c r="M2983" s="12" t="s">
        <v>43</v>
      </c>
      <c r="N2983" s="12" t="s">
        <v>24</v>
      </c>
      <c r="O2983" s="12" t="s">
        <v>34</v>
      </c>
      <c r="P2983" s="12" t="s">
        <v>245</v>
      </c>
      <c r="Q2983" s="7" t="str">
        <f t="shared" si="139"/>
        <v>(2014,17,'2014.04.26',11,16,39,49,74,0),</v>
      </c>
      <c r="R2983" s="7" t="str">
        <f t="shared" si="141"/>
        <v>(2014,17,'2014.04.26',11,16,39,49,74),</v>
      </c>
    </row>
    <row r="2984" spans="1:18" x14ac:dyDescent="0.25">
      <c r="A2984" s="7" t="s">
        <v>1938</v>
      </c>
      <c r="B2984" s="8" t="s">
        <v>19</v>
      </c>
      <c r="C2984" s="10">
        <f t="shared" si="140"/>
        <v>41762</v>
      </c>
      <c r="D2984" t="s">
        <v>11</v>
      </c>
      <c r="E2984" t="s">
        <v>12</v>
      </c>
      <c r="F2984" t="s">
        <v>2086</v>
      </c>
      <c r="G2984" t="s">
        <v>2087</v>
      </c>
      <c r="H2984" t="s">
        <v>2088</v>
      </c>
      <c r="I2984" t="s">
        <v>2089</v>
      </c>
      <c r="J2984" t="s">
        <v>2090</v>
      </c>
      <c r="K2984" t="s">
        <v>2091</v>
      </c>
      <c r="L2984" s="12" t="s">
        <v>168</v>
      </c>
      <c r="M2984" s="12" t="s">
        <v>53</v>
      </c>
      <c r="N2984" s="12" t="s">
        <v>55</v>
      </c>
      <c r="O2984" s="12" t="s">
        <v>169</v>
      </c>
      <c r="P2984" s="12" t="s">
        <v>248</v>
      </c>
      <c r="Q2984" s="7" t="str">
        <f t="shared" si="139"/>
        <v>(2014,18,'2014.05.03',4,7,19,58,63,0),</v>
      </c>
      <c r="R2984" s="7" t="str">
        <f t="shared" si="141"/>
        <v>(2014,18,'2014.05.03',4,7,19,58,63),</v>
      </c>
    </row>
    <row r="2985" spans="1:18" x14ac:dyDescent="0.25">
      <c r="A2985" s="7" t="s">
        <v>1938</v>
      </c>
      <c r="B2985" s="8" t="s">
        <v>55</v>
      </c>
      <c r="C2985" s="10">
        <f t="shared" si="140"/>
        <v>41769</v>
      </c>
      <c r="D2985" t="s">
        <v>11</v>
      </c>
      <c r="E2985" t="s">
        <v>12</v>
      </c>
      <c r="F2985" t="s">
        <v>36</v>
      </c>
      <c r="G2985" t="s">
        <v>2082</v>
      </c>
      <c r="H2985" t="s">
        <v>2083</v>
      </c>
      <c r="I2985" t="s">
        <v>2084</v>
      </c>
      <c r="J2985" t="s">
        <v>2085</v>
      </c>
      <c r="K2985" t="s">
        <v>1551</v>
      </c>
      <c r="L2985" s="12" t="s">
        <v>31</v>
      </c>
      <c r="M2985" s="12" t="s">
        <v>36</v>
      </c>
      <c r="N2985" s="12" t="s">
        <v>133</v>
      </c>
      <c r="O2985" s="12" t="s">
        <v>233</v>
      </c>
      <c r="P2985" s="12" t="s">
        <v>73</v>
      </c>
      <c r="Q2985" s="7" t="str">
        <f t="shared" si="139"/>
        <v>(2014,19,'2014.05.10',12,38,45,66,76,0),</v>
      </c>
      <c r="R2985" s="7" t="str">
        <f t="shared" si="141"/>
        <v>(2014,19,'2014.05.10',12,38,45,66,76),</v>
      </c>
    </row>
    <row r="2986" spans="1:18" x14ac:dyDescent="0.25">
      <c r="A2986" s="7" t="s">
        <v>1938</v>
      </c>
      <c r="B2986" s="8" t="s">
        <v>115</v>
      </c>
      <c r="C2986" s="10">
        <f t="shared" si="140"/>
        <v>41776</v>
      </c>
      <c r="D2986" t="s">
        <v>11</v>
      </c>
      <c r="E2986" t="s">
        <v>12</v>
      </c>
      <c r="F2986" t="s">
        <v>21</v>
      </c>
      <c r="G2986" t="s">
        <v>2078</v>
      </c>
      <c r="H2986" t="s">
        <v>2079</v>
      </c>
      <c r="I2986" t="s">
        <v>2080</v>
      </c>
      <c r="J2986" t="s">
        <v>2081</v>
      </c>
      <c r="K2986" t="s">
        <v>1590</v>
      </c>
      <c r="L2986" s="12" t="s">
        <v>207</v>
      </c>
      <c r="M2986" s="12" t="s">
        <v>135</v>
      </c>
      <c r="N2986" s="12" t="s">
        <v>126</v>
      </c>
      <c r="O2986" s="12" t="s">
        <v>80</v>
      </c>
      <c r="P2986" s="12" t="s">
        <v>186</v>
      </c>
      <c r="Q2986" s="7" t="str">
        <f t="shared" si="139"/>
        <v>(2014,20,'2014.05.17',2,27,28,32,90,0),</v>
      </c>
      <c r="R2986" s="7" t="str">
        <f t="shared" si="141"/>
        <v>(2014,20,'2014.05.17',2,27,28,32,90),</v>
      </c>
    </row>
    <row r="2987" spans="1:18" x14ac:dyDescent="0.25">
      <c r="A2987" s="7" t="s">
        <v>1938</v>
      </c>
      <c r="B2987" s="8" t="s">
        <v>44</v>
      </c>
      <c r="C2987" s="10">
        <f t="shared" si="140"/>
        <v>41783</v>
      </c>
      <c r="D2987" t="s">
        <v>11</v>
      </c>
      <c r="E2987" t="s">
        <v>12</v>
      </c>
      <c r="F2987" t="s">
        <v>163</v>
      </c>
      <c r="G2987" t="s">
        <v>2076</v>
      </c>
      <c r="H2987" t="s">
        <v>557</v>
      </c>
      <c r="I2987" t="s">
        <v>1130</v>
      </c>
      <c r="J2987" t="s">
        <v>2077</v>
      </c>
      <c r="K2987" t="s">
        <v>599</v>
      </c>
      <c r="L2987" s="12" t="s">
        <v>107</v>
      </c>
      <c r="M2987" s="12" t="s">
        <v>175</v>
      </c>
      <c r="N2987" s="12" t="s">
        <v>82</v>
      </c>
      <c r="O2987" s="12" t="s">
        <v>56</v>
      </c>
      <c r="P2987" s="12" t="s">
        <v>301</v>
      </c>
      <c r="Q2987" s="7" t="str">
        <f t="shared" si="139"/>
        <v>(2014,21,'2014.05.24',30,55,59,71,80,0),</v>
      </c>
      <c r="R2987" s="7" t="str">
        <f t="shared" si="141"/>
        <v>(2014,21,'2014.05.24',30,55,59,71,80),</v>
      </c>
    </row>
    <row r="2988" spans="1:18" x14ac:dyDescent="0.25">
      <c r="A2988" s="7" t="s">
        <v>1938</v>
      </c>
      <c r="B2988" s="8" t="s">
        <v>32</v>
      </c>
      <c r="C2988" s="10">
        <f t="shared" si="140"/>
        <v>41790</v>
      </c>
      <c r="D2988" t="s">
        <v>11</v>
      </c>
      <c r="E2988" t="s">
        <v>12</v>
      </c>
      <c r="F2988" t="s">
        <v>25</v>
      </c>
      <c r="G2988" t="s">
        <v>2072</v>
      </c>
      <c r="H2988" t="s">
        <v>2073</v>
      </c>
      <c r="I2988" t="s">
        <v>2074</v>
      </c>
      <c r="J2988" t="s">
        <v>2075</v>
      </c>
      <c r="K2988" t="s">
        <v>1590</v>
      </c>
      <c r="L2988" s="12" t="s">
        <v>43</v>
      </c>
      <c r="M2988" s="12" t="s">
        <v>135</v>
      </c>
      <c r="N2988" s="12" t="s">
        <v>133</v>
      </c>
      <c r="O2988" s="12" t="s">
        <v>199</v>
      </c>
      <c r="P2988" s="12" t="s">
        <v>200</v>
      </c>
      <c r="Q2988" s="7" t="str">
        <f t="shared" si="139"/>
        <v>(2014,22,'2014.05.31',16,27,45,53,70,0),</v>
      </c>
      <c r="R2988" s="7" t="str">
        <f t="shared" si="141"/>
        <v>(2014,22,'2014.05.31',16,27,45,53,70),</v>
      </c>
    </row>
    <row r="2989" spans="1:18" x14ac:dyDescent="0.25">
      <c r="A2989" s="7" t="s">
        <v>1938</v>
      </c>
      <c r="B2989" s="8" t="s">
        <v>163</v>
      </c>
      <c r="C2989" s="10">
        <f t="shared" si="140"/>
        <v>41797</v>
      </c>
      <c r="D2989" t="s">
        <v>11</v>
      </c>
      <c r="E2989" t="s">
        <v>12</v>
      </c>
      <c r="F2989" t="s">
        <v>107</v>
      </c>
      <c r="G2989" t="s">
        <v>2068</v>
      </c>
      <c r="H2989" t="s">
        <v>2069</v>
      </c>
      <c r="I2989" t="s">
        <v>2070</v>
      </c>
      <c r="J2989" t="s">
        <v>2071</v>
      </c>
      <c r="K2989" t="s">
        <v>2051</v>
      </c>
      <c r="L2989" s="12" t="s">
        <v>207</v>
      </c>
      <c r="M2989" s="12" t="s">
        <v>42</v>
      </c>
      <c r="N2989" s="12" t="s">
        <v>80</v>
      </c>
      <c r="O2989" s="12" t="s">
        <v>82</v>
      </c>
      <c r="P2989" s="12" t="s">
        <v>239</v>
      </c>
      <c r="Q2989" s="7" t="str">
        <f t="shared" si="139"/>
        <v>(2014,23,'2014.06.07',2,3,32,59,73,0),</v>
      </c>
      <c r="R2989" s="7" t="str">
        <f t="shared" si="141"/>
        <v>(2014,23,'2014.06.07',2,3,32,59,73),</v>
      </c>
    </row>
    <row r="2990" spans="1:18" x14ac:dyDescent="0.25">
      <c r="A2990" s="7" t="s">
        <v>1938</v>
      </c>
      <c r="B2990" s="8" t="s">
        <v>33</v>
      </c>
      <c r="C2990" s="10">
        <f t="shared" si="140"/>
        <v>41804</v>
      </c>
      <c r="D2990" t="s">
        <v>11</v>
      </c>
      <c r="E2990" t="s">
        <v>12</v>
      </c>
      <c r="F2990" t="s">
        <v>308</v>
      </c>
      <c r="G2990" t="s">
        <v>2063</v>
      </c>
      <c r="H2990" t="s">
        <v>2064</v>
      </c>
      <c r="I2990" t="s">
        <v>2065</v>
      </c>
      <c r="J2990" t="s">
        <v>2066</v>
      </c>
      <c r="K2990" t="s">
        <v>2067</v>
      </c>
      <c r="L2990" s="12" t="s">
        <v>108</v>
      </c>
      <c r="M2990" s="12" t="s">
        <v>83</v>
      </c>
      <c r="N2990" s="12" t="s">
        <v>55</v>
      </c>
      <c r="O2990" s="12" t="s">
        <v>71</v>
      </c>
      <c r="P2990" s="12" t="s">
        <v>46</v>
      </c>
      <c r="Q2990" s="7" t="str">
        <f t="shared" si="139"/>
        <v>(2014,24,'2014.06.14',1,11,19,31,37,0),</v>
      </c>
      <c r="R2990" s="7" t="str">
        <f t="shared" si="141"/>
        <v>(2014,24,'2014.06.14',1,11,19,31,37),</v>
      </c>
    </row>
    <row r="2991" spans="1:18" x14ac:dyDescent="0.25">
      <c r="A2991" s="7" t="s">
        <v>1938</v>
      </c>
      <c r="B2991" s="8" t="s">
        <v>152</v>
      </c>
      <c r="C2991" s="10">
        <f t="shared" si="140"/>
        <v>41811</v>
      </c>
      <c r="D2991" t="s">
        <v>11</v>
      </c>
      <c r="E2991" t="s">
        <v>12</v>
      </c>
      <c r="F2991" t="s">
        <v>36</v>
      </c>
      <c r="G2991" t="s">
        <v>2059</v>
      </c>
      <c r="H2991" t="s">
        <v>2060</v>
      </c>
      <c r="I2991" t="s">
        <v>2061</v>
      </c>
      <c r="J2991" t="s">
        <v>2062</v>
      </c>
      <c r="K2991" t="s">
        <v>922</v>
      </c>
      <c r="L2991" s="12" t="s">
        <v>42</v>
      </c>
      <c r="M2991" s="12" t="s">
        <v>64</v>
      </c>
      <c r="N2991" s="12" t="s">
        <v>46</v>
      </c>
      <c r="O2991" s="12" t="s">
        <v>45</v>
      </c>
      <c r="P2991" s="12" t="s">
        <v>99</v>
      </c>
      <c r="Q2991" s="7" t="str">
        <f t="shared" si="139"/>
        <v>(2014,25,'2014.06.21',3,35,37,43,52,0),</v>
      </c>
      <c r="R2991" s="7" t="str">
        <f t="shared" si="141"/>
        <v>(2014,25,'2014.06.21',3,35,37,43,52),</v>
      </c>
    </row>
    <row r="2992" spans="1:18" x14ac:dyDescent="0.25">
      <c r="A2992" s="7" t="s">
        <v>1938</v>
      </c>
      <c r="B2992" s="8" t="s">
        <v>74</v>
      </c>
      <c r="C2992" s="10">
        <f t="shared" si="140"/>
        <v>41818</v>
      </c>
      <c r="D2992" t="s">
        <v>11</v>
      </c>
      <c r="E2992" t="s">
        <v>12</v>
      </c>
      <c r="F2992" t="s">
        <v>13</v>
      </c>
      <c r="G2992" t="s">
        <v>2055</v>
      </c>
      <c r="H2992" t="s">
        <v>2056</v>
      </c>
      <c r="I2992" t="s">
        <v>2057</v>
      </c>
      <c r="J2992" t="s">
        <v>2058</v>
      </c>
      <c r="K2992" t="s">
        <v>1242</v>
      </c>
      <c r="L2992" s="12" t="s">
        <v>31</v>
      </c>
      <c r="M2992" s="12" t="s">
        <v>74</v>
      </c>
      <c r="N2992" s="12" t="s">
        <v>35</v>
      </c>
      <c r="O2992" s="12" t="s">
        <v>233</v>
      </c>
      <c r="P2992" s="12" t="s">
        <v>125</v>
      </c>
      <c r="Q2992" s="7" t="str">
        <f t="shared" si="139"/>
        <v>(2014,26,'2014.06.28',12,26,65,66,83,0),</v>
      </c>
      <c r="R2992" s="7" t="str">
        <f t="shared" si="141"/>
        <v>(2014,26,'2014.06.28',12,26,65,66,83),</v>
      </c>
    </row>
    <row r="2993" spans="1:18" x14ac:dyDescent="0.25">
      <c r="A2993" s="7" t="s">
        <v>1938</v>
      </c>
      <c r="B2993" s="8" t="s">
        <v>135</v>
      </c>
      <c r="C2993" s="10">
        <f t="shared" si="140"/>
        <v>41825</v>
      </c>
      <c r="D2993" t="s">
        <v>11</v>
      </c>
      <c r="E2993" t="s">
        <v>12</v>
      </c>
      <c r="F2993" t="s">
        <v>43</v>
      </c>
      <c r="G2993" t="s">
        <v>2052</v>
      </c>
      <c r="H2993" t="s">
        <v>504</v>
      </c>
      <c r="I2993" t="s">
        <v>2053</v>
      </c>
      <c r="J2993" t="s">
        <v>2054</v>
      </c>
      <c r="K2993" t="s">
        <v>608</v>
      </c>
      <c r="L2993" s="12" t="s">
        <v>133</v>
      </c>
      <c r="M2993" s="12" t="s">
        <v>99</v>
      </c>
      <c r="N2993" s="12" t="s">
        <v>82</v>
      </c>
      <c r="O2993" s="12" t="s">
        <v>47</v>
      </c>
      <c r="P2993" s="12" t="s">
        <v>215</v>
      </c>
      <c r="Q2993" s="7" t="str">
        <f t="shared" si="139"/>
        <v>(2014,27,'2014.07.05',45,52,59,69,81,0),</v>
      </c>
      <c r="R2993" s="7" t="str">
        <f t="shared" si="141"/>
        <v>(2014,27,'2014.07.05',45,52,59,69,81),</v>
      </c>
    </row>
    <row r="2994" spans="1:18" x14ac:dyDescent="0.25">
      <c r="A2994" s="7" t="s">
        <v>1938</v>
      </c>
      <c r="B2994" s="8" t="s">
        <v>126</v>
      </c>
      <c r="C2994" s="10">
        <f t="shared" si="140"/>
        <v>41832</v>
      </c>
      <c r="D2994" t="s">
        <v>11</v>
      </c>
      <c r="E2994" t="s">
        <v>12</v>
      </c>
      <c r="F2994" t="s">
        <v>122</v>
      </c>
      <c r="G2994" t="s">
        <v>2047</v>
      </c>
      <c r="H2994" t="s">
        <v>2048</v>
      </c>
      <c r="I2994" t="s">
        <v>2049</v>
      </c>
      <c r="J2994" t="s">
        <v>2050</v>
      </c>
      <c r="K2994" t="s">
        <v>2051</v>
      </c>
      <c r="L2994" s="12" t="s">
        <v>65</v>
      </c>
      <c r="M2994" s="12" t="s">
        <v>81</v>
      </c>
      <c r="N2994" s="12" t="s">
        <v>92</v>
      </c>
      <c r="O2994" s="12" t="s">
        <v>200</v>
      </c>
      <c r="P2994" s="12" t="s">
        <v>308</v>
      </c>
      <c r="Q2994" s="7" t="str">
        <f t="shared" si="139"/>
        <v>(2014,28,'2014.07.12',13,47,68,70,86,0),</v>
      </c>
      <c r="R2994" s="7" t="str">
        <f t="shared" si="141"/>
        <v>(2014,28,'2014.07.12',13,47,68,70,86),</v>
      </c>
    </row>
    <row r="2995" spans="1:18" x14ac:dyDescent="0.25">
      <c r="A2995" s="7" t="s">
        <v>1938</v>
      </c>
      <c r="B2995" s="8" t="s">
        <v>116</v>
      </c>
      <c r="C2995" s="10">
        <f t="shared" si="140"/>
        <v>41839</v>
      </c>
      <c r="D2995" t="s">
        <v>108</v>
      </c>
      <c r="E2995" t="s">
        <v>2040</v>
      </c>
      <c r="F2995" t="s">
        <v>2041</v>
      </c>
      <c r="G2995" t="s">
        <v>2042</v>
      </c>
      <c r="H2995" t="s">
        <v>2043</v>
      </c>
      <c r="I2995" t="s">
        <v>2044</v>
      </c>
      <c r="J2995" t="s">
        <v>2045</v>
      </c>
      <c r="K2995" t="s">
        <v>2046</v>
      </c>
      <c r="L2995" s="12" t="s">
        <v>65</v>
      </c>
      <c r="M2995" s="12" t="s">
        <v>44</v>
      </c>
      <c r="N2995" s="12" t="s">
        <v>142</v>
      </c>
      <c r="O2995" s="12" t="s">
        <v>81</v>
      </c>
      <c r="P2995" s="12" t="s">
        <v>99</v>
      </c>
      <c r="Q2995" s="7" t="str">
        <f t="shared" si="139"/>
        <v>(2014,29,'2014.07.19',13,21,44,47,52,0),</v>
      </c>
      <c r="R2995" s="7" t="str">
        <f t="shared" si="141"/>
        <v>(2014,29,'2014.07.19',13,21,44,47,52),</v>
      </c>
    </row>
    <row r="2996" spans="1:18" x14ac:dyDescent="0.25">
      <c r="A2996" s="7" t="s">
        <v>1938</v>
      </c>
      <c r="B2996" s="8" t="s">
        <v>107</v>
      </c>
      <c r="C2996" s="10">
        <f t="shared" si="140"/>
        <v>41846</v>
      </c>
      <c r="D2996" t="s">
        <v>11</v>
      </c>
      <c r="E2996" t="s">
        <v>12</v>
      </c>
      <c r="F2996" t="s">
        <v>192</v>
      </c>
      <c r="G2996" t="s">
        <v>2036</v>
      </c>
      <c r="H2996" t="s">
        <v>2037</v>
      </c>
      <c r="I2996" t="s">
        <v>2038</v>
      </c>
      <c r="J2996" t="s">
        <v>2039</v>
      </c>
      <c r="K2996" t="s">
        <v>931</v>
      </c>
      <c r="L2996" s="12" t="s">
        <v>270</v>
      </c>
      <c r="M2996" s="12" t="s">
        <v>54</v>
      </c>
      <c r="N2996" s="12" t="s">
        <v>32</v>
      </c>
      <c r="O2996" s="12" t="s">
        <v>20</v>
      </c>
      <c r="P2996" s="12" t="s">
        <v>142</v>
      </c>
      <c r="Q2996" s="7" t="str">
        <f t="shared" si="139"/>
        <v>(2014,30,'2014.07.26',6,15,22,33,44,0),</v>
      </c>
      <c r="R2996" s="7" t="str">
        <f t="shared" si="141"/>
        <v>(2014,30,'2014.07.26',6,15,22,33,44),</v>
      </c>
    </row>
    <row r="2997" spans="1:18" x14ac:dyDescent="0.25">
      <c r="A2997" s="7" t="s">
        <v>1938</v>
      </c>
      <c r="B2997" s="8" t="s">
        <v>71</v>
      </c>
      <c r="C2997" s="10">
        <f t="shared" si="140"/>
        <v>41853</v>
      </c>
      <c r="D2997" t="s">
        <v>108</v>
      </c>
      <c r="E2997" t="s">
        <v>2030</v>
      </c>
      <c r="F2997" t="s">
        <v>43</v>
      </c>
      <c r="G2997" t="s">
        <v>2031</v>
      </c>
      <c r="H2997" t="s">
        <v>2032</v>
      </c>
      <c r="I2997" t="s">
        <v>2033</v>
      </c>
      <c r="J2997" t="s">
        <v>2034</v>
      </c>
      <c r="K2997" t="s">
        <v>2035</v>
      </c>
      <c r="L2997" s="12" t="s">
        <v>163</v>
      </c>
      <c r="M2997" s="12" t="s">
        <v>23</v>
      </c>
      <c r="N2997" s="12" t="s">
        <v>73</v>
      </c>
      <c r="O2997" s="12" t="s">
        <v>246</v>
      </c>
      <c r="P2997" s="12" t="s">
        <v>308</v>
      </c>
      <c r="Q2997" s="7" t="str">
        <f t="shared" si="139"/>
        <v>(2014,31,'2014.08.02',23,60,76,84,86,0),</v>
      </c>
      <c r="R2997" s="7" t="str">
        <f t="shared" si="141"/>
        <v>(2014,31,'2014.08.02',23,60,76,84,86),</v>
      </c>
    </row>
    <row r="2998" spans="1:18" x14ac:dyDescent="0.25">
      <c r="A2998" s="7" t="s">
        <v>1938</v>
      </c>
      <c r="B2998" s="8" t="s">
        <v>80</v>
      </c>
      <c r="C2998" s="10">
        <f t="shared" si="140"/>
        <v>41860</v>
      </c>
      <c r="D2998" t="s">
        <v>108</v>
      </c>
      <c r="E2998" t="s">
        <v>2026</v>
      </c>
      <c r="F2998" t="s">
        <v>45</v>
      </c>
      <c r="G2998" t="s">
        <v>2027</v>
      </c>
      <c r="H2998" t="s">
        <v>2028</v>
      </c>
      <c r="I2998" t="s">
        <v>638</v>
      </c>
      <c r="J2998" t="s">
        <v>2029</v>
      </c>
      <c r="K2998" t="s">
        <v>954</v>
      </c>
      <c r="L2998" s="12" t="s">
        <v>115</v>
      </c>
      <c r="M2998" s="12" t="s">
        <v>126</v>
      </c>
      <c r="N2998" s="12" t="s">
        <v>81</v>
      </c>
      <c r="O2998" s="12" t="s">
        <v>122</v>
      </c>
      <c r="P2998" s="12" t="s">
        <v>56</v>
      </c>
      <c r="Q2998" s="7" t="str">
        <f t="shared" si="139"/>
        <v>(2014,32,'2014.08.09',20,28,47,51,71,0),</v>
      </c>
      <c r="R2998" s="7" t="str">
        <f t="shared" si="141"/>
        <v>(2014,32,'2014.08.09',20,28,47,51,71),</v>
      </c>
    </row>
    <row r="2999" spans="1:18" x14ac:dyDescent="0.25">
      <c r="A2999" s="7" t="s">
        <v>1938</v>
      </c>
      <c r="B2999" s="8" t="s">
        <v>20</v>
      </c>
      <c r="C2999" s="10">
        <f t="shared" si="140"/>
        <v>41867</v>
      </c>
      <c r="D2999" t="s">
        <v>11</v>
      </c>
      <c r="E2999" t="s">
        <v>12</v>
      </c>
      <c r="F2999" t="s">
        <v>33</v>
      </c>
      <c r="G2999" t="s">
        <v>2022</v>
      </c>
      <c r="H2999" t="s">
        <v>2023</v>
      </c>
      <c r="I2999" t="s">
        <v>2024</v>
      </c>
      <c r="J2999" t="s">
        <v>2025</v>
      </c>
      <c r="K2999" t="s">
        <v>1189</v>
      </c>
      <c r="L2999" s="12" t="s">
        <v>270</v>
      </c>
      <c r="M2999" s="12" t="s">
        <v>99</v>
      </c>
      <c r="N2999" s="12" t="s">
        <v>150</v>
      </c>
      <c r="O2999" s="12" t="s">
        <v>92</v>
      </c>
      <c r="P2999" s="12" t="s">
        <v>308</v>
      </c>
      <c r="Q2999" s="7" t="str">
        <f t="shared" si="139"/>
        <v>(2014,33,'2014.08.16',6,52,57,68,86,0),</v>
      </c>
      <c r="R2999" s="7" t="str">
        <f t="shared" si="141"/>
        <v>(2014,33,'2014.08.16',6,52,57,68,86),</v>
      </c>
    </row>
    <row r="3000" spans="1:18" x14ac:dyDescent="0.25">
      <c r="A3000" s="7" t="s">
        <v>1938</v>
      </c>
      <c r="B3000" s="8" t="s">
        <v>25</v>
      </c>
      <c r="C3000" s="10">
        <f t="shared" si="140"/>
        <v>41874</v>
      </c>
      <c r="D3000" t="s">
        <v>11</v>
      </c>
      <c r="E3000" t="s">
        <v>12</v>
      </c>
      <c r="F3000" t="s">
        <v>46</v>
      </c>
      <c r="G3000" t="s">
        <v>2018</v>
      </c>
      <c r="H3000" t="s">
        <v>2019</v>
      </c>
      <c r="I3000" t="s">
        <v>2020</v>
      </c>
      <c r="J3000" t="s">
        <v>2021</v>
      </c>
      <c r="K3000" t="s">
        <v>114</v>
      </c>
      <c r="L3000" s="12" t="s">
        <v>33</v>
      </c>
      <c r="M3000" s="12" t="s">
        <v>21</v>
      </c>
      <c r="N3000" s="12" t="s">
        <v>248</v>
      </c>
      <c r="O3000" s="12" t="s">
        <v>200</v>
      </c>
      <c r="P3000" s="12" t="s">
        <v>246</v>
      </c>
      <c r="Q3000" s="7" t="str">
        <f t="shared" si="139"/>
        <v>(2014,34,'2014.08.23',24,36,63,70,84,0),</v>
      </c>
      <c r="R3000" s="7" t="str">
        <f t="shared" si="141"/>
        <v>(2014,34,'2014.08.23',24,36,63,70,84),</v>
      </c>
    </row>
    <row r="3001" spans="1:18" x14ac:dyDescent="0.25">
      <c r="A3001" s="7" t="s">
        <v>1938</v>
      </c>
      <c r="B3001" s="8" t="s">
        <v>64</v>
      </c>
      <c r="C3001" s="10">
        <f t="shared" si="140"/>
        <v>41881</v>
      </c>
      <c r="D3001" t="s">
        <v>11</v>
      </c>
      <c r="E3001" t="s">
        <v>12</v>
      </c>
      <c r="F3001" t="s">
        <v>44</v>
      </c>
      <c r="G3001" t="s">
        <v>2014</v>
      </c>
      <c r="H3001" t="s">
        <v>2015</v>
      </c>
      <c r="I3001" t="s">
        <v>2016</v>
      </c>
      <c r="J3001" t="s">
        <v>2017</v>
      </c>
      <c r="K3001" t="s">
        <v>998</v>
      </c>
      <c r="L3001" s="12" t="s">
        <v>55</v>
      </c>
      <c r="M3001" s="12" t="s">
        <v>199</v>
      </c>
      <c r="N3001" s="12" t="s">
        <v>23</v>
      </c>
      <c r="O3001" s="12" t="s">
        <v>233</v>
      </c>
      <c r="P3001" s="12" t="s">
        <v>72</v>
      </c>
      <c r="Q3001" s="7" t="str">
        <f t="shared" si="139"/>
        <v>(2014,35,'2014.08.30',19,53,60,66,67,0),</v>
      </c>
      <c r="R3001" s="7" t="str">
        <f t="shared" si="141"/>
        <v>(2014,35,'2014.08.30',19,53,60,66,67),</v>
      </c>
    </row>
    <row r="3002" spans="1:18" x14ac:dyDescent="0.25">
      <c r="A3002" s="7" t="s">
        <v>1938</v>
      </c>
      <c r="B3002" s="8" t="s">
        <v>21</v>
      </c>
      <c r="C3002" s="10">
        <f t="shared" si="140"/>
        <v>41888</v>
      </c>
      <c r="D3002" t="s">
        <v>108</v>
      </c>
      <c r="E3002" t="s">
        <v>2009</v>
      </c>
      <c r="F3002" t="s">
        <v>200</v>
      </c>
      <c r="G3002" t="s">
        <v>2010</v>
      </c>
      <c r="H3002" t="s">
        <v>2011</v>
      </c>
      <c r="I3002" t="s">
        <v>2012</v>
      </c>
      <c r="J3002" t="s">
        <v>2013</v>
      </c>
      <c r="K3002" t="s">
        <v>1776</v>
      </c>
      <c r="L3002" s="12" t="s">
        <v>42</v>
      </c>
      <c r="M3002" s="12" t="s">
        <v>43</v>
      </c>
      <c r="N3002" s="12" t="s">
        <v>135</v>
      </c>
      <c r="O3002" s="12" t="s">
        <v>133</v>
      </c>
      <c r="P3002" s="12" t="s">
        <v>215</v>
      </c>
      <c r="Q3002" s="7" t="str">
        <f t="shared" si="139"/>
        <v>(2014,36,'2014.09.06',3,16,27,45,81,0),</v>
      </c>
      <c r="R3002" s="7" t="str">
        <f t="shared" si="141"/>
        <v>(2014,36,'2014.09.06',3,16,27,45,81),</v>
      </c>
    </row>
    <row r="3003" spans="1:18" x14ac:dyDescent="0.25">
      <c r="A3003" s="7" t="s">
        <v>1938</v>
      </c>
      <c r="B3003" s="8" t="s">
        <v>46</v>
      </c>
      <c r="C3003" s="10">
        <f t="shared" si="140"/>
        <v>41895</v>
      </c>
      <c r="D3003" t="s">
        <v>11</v>
      </c>
      <c r="E3003" t="s">
        <v>12</v>
      </c>
      <c r="F3003" t="s">
        <v>32</v>
      </c>
      <c r="G3003" t="s">
        <v>2005</v>
      </c>
      <c r="H3003" t="s">
        <v>2006</v>
      </c>
      <c r="I3003" t="s">
        <v>2007</v>
      </c>
      <c r="J3003" t="s">
        <v>2008</v>
      </c>
      <c r="K3003" t="s">
        <v>338</v>
      </c>
      <c r="L3003" s="12" t="s">
        <v>53</v>
      </c>
      <c r="M3003" s="12" t="s">
        <v>24</v>
      </c>
      <c r="N3003" s="12" t="s">
        <v>10</v>
      </c>
      <c r="O3003" s="12" t="s">
        <v>169</v>
      </c>
      <c r="P3003" s="12" t="s">
        <v>92</v>
      </c>
      <c r="Q3003" s="7" t="str">
        <f t="shared" si="139"/>
        <v>(2014,37,'2014.09.13',7,39,40,58,68,0),</v>
      </c>
      <c r="R3003" s="7" t="str">
        <f t="shared" si="141"/>
        <v>(2014,37,'2014.09.13',7,39,40,58,68),</v>
      </c>
    </row>
    <row r="3004" spans="1:18" x14ac:dyDescent="0.25">
      <c r="A3004" s="7" t="s">
        <v>1938</v>
      </c>
      <c r="B3004" s="8" t="s">
        <v>36</v>
      </c>
      <c r="C3004" s="10">
        <f t="shared" si="140"/>
        <v>41902</v>
      </c>
      <c r="D3004" t="s">
        <v>11</v>
      </c>
      <c r="E3004" t="s">
        <v>12</v>
      </c>
      <c r="F3004" t="s">
        <v>1999</v>
      </c>
      <c r="G3004" t="s">
        <v>2000</v>
      </c>
      <c r="H3004" t="s">
        <v>2001</v>
      </c>
      <c r="I3004" t="s">
        <v>2002</v>
      </c>
      <c r="J3004" t="s">
        <v>2003</v>
      </c>
      <c r="K3004" t="s">
        <v>2004</v>
      </c>
      <c r="L3004" s="12" t="s">
        <v>207</v>
      </c>
      <c r="M3004" s="12" t="s">
        <v>53</v>
      </c>
      <c r="N3004" s="12" t="s">
        <v>31</v>
      </c>
      <c r="O3004" s="12" t="s">
        <v>152</v>
      </c>
      <c r="P3004" s="12" t="s">
        <v>73</v>
      </c>
      <c r="Q3004" s="7" t="str">
        <f t="shared" si="139"/>
        <v>(2014,38,'2014.09.20',2,7,12,25,76,0),</v>
      </c>
      <c r="R3004" s="7" t="str">
        <f t="shared" si="141"/>
        <v>(2014,38,'2014.09.20',2,7,12,25,76),</v>
      </c>
    </row>
    <row r="3005" spans="1:18" x14ac:dyDescent="0.25">
      <c r="A3005" s="7" t="s">
        <v>1938</v>
      </c>
      <c r="B3005" s="8" t="s">
        <v>24</v>
      </c>
      <c r="C3005" s="10">
        <f t="shared" si="140"/>
        <v>41909</v>
      </c>
      <c r="D3005" t="s">
        <v>11</v>
      </c>
      <c r="E3005" t="s">
        <v>12</v>
      </c>
      <c r="F3005" t="s">
        <v>152</v>
      </c>
      <c r="G3005" t="s">
        <v>1994</v>
      </c>
      <c r="H3005" t="s">
        <v>1995</v>
      </c>
      <c r="I3005" t="s">
        <v>1996</v>
      </c>
      <c r="J3005" t="s">
        <v>1997</v>
      </c>
      <c r="K3005" t="s">
        <v>1998</v>
      </c>
      <c r="L3005" s="12" t="s">
        <v>135</v>
      </c>
      <c r="M3005" s="12" t="s">
        <v>80</v>
      </c>
      <c r="N3005" s="12" t="s">
        <v>21</v>
      </c>
      <c r="O3005" s="12" t="s">
        <v>24</v>
      </c>
      <c r="P3005" s="12" t="s">
        <v>150</v>
      </c>
      <c r="Q3005" s="7" t="str">
        <f t="shared" si="139"/>
        <v>(2014,39,'2014.09.27',27,32,36,39,57,0),</v>
      </c>
      <c r="R3005" s="7" t="str">
        <f t="shared" si="141"/>
        <v>(2014,39,'2014.09.27',27,32,36,39,57),</v>
      </c>
    </row>
    <row r="3006" spans="1:18" x14ac:dyDescent="0.25">
      <c r="A3006" s="7" t="s">
        <v>1938</v>
      </c>
      <c r="B3006" s="8" t="s">
        <v>10</v>
      </c>
      <c r="C3006" s="10">
        <f t="shared" si="140"/>
        <v>41916</v>
      </c>
      <c r="D3006" t="s">
        <v>11</v>
      </c>
      <c r="E3006" t="s">
        <v>12</v>
      </c>
      <c r="F3006" t="s">
        <v>45</v>
      </c>
      <c r="G3006" t="s">
        <v>1989</v>
      </c>
      <c r="H3006" t="s">
        <v>1990</v>
      </c>
      <c r="I3006" t="s">
        <v>1991</v>
      </c>
      <c r="J3006" t="s">
        <v>1992</v>
      </c>
      <c r="K3006" t="s">
        <v>1993</v>
      </c>
      <c r="L3006" s="12" t="s">
        <v>232</v>
      </c>
      <c r="M3006" s="12" t="s">
        <v>127</v>
      </c>
      <c r="N3006" s="12" t="s">
        <v>55</v>
      </c>
      <c r="O3006" s="12" t="s">
        <v>107</v>
      </c>
      <c r="P3006" s="12" t="s">
        <v>25</v>
      </c>
      <c r="Q3006" s="7" t="str">
        <f t="shared" si="139"/>
        <v>(2014,40,'2014.10.04',8,14,19,30,34,0),</v>
      </c>
      <c r="R3006" s="7" t="str">
        <f t="shared" si="141"/>
        <v>(2014,40,'2014.10.04',8,14,19,30,34),</v>
      </c>
    </row>
    <row r="3007" spans="1:18" x14ac:dyDescent="0.25">
      <c r="A3007" s="7" t="s">
        <v>1938</v>
      </c>
      <c r="B3007" s="8" t="s">
        <v>13</v>
      </c>
      <c r="C3007" s="10">
        <f t="shared" si="140"/>
        <v>41923</v>
      </c>
      <c r="D3007" t="s">
        <v>11</v>
      </c>
      <c r="E3007" t="s">
        <v>12</v>
      </c>
      <c r="F3007" t="s">
        <v>44</v>
      </c>
      <c r="G3007" t="s">
        <v>1986</v>
      </c>
      <c r="H3007" t="s">
        <v>1987</v>
      </c>
      <c r="I3007" t="s">
        <v>1183</v>
      </c>
      <c r="J3007" t="s">
        <v>1988</v>
      </c>
      <c r="K3007" t="s">
        <v>1100</v>
      </c>
      <c r="L3007" s="12" t="s">
        <v>168</v>
      </c>
      <c r="M3007" s="12" t="s">
        <v>71</v>
      </c>
      <c r="N3007" s="12" t="s">
        <v>36</v>
      </c>
      <c r="O3007" s="12" t="s">
        <v>106</v>
      </c>
      <c r="P3007" s="12" t="s">
        <v>379</v>
      </c>
      <c r="Q3007" s="7" t="str">
        <f t="shared" si="139"/>
        <v>(2014,41,'2014.10.11',4,31,38,75,89,0),</v>
      </c>
      <c r="R3007" s="7" t="str">
        <f t="shared" si="141"/>
        <v>(2014,41,'2014.10.11',4,31,38,75,89),</v>
      </c>
    </row>
    <row r="3008" spans="1:18" x14ac:dyDescent="0.25">
      <c r="A3008" s="7" t="s">
        <v>1938</v>
      </c>
      <c r="B3008" s="8" t="s">
        <v>98</v>
      </c>
      <c r="C3008" s="10">
        <f t="shared" si="140"/>
        <v>41930</v>
      </c>
      <c r="D3008" t="s">
        <v>11</v>
      </c>
      <c r="E3008" t="s">
        <v>12</v>
      </c>
      <c r="F3008" t="s">
        <v>163</v>
      </c>
      <c r="G3008" t="s">
        <v>1982</v>
      </c>
      <c r="H3008" t="s">
        <v>1983</v>
      </c>
      <c r="I3008" t="s">
        <v>1984</v>
      </c>
      <c r="J3008" t="s">
        <v>1985</v>
      </c>
      <c r="K3008" t="s">
        <v>1813</v>
      </c>
      <c r="L3008" s="12" t="s">
        <v>62</v>
      </c>
      <c r="M3008" s="12" t="s">
        <v>90</v>
      </c>
      <c r="N3008" s="12" t="s">
        <v>91</v>
      </c>
      <c r="O3008" s="12" t="s">
        <v>248</v>
      </c>
      <c r="P3008" s="12" t="s">
        <v>239</v>
      </c>
      <c r="Q3008" s="7" t="str">
        <f t="shared" si="139"/>
        <v>(2014,42,'2014.10.18',10,17,61,63,73,0),</v>
      </c>
      <c r="R3008" s="7" t="str">
        <f t="shared" si="141"/>
        <v>(2014,42,'2014.10.18',10,17,61,63,73),</v>
      </c>
    </row>
    <row r="3009" spans="1:18" x14ac:dyDescent="0.25">
      <c r="A3009" s="7" t="s">
        <v>1938</v>
      </c>
      <c r="B3009" s="8" t="s">
        <v>45</v>
      </c>
      <c r="C3009" s="10">
        <f t="shared" si="140"/>
        <v>41937</v>
      </c>
      <c r="D3009" t="s">
        <v>11</v>
      </c>
      <c r="E3009" t="s">
        <v>12</v>
      </c>
      <c r="F3009" t="s">
        <v>81</v>
      </c>
      <c r="G3009" t="s">
        <v>1978</v>
      </c>
      <c r="H3009" t="s">
        <v>1979</v>
      </c>
      <c r="I3009" t="s">
        <v>1980</v>
      </c>
      <c r="J3009" t="s">
        <v>1981</v>
      </c>
      <c r="K3009" t="s">
        <v>323</v>
      </c>
      <c r="L3009" s="12" t="s">
        <v>135</v>
      </c>
      <c r="M3009" s="12" t="s">
        <v>34</v>
      </c>
      <c r="N3009" s="12" t="s">
        <v>201</v>
      </c>
      <c r="O3009" s="12" t="s">
        <v>151</v>
      </c>
      <c r="P3009" s="12" t="s">
        <v>215</v>
      </c>
      <c r="Q3009" s="7" t="str">
        <f t="shared" si="139"/>
        <v>(2014,43,'2014.10.25',27,49,72,79,81,0),</v>
      </c>
      <c r="R3009" s="7" t="str">
        <f t="shared" si="141"/>
        <v>(2014,43,'2014.10.25',27,49,72,79,81),</v>
      </c>
    </row>
    <row r="3010" spans="1:18" x14ac:dyDescent="0.25">
      <c r="A3010" s="7" t="s">
        <v>1938</v>
      </c>
      <c r="B3010" s="8" t="s">
        <v>142</v>
      </c>
      <c r="C3010" s="10">
        <f t="shared" si="140"/>
        <v>41944</v>
      </c>
      <c r="D3010" t="s">
        <v>11</v>
      </c>
      <c r="E3010" t="s">
        <v>12</v>
      </c>
      <c r="F3010" t="s">
        <v>55</v>
      </c>
      <c r="G3010" t="s">
        <v>1975</v>
      </c>
      <c r="H3010" t="s">
        <v>1976</v>
      </c>
      <c r="I3010" t="s">
        <v>968</v>
      </c>
      <c r="J3010" t="s">
        <v>1977</v>
      </c>
      <c r="K3010" t="s">
        <v>307</v>
      </c>
      <c r="L3010" s="12" t="s">
        <v>46</v>
      </c>
      <c r="M3010" s="12" t="s">
        <v>124</v>
      </c>
      <c r="N3010" s="12" t="s">
        <v>233</v>
      </c>
      <c r="O3010" s="12" t="s">
        <v>468</v>
      </c>
      <c r="P3010" s="12" t="s">
        <v>186</v>
      </c>
      <c r="Q3010" s="7" t="str">
        <f t="shared" ref="Q3010:Q3073" si="142">"("&amp;A3010&amp;","&amp;B3010&amp;",'"&amp;TEXT(C3010,"éééé.hh.nn")&amp;"',"&amp;L3010&amp;","&amp;M3010&amp;","&amp;N3010&amp;","&amp;O3010&amp;","&amp;P3010&amp;",0)"&amp;IF(P3011&lt;&gt;0,",","")</f>
        <v>(2014,44,'2014.11.01',37,62,66,85,90,0),</v>
      </c>
      <c r="R3010" s="7" t="str">
        <f t="shared" si="141"/>
        <v>(2014,44,'2014.11.01',37,62,66,85,90),</v>
      </c>
    </row>
    <row r="3011" spans="1:18" x14ac:dyDescent="0.25">
      <c r="A3011" s="7" t="s">
        <v>1938</v>
      </c>
      <c r="B3011" s="8" t="s">
        <v>133</v>
      </c>
      <c r="C3011" s="10">
        <f t="shared" ref="C3011:C3074" si="143">+C3010+7</f>
        <v>41951</v>
      </c>
      <c r="D3011" t="s">
        <v>11</v>
      </c>
      <c r="E3011" t="s">
        <v>12</v>
      </c>
      <c r="F3011" t="s">
        <v>127</v>
      </c>
      <c r="G3011" t="s">
        <v>1971</v>
      </c>
      <c r="H3011" t="s">
        <v>1972</v>
      </c>
      <c r="I3011" t="s">
        <v>1973</v>
      </c>
      <c r="J3011" t="s">
        <v>1974</v>
      </c>
      <c r="K3011" t="s">
        <v>473</v>
      </c>
      <c r="L3011" s="12" t="s">
        <v>127</v>
      </c>
      <c r="M3011" s="12" t="s">
        <v>107</v>
      </c>
      <c r="N3011" s="12" t="s">
        <v>122</v>
      </c>
      <c r="O3011" s="12" t="s">
        <v>124</v>
      </c>
      <c r="P3011" s="12" t="s">
        <v>63</v>
      </c>
      <c r="Q3011" s="7" t="str">
        <f t="shared" si="142"/>
        <v>(2014,45,'2014.11.08',14,30,51,62,78,0),</v>
      </c>
      <c r="R3011" s="7" t="str">
        <f t="shared" ref="R3011:R3074" si="144">IF(TRIM(P3011)="","","("&amp;A3011&amp;","&amp;B3011&amp;",'"&amp;TEXT(C3011,"éééé.hh.nn")&amp;"',"&amp;L3011&amp;","&amp;M3011&amp;","&amp;N3011&amp;","&amp;O3011&amp;","&amp;P3011&amp;")"&amp;IF(P3012=0,";",","))</f>
        <v>(2014,45,'2014.11.08',14,30,51,62,78),</v>
      </c>
    </row>
    <row r="3012" spans="1:18" x14ac:dyDescent="0.25">
      <c r="A3012" s="7" t="s">
        <v>1938</v>
      </c>
      <c r="B3012" s="8" t="s">
        <v>192</v>
      </c>
      <c r="C3012" s="10">
        <f t="shared" si="143"/>
        <v>41958</v>
      </c>
      <c r="D3012" t="s">
        <v>11</v>
      </c>
      <c r="E3012" t="s">
        <v>12</v>
      </c>
      <c r="F3012" t="s">
        <v>34</v>
      </c>
      <c r="G3012" t="s">
        <v>1966</v>
      </c>
      <c r="H3012" t="s">
        <v>1967</v>
      </c>
      <c r="I3012" t="s">
        <v>1968</v>
      </c>
      <c r="J3012" t="s">
        <v>1969</v>
      </c>
      <c r="K3012" t="s">
        <v>1970</v>
      </c>
      <c r="L3012" s="12" t="s">
        <v>198</v>
      </c>
      <c r="M3012" s="12" t="s">
        <v>55</v>
      </c>
      <c r="N3012" s="12" t="s">
        <v>150</v>
      </c>
      <c r="O3012" s="12" t="s">
        <v>91</v>
      </c>
      <c r="P3012" s="12" t="s">
        <v>124</v>
      </c>
      <c r="Q3012" s="7" t="str">
        <f t="shared" si="142"/>
        <v>(2014,46,'2014.11.15',9,19,57,61,62,0),</v>
      </c>
      <c r="R3012" s="7" t="str">
        <f t="shared" si="144"/>
        <v>(2014,46,'2014.11.15',9,19,57,61,62),</v>
      </c>
    </row>
    <row r="3013" spans="1:18" x14ac:dyDescent="0.25">
      <c r="A3013" s="7" t="s">
        <v>1938</v>
      </c>
      <c r="B3013" s="8" t="s">
        <v>81</v>
      </c>
      <c r="C3013" s="10">
        <f t="shared" si="143"/>
        <v>41965</v>
      </c>
      <c r="D3013" t="s">
        <v>11</v>
      </c>
      <c r="E3013" t="s">
        <v>12</v>
      </c>
      <c r="F3013" t="s">
        <v>1961</v>
      </c>
      <c r="G3013" t="s">
        <v>1962</v>
      </c>
      <c r="H3013" t="s">
        <v>1963</v>
      </c>
      <c r="I3013" t="s">
        <v>1964</v>
      </c>
      <c r="J3013" t="s">
        <v>1965</v>
      </c>
      <c r="K3013" t="s">
        <v>1862</v>
      </c>
      <c r="L3013" s="12" t="s">
        <v>152</v>
      </c>
      <c r="M3013" s="12" t="s">
        <v>36</v>
      </c>
      <c r="N3013" s="12" t="s">
        <v>45</v>
      </c>
      <c r="O3013" s="12" t="s">
        <v>150</v>
      </c>
      <c r="P3013" s="12" t="s">
        <v>201</v>
      </c>
      <c r="Q3013" s="7" t="str">
        <f t="shared" si="142"/>
        <v>(2014,47,'2014.11.22',25,38,43,57,72,0),</v>
      </c>
      <c r="R3013" s="7" t="str">
        <f t="shared" si="144"/>
        <v>(2014,47,'2014.11.22',25,38,43,57,72),</v>
      </c>
    </row>
    <row r="3014" spans="1:18" x14ac:dyDescent="0.25">
      <c r="A3014" s="7" t="s">
        <v>1938</v>
      </c>
      <c r="B3014" s="8" t="s">
        <v>22</v>
      </c>
      <c r="C3014" s="10">
        <f t="shared" si="143"/>
        <v>41972</v>
      </c>
      <c r="D3014" t="s">
        <v>11</v>
      </c>
      <c r="E3014" t="s">
        <v>12</v>
      </c>
      <c r="F3014" t="s">
        <v>142</v>
      </c>
      <c r="G3014" t="s">
        <v>1957</v>
      </c>
      <c r="H3014" t="s">
        <v>1958</v>
      </c>
      <c r="I3014" t="s">
        <v>1959</v>
      </c>
      <c r="J3014" t="s">
        <v>1960</v>
      </c>
      <c r="K3014" t="s">
        <v>954</v>
      </c>
      <c r="L3014" s="12" t="s">
        <v>46</v>
      </c>
      <c r="M3014" s="12" t="s">
        <v>133</v>
      </c>
      <c r="N3014" s="12" t="s">
        <v>82</v>
      </c>
      <c r="O3014" s="12" t="s">
        <v>35</v>
      </c>
      <c r="P3014" s="12" t="s">
        <v>73</v>
      </c>
      <c r="Q3014" s="7" t="str">
        <f t="shared" si="142"/>
        <v>(2014,48,'2014.11.29',37,45,59,65,76,0),</v>
      </c>
      <c r="R3014" s="7" t="str">
        <f t="shared" si="144"/>
        <v>(2014,48,'2014.11.29',37,45,59,65,76),</v>
      </c>
    </row>
    <row r="3015" spans="1:18" x14ac:dyDescent="0.25">
      <c r="A3015" s="7" t="s">
        <v>1938</v>
      </c>
      <c r="B3015" s="8" t="s">
        <v>34</v>
      </c>
      <c r="C3015" s="10">
        <f t="shared" si="143"/>
        <v>41979</v>
      </c>
      <c r="D3015" t="s">
        <v>11</v>
      </c>
      <c r="E3015" t="s">
        <v>12</v>
      </c>
      <c r="F3015" t="s">
        <v>1951</v>
      </c>
      <c r="G3015" t="s">
        <v>1952</v>
      </c>
      <c r="H3015" t="s">
        <v>1953</v>
      </c>
      <c r="I3015" t="s">
        <v>1954</v>
      </c>
      <c r="J3015" t="s">
        <v>1955</v>
      </c>
      <c r="K3015" t="s">
        <v>1956</v>
      </c>
      <c r="L3015" s="12" t="s">
        <v>53</v>
      </c>
      <c r="M3015" s="12" t="s">
        <v>55</v>
      </c>
      <c r="N3015" s="12" t="s">
        <v>163</v>
      </c>
      <c r="O3015" s="12" t="s">
        <v>142</v>
      </c>
      <c r="P3015" s="12" t="s">
        <v>233</v>
      </c>
      <c r="Q3015" s="7" t="str">
        <f t="shared" si="142"/>
        <v>(2014,49,'2014.12.06',7,19,23,44,66,0),</v>
      </c>
      <c r="R3015" s="7" t="str">
        <f t="shared" si="144"/>
        <v>(2014,49,'2014.12.06',7,19,23,44,66),</v>
      </c>
    </row>
    <row r="3016" spans="1:18" x14ac:dyDescent="0.25">
      <c r="A3016" s="7" t="s">
        <v>1938</v>
      </c>
      <c r="B3016" s="8" t="s">
        <v>105</v>
      </c>
      <c r="C3016" s="10">
        <f t="shared" si="143"/>
        <v>41986</v>
      </c>
      <c r="D3016" t="s">
        <v>11</v>
      </c>
      <c r="E3016" t="s">
        <v>12</v>
      </c>
      <c r="F3016" t="s">
        <v>107</v>
      </c>
      <c r="G3016" t="s">
        <v>1947</v>
      </c>
      <c r="H3016" t="s">
        <v>1948</v>
      </c>
      <c r="I3016" t="s">
        <v>1678</v>
      </c>
      <c r="J3016" t="s">
        <v>1949</v>
      </c>
      <c r="K3016" t="s">
        <v>1950</v>
      </c>
      <c r="L3016" s="12" t="s">
        <v>42</v>
      </c>
      <c r="M3016" s="12" t="s">
        <v>168</v>
      </c>
      <c r="N3016" s="12" t="s">
        <v>175</v>
      </c>
      <c r="O3016" s="12" t="s">
        <v>134</v>
      </c>
      <c r="P3016" s="12" t="s">
        <v>47</v>
      </c>
      <c r="Q3016" s="7" t="str">
        <f t="shared" si="142"/>
        <v>(2014,50,'2014.12.13',3,4,55,56,69,0),</v>
      </c>
      <c r="R3016" s="7" t="str">
        <f t="shared" si="144"/>
        <v>(2014,50,'2014.12.13',3,4,55,56,69),</v>
      </c>
    </row>
    <row r="3017" spans="1:18" x14ac:dyDescent="0.25">
      <c r="A3017" s="7" t="s">
        <v>1938</v>
      </c>
      <c r="B3017" s="8" t="s">
        <v>122</v>
      </c>
      <c r="C3017" s="10">
        <f t="shared" si="143"/>
        <v>41993</v>
      </c>
      <c r="D3017" t="s">
        <v>11</v>
      </c>
      <c r="E3017" t="s">
        <v>12</v>
      </c>
      <c r="F3017" t="s">
        <v>74</v>
      </c>
      <c r="G3017" t="s">
        <v>1943</v>
      </c>
      <c r="H3017" t="s">
        <v>1944</v>
      </c>
      <c r="I3017" t="s">
        <v>1945</v>
      </c>
      <c r="J3017" t="s">
        <v>1946</v>
      </c>
      <c r="K3017" t="s">
        <v>1546</v>
      </c>
      <c r="L3017" s="12" t="s">
        <v>270</v>
      </c>
      <c r="M3017" s="12" t="s">
        <v>53</v>
      </c>
      <c r="N3017" s="12" t="s">
        <v>10</v>
      </c>
      <c r="O3017" s="12" t="s">
        <v>150</v>
      </c>
      <c r="P3017" s="12" t="s">
        <v>72</v>
      </c>
      <c r="Q3017" s="7" t="str">
        <f t="shared" si="142"/>
        <v>(2014,51,'2014.12.20',6,7,40,57,67,0),</v>
      </c>
      <c r="R3017" s="7" t="str">
        <f t="shared" si="144"/>
        <v>(2014,51,'2014.12.20',6,7,40,57,67),</v>
      </c>
    </row>
    <row r="3018" spans="1:18" x14ac:dyDescent="0.25">
      <c r="A3018" s="7" t="s">
        <v>1938</v>
      </c>
      <c r="B3018" s="8" t="s">
        <v>99</v>
      </c>
      <c r="C3018" s="10">
        <f t="shared" si="143"/>
        <v>42000</v>
      </c>
      <c r="D3018" t="s">
        <v>11</v>
      </c>
      <c r="E3018" t="s">
        <v>12</v>
      </c>
      <c r="F3018" t="s">
        <v>116</v>
      </c>
      <c r="G3018" t="s">
        <v>1939</v>
      </c>
      <c r="H3018" t="s">
        <v>1940</v>
      </c>
      <c r="I3018" t="s">
        <v>1941</v>
      </c>
      <c r="J3018" t="s">
        <v>1942</v>
      </c>
      <c r="K3018" t="s">
        <v>1369</v>
      </c>
      <c r="L3018" s="12" t="s">
        <v>62</v>
      </c>
      <c r="M3018" s="12" t="s">
        <v>83</v>
      </c>
      <c r="N3018" s="12" t="s">
        <v>116</v>
      </c>
      <c r="O3018" s="12" t="s">
        <v>64</v>
      </c>
      <c r="P3018" s="12" t="s">
        <v>22</v>
      </c>
      <c r="Q3018" s="7" t="str">
        <f t="shared" si="142"/>
        <v>(2014,52,'2014.12.27',10,11,29,35,48,0),</v>
      </c>
      <c r="R3018" s="7" t="str">
        <f t="shared" si="144"/>
        <v>(2014,52,'2014.12.27',10,11,29,35,48),</v>
      </c>
    </row>
    <row r="3019" spans="1:18" x14ac:dyDescent="0.25">
      <c r="A3019" s="7" t="s">
        <v>1720</v>
      </c>
      <c r="B3019" s="8" t="s">
        <v>108</v>
      </c>
      <c r="C3019" s="10">
        <f t="shared" si="143"/>
        <v>42007</v>
      </c>
      <c r="D3019" t="s">
        <v>11</v>
      </c>
      <c r="E3019" t="s">
        <v>12</v>
      </c>
      <c r="F3019" t="s">
        <v>62</v>
      </c>
      <c r="G3019" t="s">
        <v>1934</v>
      </c>
      <c r="H3019" t="s">
        <v>1935</v>
      </c>
      <c r="I3019" t="s">
        <v>1936</v>
      </c>
      <c r="J3019" t="s">
        <v>1937</v>
      </c>
      <c r="K3019" t="s">
        <v>1336</v>
      </c>
      <c r="L3019" s="12" t="s">
        <v>192</v>
      </c>
      <c r="M3019" s="12" t="s">
        <v>123</v>
      </c>
      <c r="N3019" s="12" t="s">
        <v>175</v>
      </c>
      <c r="O3019" s="12" t="s">
        <v>200</v>
      </c>
      <c r="P3019" s="12" t="s">
        <v>468</v>
      </c>
      <c r="Q3019" s="7" t="str">
        <f t="shared" si="142"/>
        <v>(2015,1,'2015.01.03',46,54,55,70,85,0),</v>
      </c>
      <c r="R3019" s="7" t="str">
        <f t="shared" si="144"/>
        <v>(2015,1,'2015.01.03',46,54,55,70,85),</v>
      </c>
    </row>
    <row r="3020" spans="1:18" x14ac:dyDescent="0.25">
      <c r="A3020" s="7" t="s">
        <v>1720</v>
      </c>
      <c r="B3020" s="8" t="s">
        <v>207</v>
      </c>
      <c r="C3020" s="10">
        <f t="shared" si="143"/>
        <v>42014</v>
      </c>
      <c r="D3020" t="s">
        <v>11</v>
      </c>
      <c r="E3020" t="s">
        <v>12</v>
      </c>
      <c r="F3020" t="s">
        <v>1928</v>
      </c>
      <c r="G3020" t="s">
        <v>1929</v>
      </c>
      <c r="H3020" t="s">
        <v>1930</v>
      </c>
      <c r="I3020" t="s">
        <v>1931</v>
      </c>
      <c r="J3020" t="s">
        <v>1932</v>
      </c>
      <c r="K3020" t="s">
        <v>1933</v>
      </c>
      <c r="L3020" s="12" t="s">
        <v>89</v>
      </c>
      <c r="M3020" s="12" t="s">
        <v>55</v>
      </c>
      <c r="N3020" s="12" t="s">
        <v>163</v>
      </c>
      <c r="O3020" s="12" t="s">
        <v>152</v>
      </c>
      <c r="P3020" s="12" t="s">
        <v>72</v>
      </c>
      <c r="Q3020" s="7" t="str">
        <f t="shared" si="142"/>
        <v>(2015,2,'2015.01.10',5,19,23,25,67,0),</v>
      </c>
      <c r="R3020" s="7" t="str">
        <f t="shared" si="144"/>
        <v>(2015,2,'2015.01.10',5,19,23,25,67),</v>
      </c>
    </row>
    <row r="3021" spans="1:18" x14ac:dyDescent="0.25">
      <c r="A3021" s="7" t="s">
        <v>1720</v>
      </c>
      <c r="B3021" s="8" t="s">
        <v>42</v>
      </c>
      <c r="C3021" s="10">
        <f t="shared" si="143"/>
        <v>42021</v>
      </c>
      <c r="D3021" t="s">
        <v>11</v>
      </c>
      <c r="E3021" t="s">
        <v>12</v>
      </c>
      <c r="F3021" t="s">
        <v>126</v>
      </c>
      <c r="G3021" t="s">
        <v>1924</v>
      </c>
      <c r="H3021" t="s">
        <v>1925</v>
      </c>
      <c r="I3021" t="s">
        <v>1926</v>
      </c>
      <c r="J3021" t="s">
        <v>1927</v>
      </c>
      <c r="K3021" t="s">
        <v>575</v>
      </c>
      <c r="L3021" s="12" t="s">
        <v>248</v>
      </c>
      <c r="M3021" s="12" t="s">
        <v>92</v>
      </c>
      <c r="N3021" s="12" t="s">
        <v>47</v>
      </c>
      <c r="O3021" s="12" t="s">
        <v>106</v>
      </c>
      <c r="P3021" s="12" t="s">
        <v>308</v>
      </c>
      <c r="Q3021" s="7" t="str">
        <f t="shared" si="142"/>
        <v>(2015,3,'2015.01.17',63,68,69,75,86,0),</v>
      </c>
      <c r="R3021" s="7" t="str">
        <f t="shared" si="144"/>
        <v>(2015,3,'2015.01.17',63,68,69,75,86),</v>
      </c>
    </row>
    <row r="3022" spans="1:18" x14ac:dyDescent="0.25">
      <c r="A3022" s="7" t="s">
        <v>1720</v>
      </c>
      <c r="B3022" s="8" t="s">
        <v>168</v>
      </c>
      <c r="C3022" s="10">
        <f t="shared" si="143"/>
        <v>42028</v>
      </c>
      <c r="D3022" t="s">
        <v>11</v>
      </c>
      <c r="E3022" t="s">
        <v>12</v>
      </c>
      <c r="F3022" t="s">
        <v>33</v>
      </c>
      <c r="G3022" t="s">
        <v>1920</v>
      </c>
      <c r="H3022" t="s">
        <v>1921</v>
      </c>
      <c r="I3022" t="s">
        <v>1922</v>
      </c>
      <c r="J3022" t="s">
        <v>1923</v>
      </c>
      <c r="K3022" t="s">
        <v>1242</v>
      </c>
      <c r="L3022" s="12" t="s">
        <v>42</v>
      </c>
      <c r="M3022" s="12" t="s">
        <v>105</v>
      </c>
      <c r="N3022" s="12" t="s">
        <v>175</v>
      </c>
      <c r="O3022" s="12" t="s">
        <v>150</v>
      </c>
      <c r="P3022" s="12" t="s">
        <v>169</v>
      </c>
      <c r="Q3022" s="7" t="str">
        <f t="shared" si="142"/>
        <v>(2015,4,'2015.01.24',3,50,55,57,58,0),</v>
      </c>
      <c r="R3022" s="7" t="str">
        <f t="shared" si="144"/>
        <v>(2015,4,'2015.01.24',3,50,55,57,58),</v>
      </c>
    </row>
    <row r="3023" spans="1:18" x14ac:dyDescent="0.25">
      <c r="A3023" s="7" t="s">
        <v>1720</v>
      </c>
      <c r="B3023" s="8" t="s">
        <v>89</v>
      </c>
      <c r="C3023" s="10">
        <f t="shared" si="143"/>
        <v>42035</v>
      </c>
      <c r="D3023" t="s">
        <v>11</v>
      </c>
      <c r="E3023" t="s">
        <v>12</v>
      </c>
      <c r="F3023" t="s">
        <v>45</v>
      </c>
      <c r="G3023" t="s">
        <v>1917</v>
      </c>
      <c r="H3023" t="s">
        <v>1918</v>
      </c>
      <c r="I3023" t="s">
        <v>916</v>
      </c>
      <c r="J3023" t="s">
        <v>1919</v>
      </c>
      <c r="K3023" t="s">
        <v>789</v>
      </c>
      <c r="L3023" s="12" t="s">
        <v>135</v>
      </c>
      <c r="M3023" s="12" t="s">
        <v>64</v>
      </c>
      <c r="N3023" s="12" t="s">
        <v>98</v>
      </c>
      <c r="O3023" s="12" t="s">
        <v>175</v>
      </c>
      <c r="P3023" s="12" t="s">
        <v>56</v>
      </c>
      <c r="Q3023" s="7" t="str">
        <f t="shared" si="142"/>
        <v>(2015,5,'2015.01.31',27,35,42,55,71,0),</v>
      </c>
      <c r="R3023" s="7" t="str">
        <f t="shared" si="144"/>
        <v>(2015,5,'2015.01.31',27,35,42,55,71),</v>
      </c>
    </row>
    <row r="3024" spans="1:18" x14ac:dyDescent="0.25">
      <c r="A3024" s="7" t="s">
        <v>1720</v>
      </c>
      <c r="B3024" s="8" t="s">
        <v>270</v>
      </c>
      <c r="C3024" s="10">
        <f t="shared" si="143"/>
        <v>42042</v>
      </c>
      <c r="D3024" t="s">
        <v>11</v>
      </c>
      <c r="E3024" t="s">
        <v>12</v>
      </c>
      <c r="F3024" t="s">
        <v>106</v>
      </c>
      <c r="G3024" t="s">
        <v>1912</v>
      </c>
      <c r="H3024" t="s">
        <v>1913</v>
      </c>
      <c r="I3024" t="s">
        <v>1914</v>
      </c>
      <c r="J3024" t="s">
        <v>1915</v>
      </c>
      <c r="K3024" t="s">
        <v>1916</v>
      </c>
      <c r="L3024" s="12" t="s">
        <v>19</v>
      </c>
      <c r="M3024" s="12" t="s">
        <v>135</v>
      </c>
      <c r="N3024" s="12" t="s">
        <v>99</v>
      </c>
      <c r="O3024" s="12" t="s">
        <v>150</v>
      </c>
      <c r="P3024" s="12" t="s">
        <v>239</v>
      </c>
      <c r="Q3024" s="7" t="str">
        <f t="shared" si="142"/>
        <v>(2015,6,'2015.02.07',18,27,52,57,73,0),</v>
      </c>
      <c r="R3024" s="7" t="str">
        <f t="shared" si="144"/>
        <v>(2015,6,'2015.02.07',18,27,52,57,73),</v>
      </c>
    </row>
    <row r="3025" spans="1:18" x14ac:dyDescent="0.25">
      <c r="A3025" s="7" t="s">
        <v>1720</v>
      </c>
      <c r="B3025" s="8" t="s">
        <v>53</v>
      </c>
      <c r="C3025" s="10">
        <f t="shared" si="143"/>
        <v>42049</v>
      </c>
      <c r="D3025" t="s">
        <v>11</v>
      </c>
      <c r="E3025" t="s">
        <v>12</v>
      </c>
      <c r="F3025" t="s">
        <v>25</v>
      </c>
      <c r="G3025" t="s">
        <v>1907</v>
      </c>
      <c r="H3025" t="s">
        <v>1908</v>
      </c>
      <c r="I3025" t="s">
        <v>1909</v>
      </c>
      <c r="J3025" t="s">
        <v>1910</v>
      </c>
      <c r="K3025" t="s">
        <v>1911</v>
      </c>
      <c r="L3025" s="12" t="s">
        <v>19</v>
      </c>
      <c r="M3025" s="12" t="s">
        <v>71</v>
      </c>
      <c r="N3025" s="12" t="s">
        <v>192</v>
      </c>
      <c r="O3025" s="12" t="s">
        <v>34</v>
      </c>
      <c r="P3025" s="12" t="s">
        <v>468</v>
      </c>
      <c r="Q3025" s="7" t="str">
        <f t="shared" si="142"/>
        <v>(2015,7,'2015.02.14',18,31,46,49,85,0),</v>
      </c>
      <c r="R3025" s="7" t="str">
        <f t="shared" si="144"/>
        <v>(2015,7,'2015.02.14',18,31,46,49,85),</v>
      </c>
    </row>
    <row r="3026" spans="1:18" x14ac:dyDescent="0.25">
      <c r="A3026" s="7" t="s">
        <v>1720</v>
      </c>
      <c r="B3026" s="8" t="s">
        <v>232</v>
      </c>
      <c r="C3026" s="10">
        <f t="shared" si="143"/>
        <v>42056</v>
      </c>
      <c r="D3026" t="s">
        <v>11</v>
      </c>
      <c r="E3026" t="s">
        <v>12</v>
      </c>
      <c r="F3026" t="s">
        <v>32</v>
      </c>
      <c r="G3026" t="s">
        <v>1903</v>
      </c>
      <c r="H3026" t="s">
        <v>1904</v>
      </c>
      <c r="I3026" t="s">
        <v>1905</v>
      </c>
      <c r="J3026" t="s">
        <v>1906</v>
      </c>
      <c r="K3026" t="s">
        <v>1298</v>
      </c>
      <c r="L3026" s="12" t="s">
        <v>108</v>
      </c>
      <c r="M3026" s="12" t="s">
        <v>133</v>
      </c>
      <c r="N3026" s="12" t="s">
        <v>214</v>
      </c>
      <c r="O3026" s="12" t="s">
        <v>239</v>
      </c>
      <c r="P3026" s="12" t="s">
        <v>308</v>
      </c>
      <c r="Q3026" s="7" t="str">
        <f t="shared" si="142"/>
        <v>(2015,8,'2015.02.21',1,45,64,73,86,0),</v>
      </c>
      <c r="R3026" s="7" t="str">
        <f t="shared" si="144"/>
        <v>(2015,8,'2015.02.21',1,45,64,73,86),</v>
      </c>
    </row>
    <row r="3027" spans="1:18" x14ac:dyDescent="0.25">
      <c r="A3027" s="7" t="s">
        <v>1720</v>
      </c>
      <c r="B3027" s="8" t="s">
        <v>198</v>
      </c>
      <c r="C3027" s="10">
        <f t="shared" si="143"/>
        <v>42063</v>
      </c>
      <c r="D3027" t="s">
        <v>11</v>
      </c>
      <c r="E3027" t="s">
        <v>12</v>
      </c>
      <c r="F3027" t="s">
        <v>34</v>
      </c>
      <c r="G3027" t="s">
        <v>1899</v>
      </c>
      <c r="H3027" t="s">
        <v>1900</v>
      </c>
      <c r="I3027" t="s">
        <v>1901</v>
      </c>
      <c r="J3027" t="s">
        <v>1902</v>
      </c>
      <c r="K3027" t="s">
        <v>931</v>
      </c>
      <c r="L3027" s="12" t="s">
        <v>19</v>
      </c>
      <c r="M3027" s="12" t="s">
        <v>55</v>
      </c>
      <c r="N3027" s="12" t="s">
        <v>32</v>
      </c>
      <c r="O3027" s="12" t="s">
        <v>124</v>
      </c>
      <c r="P3027" s="12" t="s">
        <v>72</v>
      </c>
      <c r="Q3027" s="7" t="str">
        <f t="shared" si="142"/>
        <v>(2015,9,'2015.02.28',18,19,22,62,67,0),</v>
      </c>
      <c r="R3027" s="7" t="str">
        <f t="shared" si="144"/>
        <v>(2015,9,'2015.02.28',18,19,22,62,67),</v>
      </c>
    </row>
    <row r="3028" spans="1:18" x14ac:dyDescent="0.25">
      <c r="A3028" s="7" t="s">
        <v>1720</v>
      </c>
      <c r="B3028" s="8" t="s">
        <v>62</v>
      </c>
      <c r="C3028" s="10">
        <f t="shared" si="143"/>
        <v>42070</v>
      </c>
      <c r="D3028" t="s">
        <v>11</v>
      </c>
      <c r="E3028" t="s">
        <v>12</v>
      </c>
      <c r="F3028" t="s">
        <v>192</v>
      </c>
      <c r="G3028" t="s">
        <v>1894</v>
      </c>
      <c r="H3028" t="s">
        <v>1895</v>
      </c>
      <c r="I3028" t="s">
        <v>1896</v>
      </c>
      <c r="J3028" t="s">
        <v>1897</v>
      </c>
      <c r="K3028" t="s">
        <v>1898</v>
      </c>
      <c r="L3028" s="12" t="s">
        <v>65</v>
      </c>
      <c r="M3028" s="12" t="s">
        <v>90</v>
      </c>
      <c r="N3028" s="12" t="s">
        <v>55</v>
      </c>
      <c r="O3028" s="12" t="s">
        <v>192</v>
      </c>
      <c r="P3028" s="12" t="s">
        <v>23</v>
      </c>
      <c r="Q3028" s="7" t="str">
        <f t="shared" si="142"/>
        <v>(2015,10,'2015.03.07',13,17,19,46,60,0),</v>
      </c>
      <c r="R3028" s="7" t="str">
        <f t="shared" si="144"/>
        <v>(2015,10,'2015.03.07',13,17,19,46,60),</v>
      </c>
    </row>
    <row r="3029" spans="1:18" x14ac:dyDescent="0.25">
      <c r="A3029" s="7" t="s">
        <v>1720</v>
      </c>
      <c r="B3029" s="8" t="s">
        <v>83</v>
      </c>
      <c r="C3029" s="10">
        <f t="shared" si="143"/>
        <v>42077</v>
      </c>
      <c r="D3029" t="s">
        <v>11</v>
      </c>
      <c r="E3029" t="s">
        <v>12</v>
      </c>
      <c r="F3029" t="s">
        <v>134</v>
      </c>
      <c r="G3029" t="s">
        <v>1890</v>
      </c>
      <c r="H3029" t="s">
        <v>1891</v>
      </c>
      <c r="I3029" t="s">
        <v>1892</v>
      </c>
      <c r="J3029" t="s">
        <v>1893</v>
      </c>
      <c r="K3029" t="s">
        <v>549</v>
      </c>
      <c r="L3029" s="12" t="s">
        <v>83</v>
      </c>
      <c r="M3029" s="12" t="s">
        <v>13</v>
      </c>
      <c r="N3029" s="12" t="s">
        <v>98</v>
      </c>
      <c r="O3029" s="12" t="s">
        <v>133</v>
      </c>
      <c r="P3029" s="12" t="s">
        <v>143</v>
      </c>
      <c r="Q3029" s="7" t="str">
        <f t="shared" si="142"/>
        <v>(2015,11,'2015.03.14',11,41,42,45,77,0),</v>
      </c>
      <c r="R3029" s="7" t="str">
        <f t="shared" si="144"/>
        <v>(2015,11,'2015.03.14',11,41,42,45,77),</v>
      </c>
    </row>
    <row r="3030" spans="1:18" x14ac:dyDescent="0.25">
      <c r="A3030" s="7" t="s">
        <v>1720</v>
      </c>
      <c r="B3030" s="8" t="s">
        <v>31</v>
      </c>
      <c r="C3030" s="10">
        <f t="shared" si="143"/>
        <v>42084</v>
      </c>
      <c r="D3030" t="s">
        <v>11</v>
      </c>
      <c r="E3030" t="s">
        <v>12</v>
      </c>
      <c r="F3030" t="s">
        <v>134</v>
      </c>
      <c r="G3030" t="s">
        <v>1885</v>
      </c>
      <c r="H3030" t="s">
        <v>1886</v>
      </c>
      <c r="I3030" t="s">
        <v>1887</v>
      </c>
      <c r="J3030" t="s">
        <v>1888</v>
      </c>
      <c r="K3030" t="s">
        <v>1889</v>
      </c>
      <c r="L3030" s="12" t="s">
        <v>19</v>
      </c>
      <c r="M3030" s="12" t="s">
        <v>71</v>
      </c>
      <c r="N3030" s="12" t="s">
        <v>21</v>
      </c>
      <c r="O3030" s="12" t="s">
        <v>99</v>
      </c>
      <c r="P3030" s="12" t="s">
        <v>82</v>
      </c>
      <c r="Q3030" s="7" t="str">
        <f t="shared" si="142"/>
        <v>(2015,12,'2015.03.21',18,31,36,52,59,0),</v>
      </c>
      <c r="R3030" s="7" t="str">
        <f t="shared" si="144"/>
        <v>(2015,12,'2015.03.21',18,31,36,52,59),</v>
      </c>
    </row>
    <row r="3031" spans="1:18" x14ac:dyDescent="0.25">
      <c r="A3031" s="7" t="s">
        <v>1720</v>
      </c>
      <c r="B3031" s="8" t="s">
        <v>65</v>
      </c>
      <c r="C3031" s="10">
        <f t="shared" si="143"/>
        <v>42091</v>
      </c>
      <c r="D3031" t="s">
        <v>11</v>
      </c>
      <c r="E3031" t="s">
        <v>12</v>
      </c>
      <c r="F3031" t="s">
        <v>25</v>
      </c>
      <c r="G3031" t="s">
        <v>1881</v>
      </c>
      <c r="H3031" t="s">
        <v>1882</v>
      </c>
      <c r="I3031" t="s">
        <v>1883</v>
      </c>
      <c r="J3031" t="s">
        <v>1884</v>
      </c>
      <c r="K3031" t="s">
        <v>1298</v>
      </c>
      <c r="L3031" s="12" t="s">
        <v>270</v>
      </c>
      <c r="M3031" s="12" t="s">
        <v>19</v>
      </c>
      <c r="N3031" s="12" t="s">
        <v>64</v>
      </c>
      <c r="O3031" s="12" t="s">
        <v>245</v>
      </c>
      <c r="P3031" s="12" t="s">
        <v>186</v>
      </c>
      <c r="Q3031" s="7" t="str">
        <f t="shared" si="142"/>
        <v>(2015,13,'2015.03.28',6,18,35,74,90,0),</v>
      </c>
      <c r="R3031" s="7" t="str">
        <f t="shared" si="144"/>
        <v>(2015,13,'2015.03.28',6,18,35,74,90),</v>
      </c>
    </row>
    <row r="3032" spans="1:18" x14ac:dyDescent="0.25">
      <c r="A3032" s="7" t="s">
        <v>1720</v>
      </c>
      <c r="B3032" s="8" t="s">
        <v>127</v>
      </c>
      <c r="C3032" s="10">
        <f t="shared" si="143"/>
        <v>42098</v>
      </c>
      <c r="D3032" t="s">
        <v>11</v>
      </c>
      <c r="E3032" t="s">
        <v>12</v>
      </c>
      <c r="F3032" t="s">
        <v>81</v>
      </c>
      <c r="G3032" t="s">
        <v>1877</v>
      </c>
      <c r="H3032" t="s">
        <v>1878</v>
      </c>
      <c r="I3032" t="s">
        <v>1879</v>
      </c>
      <c r="J3032" t="s">
        <v>1880</v>
      </c>
      <c r="K3032" t="s">
        <v>1026</v>
      </c>
      <c r="L3032" s="12" t="s">
        <v>207</v>
      </c>
      <c r="M3032" s="12" t="s">
        <v>20</v>
      </c>
      <c r="N3032" s="12" t="s">
        <v>36</v>
      </c>
      <c r="O3032" s="12" t="s">
        <v>200</v>
      </c>
      <c r="P3032" s="12" t="s">
        <v>143</v>
      </c>
      <c r="Q3032" s="7" t="str">
        <f t="shared" si="142"/>
        <v>(2015,14,'2015.04.04',2,33,38,70,77,0),</v>
      </c>
      <c r="R3032" s="7" t="str">
        <f t="shared" si="144"/>
        <v>(2015,14,'2015.04.04',2,33,38,70,77),</v>
      </c>
    </row>
    <row r="3033" spans="1:18" x14ac:dyDescent="0.25">
      <c r="A3033" s="7" t="s">
        <v>1720</v>
      </c>
      <c r="B3033" s="8" t="s">
        <v>54</v>
      </c>
      <c r="C3033" s="10">
        <f t="shared" si="143"/>
        <v>42105</v>
      </c>
      <c r="D3033" t="s">
        <v>11</v>
      </c>
      <c r="E3033" t="s">
        <v>12</v>
      </c>
      <c r="F3033" t="s">
        <v>106</v>
      </c>
      <c r="G3033" t="s">
        <v>1874</v>
      </c>
      <c r="H3033" t="s">
        <v>1875</v>
      </c>
      <c r="I3033" t="s">
        <v>996</v>
      </c>
      <c r="J3033" t="s">
        <v>1876</v>
      </c>
      <c r="K3033" t="s">
        <v>1058</v>
      </c>
      <c r="L3033" s="12" t="s">
        <v>44</v>
      </c>
      <c r="M3033" s="12" t="s">
        <v>163</v>
      </c>
      <c r="N3033" s="12" t="s">
        <v>116</v>
      </c>
      <c r="O3033" s="12" t="s">
        <v>192</v>
      </c>
      <c r="P3033" s="12" t="s">
        <v>22</v>
      </c>
      <c r="Q3033" s="7" t="str">
        <f t="shared" si="142"/>
        <v>(2015,15,'2015.04.11',21,23,29,46,48,0),</v>
      </c>
      <c r="R3033" s="7" t="str">
        <f t="shared" si="144"/>
        <v>(2015,15,'2015.04.11',21,23,29,46,48),</v>
      </c>
    </row>
    <row r="3034" spans="1:18" x14ac:dyDescent="0.25">
      <c r="A3034" s="7" t="s">
        <v>1720</v>
      </c>
      <c r="B3034" s="8" t="s">
        <v>43</v>
      </c>
      <c r="C3034" s="10">
        <f t="shared" si="143"/>
        <v>42112</v>
      </c>
      <c r="D3034" t="s">
        <v>11</v>
      </c>
      <c r="E3034" t="s">
        <v>12</v>
      </c>
      <c r="F3034" t="s">
        <v>199</v>
      </c>
      <c r="G3034" t="s">
        <v>1870</v>
      </c>
      <c r="H3034" t="s">
        <v>1871</v>
      </c>
      <c r="I3034" t="s">
        <v>1872</v>
      </c>
      <c r="J3034" t="s">
        <v>1873</v>
      </c>
      <c r="K3034" t="s">
        <v>1715</v>
      </c>
      <c r="L3034" s="12" t="s">
        <v>152</v>
      </c>
      <c r="M3034" s="12" t="s">
        <v>134</v>
      </c>
      <c r="N3034" s="12" t="s">
        <v>150</v>
      </c>
      <c r="O3034" s="12" t="s">
        <v>215</v>
      </c>
      <c r="P3034" s="12" t="s">
        <v>308</v>
      </c>
      <c r="Q3034" s="7" t="str">
        <f t="shared" si="142"/>
        <v>(2015,16,'2015.04.18',25,56,57,81,86,0),</v>
      </c>
      <c r="R3034" s="7" t="str">
        <f t="shared" si="144"/>
        <v>(2015,16,'2015.04.18',25,56,57,81,86),</v>
      </c>
    </row>
    <row r="3035" spans="1:18" x14ac:dyDescent="0.25">
      <c r="A3035" s="7" t="s">
        <v>1720</v>
      </c>
      <c r="B3035" s="8" t="s">
        <v>90</v>
      </c>
      <c r="C3035" s="10">
        <f t="shared" si="143"/>
        <v>42119</v>
      </c>
      <c r="D3035" t="s">
        <v>11</v>
      </c>
      <c r="E3035" t="s">
        <v>12</v>
      </c>
      <c r="F3035" t="s">
        <v>21</v>
      </c>
      <c r="G3035" t="s">
        <v>1867</v>
      </c>
      <c r="H3035" t="s">
        <v>1708</v>
      </c>
      <c r="I3035" t="s">
        <v>1868</v>
      </c>
      <c r="J3035" t="s">
        <v>1869</v>
      </c>
      <c r="K3035" t="s">
        <v>1433</v>
      </c>
      <c r="L3035" s="12" t="s">
        <v>207</v>
      </c>
      <c r="M3035" s="12" t="s">
        <v>105</v>
      </c>
      <c r="N3035" s="12" t="s">
        <v>175</v>
      </c>
      <c r="O3035" s="12" t="s">
        <v>35</v>
      </c>
      <c r="P3035" s="12" t="s">
        <v>246</v>
      </c>
      <c r="Q3035" s="7" t="str">
        <f t="shared" si="142"/>
        <v>(2015,17,'2015.04.25',2,50,55,65,84,0),</v>
      </c>
      <c r="R3035" s="7" t="str">
        <f t="shared" si="144"/>
        <v>(2015,17,'2015.04.25',2,50,55,65,84),</v>
      </c>
    </row>
    <row r="3036" spans="1:18" x14ac:dyDescent="0.25">
      <c r="A3036" s="7" t="s">
        <v>1720</v>
      </c>
      <c r="B3036" s="8" t="s">
        <v>19</v>
      </c>
      <c r="C3036" s="10">
        <f t="shared" si="143"/>
        <v>42126</v>
      </c>
      <c r="D3036" t="s">
        <v>11</v>
      </c>
      <c r="E3036" t="s">
        <v>12</v>
      </c>
      <c r="F3036" t="s">
        <v>21</v>
      </c>
      <c r="G3036" t="s">
        <v>1863</v>
      </c>
      <c r="H3036" t="s">
        <v>1864</v>
      </c>
      <c r="I3036" t="s">
        <v>1865</v>
      </c>
      <c r="J3036" t="s">
        <v>1866</v>
      </c>
      <c r="K3036" t="s">
        <v>978</v>
      </c>
      <c r="L3036" s="12" t="s">
        <v>232</v>
      </c>
      <c r="M3036" s="12" t="s">
        <v>35</v>
      </c>
      <c r="N3036" s="12" t="s">
        <v>72</v>
      </c>
      <c r="O3036" s="12" t="s">
        <v>47</v>
      </c>
      <c r="P3036" s="12" t="s">
        <v>622</v>
      </c>
      <c r="Q3036" s="7" t="str">
        <f t="shared" si="142"/>
        <v>(2015,18,'2015.05.02',8,65,67,69,82,0),</v>
      </c>
      <c r="R3036" s="7" t="str">
        <f t="shared" si="144"/>
        <v>(2015,18,'2015.05.02',8,65,67,69,82),</v>
      </c>
    </row>
    <row r="3037" spans="1:18" x14ac:dyDescent="0.25">
      <c r="A3037" s="7" t="s">
        <v>1720</v>
      </c>
      <c r="B3037" s="8" t="s">
        <v>55</v>
      </c>
      <c r="C3037" s="10">
        <f t="shared" si="143"/>
        <v>42133</v>
      </c>
      <c r="D3037" t="s">
        <v>11</v>
      </c>
      <c r="E3037" t="s">
        <v>12</v>
      </c>
      <c r="F3037" t="s">
        <v>318</v>
      </c>
      <c r="G3037" t="s">
        <v>1858</v>
      </c>
      <c r="H3037" t="s">
        <v>1859</v>
      </c>
      <c r="I3037" t="s">
        <v>1860</v>
      </c>
      <c r="J3037" t="s">
        <v>1861</v>
      </c>
      <c r="K3037" t="s">
        <v>1862</v>
      </c>
      <c r="L3037" s="12" t="s">
        <v>19</v>
      </c>
      <c r="M3037" s="12" t="s">
        <v>46</v>
      </c>
      <c r="N3037" s="12" t="s">
        <v>142</v>
      </c>
      <c r="O3037" s="12" t="s">
        <v>99</v>
      </c>
      <c r="P3037" s="12" t="s">
        <v>73</v>
      </c>
      <c r="Q3037" s="7" t="str">
        <f t="shared" si="142"/>
        <v>(2015,19,'2015.05.09',18,37,44,52,76,0),</v>
      </c>
      <c r="R3037" s="7" t="str">
        <f t="shared" si="144"/>
        <v>(2015,19,'2015.05.09',18,37,44,52,76),</v>
      </c>
    </row>
    <row r="3038" spans="1:18" x14ac:dyDescent="0.25">
      <c r="A3038" s="7" t="s">
        <v>1720</v>
      </c>
      <c r="B3038" s="8" t="s">
        <v>115</v>
      </c>
      <c r="C3038" s="10">
        <f t="shared" si="143"/>
        <v>42140</v>
      </c>
      <c r="D3038" t="s">
        <v>11</v>
      </c>
      <c r="E3038" t="s">
        <v>12</v>
      </c>
      <c r="F3038" t="s">
        <v>301</v>
      </c>
      <c r="G3038" t="s">
        <v>1855</v>
      </c>
      <c r="H3038" t="s">
        <v>1856</v>
      </c>
      <c r="I3038" t="s">
        <v>1204</v>
      </c>
      <c r="J3038" t="s">
        <v>1857</v>
      </c>
      <c r="K3038" t="s">
        <v>540</v>
      </c>
      <c r="L3038" s="12" t="s">
        <v>108</v>
      </c>
      <c r="M3038" s="12" t="s">
        <v>55</v>
      </c>
      <c r="N3038" s="12" t="s">
        <v>115</v>
      </c>
      <c r="O3038" s="12" t="s">
        <v>135</v>
      </c>
      <c r="P3038" s="12" t="s">
        <v>25</v>
      </c>
      <c r="Q3038" s="7" t="str">
        <f t="shared" si="142"/>
        <v>(2015,20,'2015.05.16',1,19,20,27,34,0),</v>
      </c>
      <c r="R3038" s="7" t="str">
        <f t="shared" si="144"/>
        <v>(2015,20,'2015.05.16',1,19,20,27,34),</v>
      </c>
    </row>
    <row r="3039" spans="1:18" x14ac:dyDescent="0.25">
      <c r="A3039" s="7" t="s">
        <v>1720</v>
      </c>
      <c r="B3039" s="8" t="s">
        <v>44</v>
      </c>
      <c r="C3039" s="10">
        <f t="shared" si="143"/>
        <v>42147</v>
      </c>
      <c r="D3039" t="s">
        <v>11</v>
      </c>
      <c r="E3039" t="s">
        <v>12</v>
      </c>
      <c r="F3039" t="s">
        <v>214</v>
      </c>
      <c r="G3039" t="s">
        <v>1851</v>
      </c>
      <c r="H3039" t="s">
        <v>1852</v>
      </c>
      <c r="I3039" t="s">
        <v>1853</v>
      </c>
      <c r="J3039" t="s">
        <v>1854</v>
      </c>
      <c r="K3039" t="s">
        <v>1808</v>
      </c>
      <c r="L3039" s="12" t="s">
        <v>31</v>
      </c>
      <c r="M3039" s="12" t="s">
        <v>152</v>
      </c>
      <c r="N3039" s="12" t="s">
        <v>107</v>
      </c>
      <c r="O3039" s="12" t="s">
        <v>192</v>
      </c>
      <c r="P3039" s="12" t="s">
        <v>122</v>
      </c>
      <c r="Q3039" s="7" t="str">
        <f t="shared" si="142"/>
        <v>(2015,21,'2015.05.23',12,25,30,46,51,0),</v>
      </c>
      <c r="R3039" s="7" t="str">
        <f t="shared" si="144"/>
        <v>(2015,21,'2015.05.23',12,25,30,46,51),</v>
      </c>
    </row>
    <row r="3040" spans="1:18" x14ac:dyDescent="0.25">
      <c r="A3040" s="7" t="s">
        <v>1720</v>
      </c>
      <c r="B3040" s="8" t="s">
        <v>32</v>
      </c>
      <c r="C3040" s="10">
        <f t="shared" si="143"/>
        <v>42154</v>
      </c>
      <c r="D3040" t="s">
        <v>108</v>
      </c>
      <c r="E3040" t="s">
        <v>1846</v>
      </c>
      <c r="F3040" t="s">
        <v>99</v>
      </c>
      <c r="G3040" t="s">
        <v>1847</v>
      </c>
      <c r="H3040" t="s">
        <v>1848</v>
      </c>
      <c r="I3040" t="s">
        <v>1849</v>
      </c>
      <c r="J3040" t="s">
        <v>1850</v>
      </c>
      <c r="K3040" t="s">
        <v>114</v>
      </c>
      <c r="L3040" s="12" t="s">
        <v>19</v>
      </c>
      <c r="M3040" s="12" t="s">
        <v>175</v>
      </c>
      <c r="N3040" s="12" t="s">
        <v>134</v>
      </c>
      <c r="O3040" s="12" t="s">
        <v>125</v>
      </c>
      <c r="P3040" s="12" t="s">
        <v>186</v>
      </c>
      <c r="Q3040" s="7" t="str">
        <f t="shared" si="142"/>
        <v>(2015,22,'2015.05.30',18,55,56,83,90,0),</v>
      </c>
      <c r="R3040" s="7" t="str">
        <f t="shared" si="144"/>
        <v>(2015,22,'2015.05.30',18,55,56,83,90),</v>
      </c>
    </row>
    <row r="3041" spans="1:18" x14ac:dyDescent="0.25">
      <c r="A3041" s="7" t="s">
        <v>1720</v>
      </c>
      <c r="B3041" s="8" t="s">
        <v>163</v>
      </c>
      <c r="C3041" s="10">
        <f t="shared" si="143"/>
        <v>42161</v>
      </c>
      <c r="D3041" t="s">
        <v>11</v>
      </c>
      <c r="E3041" t="s">
        <v>12</v>
      </c>
      <c r="F3041" t="s">
        <v>90</v>
      </c>
      <c r="G3041" t="s">
        <v>1842</v>
      </c>
      <c r="H3041" t="s">
        <v>1843</v>
      </c>
      <c r="I3041" t="s">
        <v>1844</v>
      </c>
      <c r="J3041" t="s">
        <v>1845</v>
      </c>
      <c r="K3041" t="s">
        <v>589</v>
      </c>
      <c r="L3041" s="12" t="s">
        <v>54</v>
      </c>
      <c r="M3041" s="12" t="s">
        <v>43</v>
      </c>
      <c r="N3041" s="12" t="s">
        <v>21</v>
      </c>
      <c r="O3041" s="12" t="s">
        <v>23</v>
      </c>
      <c r="P3041" s="12" t="s">
        <v>200</v>
      </c>
      <c r="Q3041" s="7" t="str">
        <f t="shared" si="142"/>
        <v>(2015,23,'2015.06.06',15,16,36,60,70,0),</v>
      </c>
      <c r="R3041" s="7" t="str">
        <f t="shared" si="144"/>
        <v>(2015,23,'2015.06.06',15,16,36,60,70),</v>
      </c>
    </row>
    <row r="3042" spans="1:18" x14ac:dyDescent="0.25">
      <c r="A3042" s="7" t="s">
        <v>1720</v>
      </c>
      <c r="B3042" s="8" t="s">
        <v>33</v>
      </c>
      <c r="C3042" s="10">
        <f t="shared" si="143"/>
        <v>42168</v>
      </c>
      <c r="D3042" t="s">
        <v>11</v>
      </c>
      <c r="E3042" t="s">
        <v>12</v>
      </c>
      <c r="F3042" t="s">
        <v>175</v>
      </c>
      <c r="G3042" t="s">
        <v>1837</v>
      </c>
      <c r="H3042" t="s">
        <v>1838</v>
      </c>
      <c r="I3042" t="s">
        <v>1839</v>
      </c>
      <c r="J3042" t="s">
        <v>1840</v>
      </c>
      <c r="K3042" t="s">
        <v>1841</v>
      </c>
      <c r="L3042" s="12" t="s">
        <v>42</v>
      </c>
      <c r="M3042" s="12" t="s">
        <v>74</v>
      </c>
      <c r="N3042" s="12" t="s">
        <v>126</v>
      </c>
      <c r="O3042" s="12" t="s">
        <v>98</v>
      </c>
      <c r="P3042" s="12" t="s">
        <v>34</v>
      </c>
      <c r="Q3042" s="7" t="str">
        <f t="shared" si="142"/>
        <v>(2015,24,'2015.06.13',3,26,28,42,49,0),</v>
      </c>
      <c r="R3042" s="7" t="str">
        <f t="shared" si="144"/>
        <v>(2015,24,'2015.06.13',3,26,28,42,49),</v>
      </c>
    </row>
    <row r="3043" spans="1:18" x14ac:dyDescent="0.25">
      <c r="A3043" s="7" t="s">
        <v>1720</v>
      </c>
      <c r="B3043" s="8" t="s">
        <v>152</v>
      </c>
      <c r="C3043" s="10">
        <f t="shared" si="143"/>
        <v>42175</v>
      </c>
      <c r="D3043" t="s">
        <v>207</v>
      </c>
      <c r="E3043" t="s">
        <v>1832</v>
      </c>
      <c r="F3043" t="s">
        <v>116</v>
      </c>
      <c r="G3043" t="s">
        <v>1833</v>
      </c>
      <c r="H3043" t="s">
        <v>1834</v>
      </c>
      <c r="I3043" t="s">
        <v>1835</v>
      </c>
      <c r="J3043" t="s">
        <v>1836</v>
      </c>
      <c r="K3043" t="s">
        <v>1813</v>
      </c>
      <c r="L3043" s="12" t="s">
        <v>135</v>
      </c>
      <c r="M3043" s="12" t="s">
        <v>116</v>
      </c>
      <c r="N3043" s="12" t="s">
        <v>81</v>
      </c>
      <c r="O3043" s="12" t="s">
        <v>82</v>
      </c>
      <c r="P3043" s="12" t="s">
        <v>379</v>
      </c>
      <c r="Q3043" s="7" t="str">
        <f t="shared" si="142"/>
        <v>(2015,25,'2015.06.20',27,29,47,59,89,0),</v>
      </c>
      <c r="R3043" s="7" t="str">
        <f t="shared" si="144"/>
        <v>(2015,25,'2015.06.20',27,29,47,59,89),</v>
      </c>
    </row>
    <row r="3044" spans="1:18" x14ac:dyDescent="0.25">
      <c r="A3044" s="7" t="s">
        <v>1720</v>
      </c>
      <c r="B3044" s="8" t="s">
        <v>74</v>
      </c>
      <c r="C3044" s="10">
        <f t="shared" si="143"/>
        <v>42182</v>
      </c>
      <c r="D3044" t="s">
        <v>11</v>
      </c>
      <c r="E3044" t="s">
        <v>12</v>
      </c>
      <c r="F3044" t="s">
        <v>142</v>
      </c>
      <c r="G3044" t="s">
        <v>1829</v>
      </c>
      <c r="H3044" t="s">
        <v>1830</v>
      </c>
      <c r="I3044" t="s">
        <v>986</v>
      </c>
      <c r="J3044" t="s">
        <v>1831</v>
      </c>
      <c r="K3044" t="s">
        <v>1044</v>
      </c>
      <c r="L3044" s="12" t="s">
        <v>55</v>
      </c>
      <c r="M3044" s="12" t="s">
        <v>107</v>
      </c>
      <c r="N3044" s="12" t="s">
        <v>45</v>
      </c>
      <c r="O3044" s="12" t="s">
        <v>169</v>
      </c>
      <c r="P3044" s="12" t="s">
        <v>47</v>
      </c>
      <c r="Q3044" s="7" t="str">
        <f t="shared" si="142"/>
        <v>(2015,26,'2015.06.27',19,30,43,58,69,0),</v>
      </c>
      <c r="R3044" s="7" t="str">
        <f t="shared" si="144"/>
        <v>(2015,26,'2015.06.27',19,30,43,58,69),</v>
      </c>
    </row>
    <row r="3045" spans="1:18" x14ac:dyDescent="0.25">
      <c r="A3045" s="7" t="s">
        <v>1720</v>
      </c>
      <c r="B3045" s="8" t="s">
        <v>135</v>
      </c>
      <c r="C3045" s="10">
        <f t="shared" si="143"/>
        <v>42189</v>
      </c>
      <c r="D3045" t="s">
        <v>11</v>
      </c>
      <c r="E3045" t="s">
        <v>12</v>
      </c>
      <c r="F3045" t="s">
        <v>31</v>
      </c>
      <c r="G3045" t="s">
        <v>1825</v>
      </c>
      <c r="H3045" t="s">
        <v>1826</v>
      </c>
      <c r="I3045" t="s">
        <v>1827</v>
      </c>
      <c r="J3045" t="s">
        <v>1828</v>
      </c>
      <c r="K3045" t="s">
        <v>423</v>
      </c>
      <c r="L3045" s="12" t="s">
        <v>108</v>
      </c>
      <c r="M3045" s="12" t="s">
        <v>22</v>
      </c>
      <c r="N3045" s="12" t="s">
        <v>91</v>
      </c>
      <c r="O3045" s="12" t="s">
        <v>124</v>
      </c>
      <c r="P3045" s="12" t="s">
        <v>151</v>
      </c>
      <c r="Q3045" s="7" t="str">
        <f t="shared" si="142"/>
        <v>(2015,27,'2015.07.04',1,48,61,62,79,0),</v>
      </c>
      <c r="R3045" s="7" t="str">
        <f t="shared" si="144"/>
        <v>(2015,27,'2015.07.04',1,48,61,62,79),</v>
      </c>
    </row>
    <row r="3046" spans="1:18" x14ac:dyDescent="0.25">
      <c r="A3046" s="7" t="s">
        <v>1720</v>
      </c>
      <c r="B3046" s="8" t="s">
        <v>126</v>
      </c>
      <c r="C3046" s="10">
        <f t="shared" si="143"/>
        <v>42196</v>
      </c>
      <c r="D3046" t="s">
        <v>11</v>
      </c>
      <c r="E3046" t="s">
        <v>12</v>
      </c>
      <c r="F3046" t="s">
        <v>20</v>
      </c>
      <c r="G3046" t="s">
        <v>1822</v>
      </c>
      <c r="H3046" t="s">
        <v>1548</v>
      </c>
      <c r="I3046" t="s">
        <v>1823</v>
      </c>
      <c r="J3046" t="s">
        <v>1824</v>
      </c>
      <c r="K3046" t="s">
        <v>1497</v>
      </c>
      <c r="L3046" s="12" t="s">
        <v>62</v>
      </c>
      <c r="M3046" s="12" t="s">
        <v>19</v>
      </c>
      <c r="N3046" s="12" t="s">
        <v>74</v>
      </c>
      <c r="O3046" s="12" t="s">
        <v>21</v>
      </c>
      <c r="P3046" s="12" t="s">
        <v>36</v>
      </c>
      <c r="Q3046" s="7" t="str">
        <f t="shared" si="142"/>
        <v>(2015,28,'2015.07.11',10,18,26,36,38,0),</v>
      </c>
      <c r="R3046" s="7" t="str">
        <f t="shared" si="144"/>
        <v>(2015,28,'2015.07.11',10,18,26,36,38),</v>
      </c>
    </row>
    <row r="3047" spans="1:18" x14ac:dyDescent="0.25">
      <c r="A3047" s="7" t="s">
        <v>1720</v>
      </c>
      <c r="B3047" s="8" t="s">
        <v>116</v>
      </c>
      <c r="C3047" s="10">
        <f t="shared" si="143"/>
        <v>42203</v>
      </c>
      <c r="D3047" t="s">
        <v>11</v>
      </c>
      <c r="E3047" t="s">
        <v>12</v>
      </c>
      <c r="F3047" t="s">
        <v>36</v>
      </c>
      <c r="G3047" t="s">
        <v>1817</v>
      </c>
      <c r="H3047" t="s">
        <v>1818</v>
      </c>
      <c r="I3047" t="s">
        <v>1819</v>
      </c>
      <c r="J3047" t="s">
        <v>1820</v>
      </c>
      <c r="K3047" t="s">
        <v>1821</v>
      </c>
      <c r="L3047" s="12" t="s">
        <v>207</v>
      </c>
      <c r="M3047" s="12" t="s">
        <v>89</v>
      </c>
      <c r="N3047" s="12" t="s">
        <v>46</v>
      </c>
      <c r="O3047" s="12" t="s">
        <v>150</v>
      </c>
      <c r="P3047" s="12" t="s">
        <v>72</v>
      </c>
      <c r="Q3047" s="7" t="str">
        <f t="shared" si="142"/>
        <v>(2015,29,'2015.07.18',2,5,37,57,67,0),</v>
      </c>
      <c r="R3047" s="7" t="str">
        <f t="shared" si="144"/>
        <v>(2015,29,'2015.07.18',2,5,37,57,67),</v>
      </c>
    </row>
    <row r="3048" spans="1:18" x14ac:dyDescent="0.25">
      <c r="A3048" s="7" t="s">
        <v>1720</v>
      </c>
      <c r="B3048" s="8" t="s">
        <v>107</v>
      </c>
      <c r="C3048" s="10">
        <f t="shared" si="143"/>
        <v>42210</v>
      </c>
      <c r="D3048" t="s">
        <v>11</v>
      </c>
      <c r="E3048" t="s">
        <v>12</v>
      </c>
      <c r="F3048" t="s">
        <v>98</v>
      </c>
      <c r="G3048" t="s">
        <v>1814</v>
      </c>
      <c r="H3048" t="s">
        <v>1815</v>
      </c>
      <c r="I3048" t="s">
        <v>481</v>
      </c>
      <c r="J3048" t="s">
        <v>1816</v>
      </c>
      <c r="K3048" t="s">
        <v>1034</v>
      </c>
      <c r="L3048" s="12" t="s">
        <v>42</v>
      </c>
      <c r="M3048" s="12" t="s">
        <v>25</v>
      </c>
      <c r="N3048" s="12" t="s">
        <v>192</v>
      </c>
      <c r="O3048" s="12" t="s">
        <v>124</v>
      </c>
      <c r="P3048" s="12" t="s">
        <v>151</v>
      </c>
      <c r="Q3048" s="7" t="str">
        <f t="shared" si="142"/>
        <v>(2015,30,'2015.07.25',3,34,46,62,79,0),</v>
      </c>
      <c r="R3048" s="7" t="str">
        <f t="shared" si="144"/>
        <v>(2015,30,'2015.07.25',3,34,46,62,79),</v>
      </c>
    </row>
    <row r="3049" spans="1:18" x14ac:dyDescent="0.25">
      <c r="A3049" s="7" t="s">
        <v>1720</v>
      </c>
      <c r="B3049" s="8" t="s">
        <v>71</v>
      </c>
      <c r="C3049" s="10">
        <f t="shared" si="143"/>
        <v>42217</v>
      </c>
      <c r="D3049" t="s">
        <v>11</v>
      </c>
      <c r="E3049" t="s">
        <v>12</v>
      </c>
      <c r="F3049" t="s">
        <v>74</v>
      </c>
      <c r="G3049" t="s">
        <v>1809</v>
      </c>
      <c r="H3049" t="s">
        <v>1810</v>
      </c>
      <c r="I3049" t="s">
        <v>1811</v>
      </c>
      <c r="J3049" t="s">
        <v>1812</v>
      </c>
      <c r="K3049" t="s">
        <v>1813</v>
      </c>
      <c r="L3049" s="12" t="s">
        <v>42</v>
      </c>
      <c r="M3049" s="12" t="s">
        <v>80</v>
      </c>
      <c r="N3049" s="12" t="s">
        <v>105</v>
      </c>
      <c r="O3049" s="12" t="s">
        <v>82</v>
      </c>
      <c r="P3049" s="12" t="s">
        <v>35</v>
      </c>
      <c r="Q3049" s="7" t="str">
        <f t="shared" si="142"/>
        <v>(2015,31,'2015.08.01',3,32,50,59,65,0),</v>
      </c>
      <c r="R3049" s="7" t="str">
        <f t="shared" si="144"/>
        <v>(2015,31,'2015.08.01',3,32,50,59,65),</v>
      </c>
    </row>
    <row r="3050" spans="1:18" x14ac:dyDescent="0.25">
      <c r="A3050" s="7" t="s">
        <v>1720</v>
      </c>
      <c r="B3050" s="8" t="s">
        <v>80</v>
      </c>
      <c r="C3050" s="10">
        <f t="shared" si="143"/>
        <v>42224</v>
      </c>
      <c r="D3050" t="s">
        <v>11</v>
      </c>
      <c r="E3050" t="s">
        <v>12</v>
      </c>
      <c r="F3050" t="s">
        <v>126</v>
      </c>
      <c r="G3050" t="s">
        <v>1804</v>
      </c>
      <c r="H3050" t="s">
        <v>1805</v>
      </c>
      <c r="I3050" t="s">
        <v>1806</v>
      </c>
      <c r="J3050" t="s">
        <v>1807</v>
      </c>
      <c r="K3050" t="s">
        <v>1808</v>
      </c>
      <c r="L3050" s="12" t="s">
        <v>20</v>
      </c>
      <c r="M3050" s="12" t="s">
        <v>99</v>
      </c>
      <c r="N3050" s="12" t="s">
        <v>72</v>
      </c>
      <c r="O3050" s="12" t="s">
        <v>143</v>
      </c>
      <c r="P3050" s="12" t="s">
        <v>269</v>
      </c>
      <c r="Q3050" s="7" t="str">
        <f t="shared" si="142"/>
        <v>(2015,32,'2015.08.08',33,52,67,77,87,0),</v>
      </c>
      <c r="R3050" s="7" t="str">
        <f t="shared" si="144"/>
        <v>(2015,32,'2015.08.08',33,52,67,77,87),</v>
      </c>
    </row>
    <row r="3051" spans="1:18" x14ac:dyDescent="0.25">
      <c r="A3051" s="7" t="s">
        <v>1720</v>
      </c>
      <c r="B3051" s="8" t="s">
        <v>20</v>
      </c>
      <c r="C3051" s="10">
        <f t="shared" si="143"/>
        <v>42231</v>
      </c>
      <c r="D3051" t="s">
        <v>11</v>
      </c>
      <c r="E3051" t="s">
        <v>12</v>
      </c>
      <c r="F3051" t="s">
        <v>25</v>
      </c>
      <c r="G3051" t="s">
        <v>1800</v>
      </c>
      <c r="H3051" t="s">
        <v>1801</v>
      </c>
      <c r="I3051" t="s">
        <v>1802</v>
      </c>
      <c r="J3051" t="s">
        <v>1803</v>
      </c>
      <c r="K3051" t="s">
        <v>1123</v>
      </c>
      <c r="L3051" s="12" t="s">
        <v>207</v>
      </c>
      <c r="M3051" s="12" t="s">
        <v>65</v>
      </c>
      <c r="N3051" s="12" t="s">
        <v>72</v>
      </c>
      <c r="O3051" s="12" t="s">
        <v>200</v>
      </c>
      <c r="P3051" s="12" t="s">
        <v>308</v>
      </c>
      <c r="Q3051" s="7" t="str">
        <f t="shared" si="142"/>
        <v>(2015,33,'2015.08.15',2,13,67,70,86,0),</v>
      </c>
      <c r="R3051" s="7" t="str">
        <f t="shared" si="144"/>
        <v>(2015,33,'2015.08.15',2,13,67,70,86),</v>
      </c>
    </row>
    <row r="3052" spans="1:18" x14ac:dyDescent="0.25">
      <c r="A3052" s="7" t="s">
        <v>1720</v>
      </c>
      <c r="B3052" s="8" t="s">
        <v>25</v>
      </c>
      <c r="C3052" s="10">
        <f t="shared" si="143"/>
        <v>42238</v>
      </c>
      <c r="D3052" t="s">
        <v>11</v>
      </c>
      <c r="E3052" t="s">
        <v>12</v>
      </c>
      <c r="F3052" t="s">
        <v>163</v>
      </c>
      <c r="G3052" t="s">
        <v>1797</v>
      </c>
      <c r="H3052" t="s">
        <v>395</v>
      </c>
      <c r="I3052" t="s">
        <v>1798</v>
      </c>
      <c r="J3052" t="s">
        <v>1799</v>
      </c>
      <c r="K3052" t="s">
        <v>1671</v>
      </c>
      <c r="L3052" s="12" t="s">
        <v>90</v>
      </c>
      <c r="M3052" s="12" t="s">
        <v>115</v>
      </c>
      <c r="N3052" s="12" t="s">
        <v>80</v>
      </c>
      <c r="O3052" s="12" t="s">
        <v>73</v>
      </c>
      <c r="P3052" s="12" t="s">
        <v>246</v>
      </c>
      <c r="Q3052" s="7" t="str">
        <f t="shared" si="142"/>
        <v>(2015,34,'2015.08.22',17,20,32,76,84,0),</v>
      </c>
      <c r="R3052" s="7" t="str">
        <f t="shared" si="144"/>
        <v>(2015,34,'2015.08.22',17,20,32,76,84),</v>
      </c>
    </row>
    <row r="3053" spans="1:18" x14ac:dyDescent="0.25">
      <c r="A3053" s="7" t="s">
        <v>1720</v>
      </c>
      <c r="B3053" s="8" t="s">
        <v>64</v>
      </c>
      <c r="C3053" s="10">
        <f t="shared" si="143"/>
        <v>42245</v>
      </c>
      <c r="D3053" t="s">
        <v>11</v>
      </c>
      <c r="E3053" t="s">
        <v>12</v>
      </c>
      <c r="F3053" t="s">
        <v>135</v>
      </c>
      <c r="G3053" t="s">
        <v>1794</v>
      </c>
      <c r="H3053" t="s">
        <v>1795</v>
      </c>
      <c r="I3053" t="s">
        <v>363</v>
      </c>
      <c r="J3053" t="s">
        <v>1796</v>
      </c>
      <c r="K3053" t="s">
        <v>1242</v>
      </c>
      <c r="L3053" s="12" t="s">
        <v>108</v>
      </c>
      <c r="M3053" s="12" t="s">
        <v>55</v>
      </c>
      <c r="N3053" s="12" t="s">
        <v>200</v>
      </c>
      <c r="O3053" s="12" t="s">
        <v>301</v>
      </c>
      <c r="P3053" s="12" t="s">
        <v>215</v>
      </c>
      <c r="Q3053" s="7" t="str">
        <f t="shared" si="142"/>
        <v>(2015,35,'2015.08.29',1,19,70,80,81,0),</v>
      </c>
      <c r="R3053" s="7" t="str">
        <f t="shared" si="144"/>
        <v>(2015,35,'2015.08.29',1,19,70,80,81),</v>
      </c>
    </row>
    <row r="3054" spans="1:18" x14ac:dyDescent="0.25">
      <c r="A3054" s="7" t="s">
        <v>1720</v>
      </c>
      <c r="B3054" s="8" t="s">
        <v>21</v>
      </c>
      <c r="C3054" s="10">
        <f t="shared" si="143"/>
        <v>42252</v>
      </c>
      <c r="D3054" t="s">
        <v>11</v>
      </c>
      <c r="E3054" t="s">
        <v>12</v>
      </c>
      <c r="F3054" t="s">
        <v>32</v>
      </c>
      <c r="G3054" t="s">
        <v>1790</v>
      </c>
      <c r="H3054" t="s">
        <v>1791</v>
      </c>
      <c r="I3054" t="s">
        <v>1792</v>
      </c>
      <c r="J3054" t="s">
        <v>1793</v>
      </c>
      <c r="K3054" t="s">
        <v>1354</v>
      </c>
      <c r="L3054" s="12" t="s">
        <v>115</v>
      </c>
      <c r="M3054" s="12" t="s">
        <v>74</v>
      </c>
      <c r="N3054" s="12" t="s">
        <v>36</v>
      </c>
      <c r="O3054" s="12" t="s">
        <v>13</v>
      </c>
      <c r="P3054" s="12" t="s">
        <v>169</v>
      </c>
      <c r="Q3054" s="7" t="str">
        <f t="shared" si="142"/>
        <v>(2015,36,'2015.09.05',20,26,38,41,58,0),</v>
      </c>
      <c r="R3054" s="7" t="str">
        <f t="shared" si="144"/>
        <v>(2015,36,'2015.09.05',20,26,38,41,58),</v>
      </c>
    </row>
    <row r="3055" spans="1:18" x14ac:dyDescent="0.25">
      <c r="A3055" s="7" t="s">
        <v>1720</v>
      </c>
      <c r="B3055" s="8" t="s">
        <v>46</v>
      </c>
      <c r="C3055" s="10">
        <f t="shared" si="143"/>
        <v>42259</v>
      </c>
      <c r="D3055" t="s">
        <v>11</v>
      </c>
      <c r="E3055" t="s">
        <v>12</v>
      </c>
      <c r="F3055" t="s">
        <v>107</v>
      </c>
      <c r="G3055" t="s">
        <v>1786</v>
      </c>
      <c r="H3055" t="s">
        <v>1787</v>
      </c>
      <c r="I3055" t="s">
        <v>1788</v>
      </c>
      <c r="J3055" t="s">
        <v>1789</v>
      </c>
      <c r="K3055" t="s">
        <v>438</v>
      </c>
      <c r="L3055" s="12" t="s">
        <v>232</v>
      </c>
      <c r="M3055" s="12" t="s">
        <v>105</v>
      </c>
      <c r="N3055" s="12" t="s">
        <v>47</v>
      </c>
      <c r="O3055" s="12" t="s">
        <v>201</v>
      </c>
      <c r="P3055" s="12" t="s">
        <v>269</v>
      </c>
      <c r="Q3055" s="7" t="str">
        <f t="shared" si="142"/>
        <v>(2015,37,'2015.09.12',8,50,69,72,87,0),</v>
      </c>
      <c r="R3055" s="7" t="str">
        <f t="shared" si="144"/>
        <v>(2015,37,'2015.09.12',8,50,69,72,87),</v>
      </c>
    </row>
    <row r="3056" spans="1:18" x14ac:dyDescent="0.25">
      <c r="A3056" s="7" t="s">
        <v>1720</v>
      </c>
      <c r="B3056" s="8" t="s">
        <v>36</v>
      </c>
      <c r="C3056" s="10">
        <f t="shared" si="143"/>
        <v>42266</v>
      </c>
      <c r="D3056" t="s">
        <v>11</v>
      </c>
      <c r="E3056" t="s">
        <v>12</v>
      </c>
      <c r="F3056" t="s">
        <v>200</v>
      </c>
      <c r="G3056" t="s">
        <v>1781</v>
      </c>
      <c r="H3056" t="s">
        <v>1782</v>
      </c>
      <c r="I3056" t="s">
        <v>1783</v>
      </c>
      <c r="J3056" t="s">
        <v>1784</v>
      </c>
      <c r="K3056" t="s">
        <v>1785</v>
      </c>
      <c r="L3056" s="12" t="s">
        <v>168</v>
      </c>
      <c r="M3056" s="12" t="s">
        <v>36</v>
      </c>
      <c r="N3056" s="12" t="s">
        <v>98</v>
      </c>
      <c r="O3056" s="12" t="s">
        <v>214</v>
      </c>
      <c r="P3056" s="12" t="s">
        <v>245</v>
      </c>
      <c r="Q3056" s="7" t="str">
        <f t="shared" si="142"/>
        <v>(2015,38,'2015.09.19',4,38,42,64,74,0),</v>
      </c>
      <c r="R3056" s="7" t="str">
        <f t="shared" si="144"/>
        <v>(2015,38,'2015.09.19',4,38,42,64,74),</v>
      </c>
    </row>
    <row r="3057" spans="1:18" x14ac:dyDescent="0.25">
      <c r="A3057" s="7" t="s">
        <v>1720</v>
      </c>
      <c r="B3057" s="8" t="s">
        <v>24</v>
      </c>
      <c r="C3057" s="10">
        <f t="shared" si="143"/>
        <v>42273</v>
      </c>
      <c r="D3057" t="s">
        <v>11</v>
      </c>
      <c r="E3057" t="s">
        <v>12</v>
      </c>
      <c r="F3057" t="s">
        <v>55</v>
      </c>
      <c r="G3057" t="s">
        <v>1777</v>
      </c>
      <c r="H3057" t="s">
        <v>1778</v>
      </c>
      <c r="I3057" t="s">
        <v>1779</v>
      </c>
      <c r="J3057" t="s">
        <v>1780</v>
      </c>
      <c r="K3057" t="s">
        <v>238</v>
      </c>
      <c r="L3057" s="12" t="s">
        <v>62</v>
      </c>
      <c r="M3057" s="12" t="s">
        <v>150</v>
      </c>
      <c r="N3057" s="12" t="s">
        <v>200</v>
      </c>
      <c r="O3057" s="12" t="s">
        <v>106</v>
      </c>
      <c r="P3057" s="12" t="s">
        <v>269</v>
      </c>
      <c r="Q3057" s="7" t="str">
        <f t="shared" si="142"/>
        <v>(2015,39,'2015.09.26',10,57,70,75,87,0),</v>
      </c>
      <c r="R3057" s="7" t="str">
        <f t="shared" si="144"/>
        <v>(2015,39,'2015.09.26',10,57,70,75,87),</v>
      </c>
    </row>
    <row r="3058" spans="1:18" x14ac:dyDescent="0.25">
      <c r="A3058" s="7" t="s">
        <v>1720</v>
      </c>
      <c r="B3058" s="8" t="s">
        <v>10</v>
      </c>
      <c r="C3058" s="10">
        <f t="shared" si="143"/>
        <v>42280</v>
      </c>
      <c r="D3058" t="s">
        <v>11</v>
      </c>
      <c r="E3058" t="s">
        <v>12</v>
      </c>
      <c r="F3058" t="s">
        <v>142</v>
      </c>
      <c r="G3058" t="s">
        <v>1772</v>
      </c>
      <c r="H3058" t="s">
        <v>1773</v>
      </c>
      <c r="I3058" t="s">
        <v>1774</v>
      </c>
      <c r="J3058" t="s">
        <v>1775</v>
      </c>
      <c r="K3058" t="s">
        <v>1776</v>
      </c>
      <c r="L3058" s="12" t="s">
        <v>89</v>
      </c>
      <c r="M3058" s="12" t="s">
        <v>62</v>
      </c>
      <c r="N3058" s="12" t="s">
        <v>163</v>
      </c>
      <c r="O3058" s="12" t="s">
        <v>122</v>
      </c>
      <c r="P3058" s="12" t="s">
        <v>169</v>
      </c>
      <c r="Q3058" s="7" t="str">
        <f t="shared" si="142"/>
        <v>(2015,40,'2015.10.03',5,10,23,51,58,0),</v>
      </c>
      <c r="R3058" s="7" t="str">
        <f t="shared" si="144"/>
        <v>(2015,40,'2015.10.03',5,10,23,51,58),</v>
      </c>
    </row>
    <row r="3059" spans="1:18" x14ac:dyDescent="0.25">
      <c r="A3059" s="7" t="s">
        <v>1720</v>
      </c>
      <c r="B3059" s="8" t="s">
        <v>13</v>
      </c>
      <c r="C3059" s="10">
        <f t="shared" si="143"/>
        <v>42287</v>
      </c>
      <c r="D3059" t="s">
        <v>11</v>
      </c>
      <c r="E3059" t="s">
        <v>12</v>
      </c>
      <c r="F3059" t="s">
        <v>98</v>
      </c>
      <c r="G3059" t="s">
        <v>1768</v>
      </c>
      <c r="H3059" t="s">
        <v>1769</v>
      </c>
      <c r="I3059" t="s">
        <v>1770</v>
      </c>
      <c r="J3059" t="s">
        <v>1771</v>
      </c>
      <c r="K3059" t="s">
        <v>253</v>
      </c>
      <c r="L3059" s="12" t="s">
        <v>127</v>
      </c>
      <c r="M3059" s="12" t="s">
        <v>123</v>
      </c>
      <c r="N3059" s="12" t="s">
        <v>23</v>
      </c>
      <c r="O3059" s="12" t="s">
        <v>63</v>
      </c>
      <c r="P3059" s="12" t="s">
        <v>215</v>
      </c>
      <c r="Q3059" s="7" t="str">
        <f t="shared" si="142"/>
        <v>(2015,41,'2015.10.10',14,54,60,78,81,0),</v>
      </c>
      <c r="R3059" s="7" t="str">
        <f t="shared" si="144"/>
        <v>(2015,41,'2015.10.10',14,54,60,78,81),</v>
      </c>
    </row>
    <row r="3060" spans="1:18" x14ac:dyDescent="0.25">
      <c r="A3060" s="7" t="s">
        <v>1720</v>
      </c>
      <c r="B3060" s="8" t="s">
        <v>98</v>
      </c>
      <c r="C3060" s="10">
        <f t="shared" si="143"/>
        <v>42294</v>
      </c>
      <c r="D3060" t="s">
        <v>108</v>
      </c>
      <c r="E3060" t="s">
        <v>1762</v>
      </c>
      <c r="F3060" t="s">
        <v>208</v>
      </c>
      <c r="G3060" t="s">
        <v>1763</v>
      </c>
      <c r="H3060" t="s">
        <v>1764</v>
      </c>
      <c r="I3060" t="s">
        <v>1765</v>
      </c>
      <c r="J3060" t="s">
        <v>1766</v>
      </c>
      <c r="K3060" t="s">
        <v>1767</v>
      </c>
      <c r="L3060" s="12" t="s">
        <v>207</v>
      </c>
      <c r="M3060" s="12" t="s">
        <v>89</v>
      </c>
      <c r="N3060" s="12" t="s">
        <v>90</v>
      </c>
      <c r="O3060" s="12" t="s">
        <v>33</v>
      </c>
      <c r="P3060" s="12" t="s">
        <v>201</v>
      </c>
      <c r="Q3060" s="7" t="str">
        <f t="shared" si="142"/>
        <v>(2015,42,'2015.10.17',2,5,17,24,72,0),</v>
      </c>
      <c r="R3060" s="7" t="str">
        <f t="shared" si="144"/>
        <v>(2015,42,'2015.10.17',2,5,17,24,72),</v>
      </c>
    </row>
    <row r="3061" spans="1:18" x14ac:dyDescent="0.25">
      <c r="A3061" s="7" t="s">
        <v>1720</v>
      </c>
      <c r="B3061" s="8" t="s">
        <v>45</v>
      </c>
      <c r="C3061" s="10">
        <f t="shared" si="143"/>
        <v>42301</v>
      </c>
      <c r="D3061" t="s">
        <v>11</v>
      </c>
      <c r="E3061" t="s">
        <v>12</v>
      </c>
      <c r="F3061" t="s">
        <v>169</v>
      </c>
      <c r="G3061" t="s">
        <v>1759</v>
      </c>
      <c r="H3061" t="s">
        <v>1760</v>
      </c>
      <c r="I3061" t="s">
        <v>1761</v>
      </c>
      <c r="J3061" t="s">
        <v>257</v>
      </c>
      <c r="K3061" t="s">
        <v>1039</v>
      </c>
      <c r="L3061" s="12" t="s">
        <v>207</v>
      </c>
      <c r="M3061" s="12" t="s">
        <v>19</v>
      </c>
      <c r="N3061" s="12" t="s">
        <v>133</v>
      </c>
      <c r="O3061" s="12" t="s">
        <v>122</v>
      </c>
      <c r="P3061" s="12" t="s">
        <v>200</v>
      </c>
      <c r="Q3061" s="7" t="str">
        <f t="shared" si="142"/>
        <v>(2015,43,'2015.10.24',2,18,45,51,70,0),</v>
      </c>
      <c r="R3061" s="7" t="str">
        <f t="shared" si="144"/>
        <v>(2015,43,'2015.10.24',2,18,45,51,70),</v>
      </c>
    </row>
    <row r="3062" spans="1:18" x14ac:dyDescent="0.25">
      <c r="A3062" s="7" t="s">
        <v>1720</v>
      </c>
      <c r="B3062" s="8" t="s">
        <v>142</v>
      </c>
      <c r="C3062" s="10">
        <f t="shared" si="143"/>
        <v>42308</v>
      </c>
      <c r="D3062" t="s">
        <v>11</v>
      </c>
      <c r="E3062" t="s">
        <v>12</v>
      </c>
      <c r="F3062" t="s">
        <v>135</v>
      </c>
      <c r="G3062" t="s">
        <v>1756</v>
      </c>
      <c r="H3062" t="s">
        <v>416</v>
      </c>
      <c r="I3062" t="s">
        <v>1757</v>
      </c>
      <c r="J3062" t="s">
        <v>1758</v>
      </c>
      <c r="K3062" t="s">
        <v>114</v>
      </c>
      <c r="L3062" s="12" t="s">
        <v>19</v>
      </c>
      <c r="M3062" s="12" t="s">
        <v>33</v>
      </c>
      <c r="N3062" s="12" t="s">
        <v>107</v>
      </c>
      <c r="O3062" s="12" t="s">
        <v>45</v>
      </c>
      <c r="P3062" s="12" t="s">
        <v>151</v>
      </c>
      <c r="Q3062" s="7" t="str">
        <f t="shared" si="142"/>
        <v>(2015,44,'2015.10.31',18,24,30,43,79,0),</v>
      </c>
      <c r="R3062" s="7" t="str">
        <f t="shared" si="144"/>
        <v>(2015,44,'2015.10.31',18,24,30,43,79),</v>
      </c>
    </row>
    <row r="3063" spans="1:18" x14ac:dyDescent="0.25">
      <c r="A3063" s="7" t="s">
        <v>1720</v>
      </c>
      <c r="B3063" s="8" t="s">
        <v>133</v>
      </c>
      <c r="C3063" s="10">
        <f t="shared" si="143"/>
        <v>42315</v>
      </c>
      <c r="D3063" t="s">
        <v>11</v>
      </c>
      <c r="E3063" t="s">
        <v>12</v>
      </c>
      <c r="F3063" t="s">
        <v>55</v>
      </c>
      <c r="G3063" t="s">
        <v>1753</v>
      </c>
      <c r="H3063" t="s">
        <v>664</v>
      </c>
      <c r="I3063" t="s">
        <v>1754</v>
      </c>
      <c r="J3063" t="s">
        <v>1755</v>
      </c>
      <c r="K3063" t="s">
        <v>88</v>
      </c>
      <c r="L3063" s="12" t="s">
        <v>13</v>
      </c>
      <c r="M3063" s="12" t="s">
        <v>133</v>
      </c>
      <c r="N3063" s="12" t="s">
        <v>122</v>
      </c>
      <c r="O3063" s="12" t="s">
        <v>123</v>
      </c>
      <c r="P3063" s="12" t="s">
        <v>308</v>
      </c>
      <c r="Q3063" s="7" t="str">
        <f t="shared" si="142"/>
        <v>(2015,45,'2015.11.07',41,45,51,54,86,0),</v>
      </c>
      <c r="R3063" s="7" t="str">
        <f t="shared" si="144"/>
        <v>(2015,45,'2015.11.07',41,45,51,54,86),</v>
      </c>
    </row>
    <row r="3064" spans="1:18" x14ac:dyDescent="0.25">
      <c r="A3064" s="7" t="s">
        <v>1720</v>
      </c>
      <c r="B3064" s="8" t="s">
        <v>192</v>
      </c>
      <c r="C3064" s="10">
        <f t="shared" si="143"/>
        <v>42322</v>
      </c>
      <c r="D3064" t="s">
        <v>11</v>
      </c>
      <c r="E3064" t="s">
        <v>12</v>
      </c>
      <c r="F3064" t="s">
        <v>20</v>
      </c>
      <c r="G3064" t="s">
        <v>1748</v>
      </c>
      <c r="H3064" t="s">
        <v>1749</v>
      </c>
      <c r="I3064" t="s">
        <v>1750</v>
      </c>
      <c r="J3064" t="s">
        <v>1751</v>
      </c>
      <c r="K3064" t="s">
        <v>1752</v>
      </c>
      <c r="L3064" s="12" t="s">
        <v>62</v>
      </c>
      <c r="M3064" s="12" t="s">
        <v>152</v>
      </c>
      <c r="N3064" s="12" t="s">
        <v>36</v>
      </c>
      <c r="O3064" s="12" t="s">
        <v>192</v>
      </c>
      <c r="P3064" s="12" t="s">
        <v>105</v>
      </c>
      <c r="Q3064" s="7" t="str">
        <f t="shared" si="142"/>
        <v>(2015,46,'2015.11.14',10,25,38,46,50,0),</v>
      </c>
      <c r="R3064" s="7" t="str">
        <f t="shared" si="144"/>
        <v>(2015,46,'2015.11.14',10,25,38,46,50),</v>
      </c>
    </row>
    <row r="3065" spans="1:18" x14ac:dyDescent="0.25">
      <c r="A3065" s="7" t="s">
        <v>1720</v>
      </c>
      <c r="B3065" s="8" t="s">
        <v>81</v>
      </c>
      <c r="C3065" s="10">
        <f t="shared" si="143"/>
        <v>42329</v>
      </c>
      <c r="D3065" t="s">
        <v>11</v>
      </c>
      <c r="E3065" t="s">
        <v>12</v>
      </c>
      <c r="F3065" t="s">
        <v>163</v>
      </c>
      <c r="G3065" t="s">
        <v>1744</v>
      </c>
      <c r="H3065" t="s">
        <v>1745</v>
      </c>
      <c r="I3065" t="s">
        <v>1746</v>
      </c>
      <c r="J3065" t="s">
        <v>1747</v>
      </c>
      <c r="K3065" t="s">
        <v>238</v>
      </c>
      <c r="L3065" s="12" t="s">
        <v>71</v>
      </c>
      <c r="M3065" s="12" t="s">
        <v>199</v>
      </c>
      <c r="N3065" s="12" t="s">
        <v>150</v>
      </c>
      <c r="O3065" s="12" t="s">
        <v>23</v>
      </c>
      <c r="P3065" s="12" t="s">
        <v>125</v>
      </c>
      <c r="Q3065" s="7" t="str">
        <f t="shared" si="142"/>
        <v>(2015,47,'2015.11.21',31,53,57,60,83,0),</v>
      </c>
      <c r="R3065" s="7" t="str">
        <f t="shared" si="144"/>
        <v>(2015,47,'2015.11.21',31,53,57,60,83),</v>
      </c>
    </row>
    <row r="3066" spans="1:18" x14ac:dyDescent="0.25">
      <c r="A3066" s="7" t="s">
        <v>1720</v>
      </c>
      <c r="B3066" s="8" t="s">
        <v>22</v>
      </c>
      <c r="C3066" s="10">
        <f t="shared" si="143"/>
        <v>42336</v>
      </c>
      <c r="D3066" t="s">
        <v>11</v>
      </c>
      <c r="E3066" t="s">
        <v>12</v>
      </c>
      <c r="F3066" t="s">
        <v>44</v>
      </c>
      <c r="G3066" t="s">
        <v>1740</v>
      </c>
      <c r="H3066" t="s">
        <v>1741</v>
      </c>
      <c r="I3066" t="s">
        <v>1742</v>
      </c>
      <c r="J3066" t="s">
        <v>1743</v>
      </c>
      <c r="K3066" t="s">
        <v>954</v>
      </c>
      <c r="L3066" s="12" t="s">
        <v>198</v>
      </c>
      <c r="M3066" s="12" t="s">
        <v>105</v>
      </c>
      <c r="N3066" s="12" t="s">
        <v>201</v>
      </c>
      <c r="O3066" s="12" t="s">
        <v>73</v>
      </c>
      <c r="P3066" s="12" t="s">
        <v>379</v>
      </c>
      <c r="Q3066" s="7" t="str">
        <f t="shared" si="142"/>
        <v>(2015,48,'2015.11.28',9,50,72,76,89,0),</v>
      </c>
      <c r="R3066" s="7" t="str">
        <f t="shared" si="144"/>
        <v>(2015,48,'2015.11.28',9,50,72,76,89),</v>
      </c>
    </row>
    <row r="3067" spans="1:18" x14ac:dyDescent="0.25">
      <c r="A3067" s="7" t="s">
        <v>1720</v>
      </c>
      <c r="B3067" s="8" t="s">
        <v>34</v>
      </c>
      <c r="C3067" s="10">
        <f t="shared" si="143"/>
        <v>42343</v>
      </c>
      <c r="D3067" t="s">
        <v>11</v>
      </c>
      <c r="E3067" t="s">
        <v>12</v>
      </c>
      <c r="F3067" t="s">
        <v>199</v>
      </c>
      <c r="G3067" t="s">
        <v>1736</v>
      </c>
      <c r="H3067" t="s">
        <v>1737</v>
      </c>
      <c r="I3067" t="s">
        <v>28</v>
      </c>
      <c r="J3067" t="s">
        <v>1738</v>
      </c>
      <c r="K3067" t="s">
        <v>1739</v>
      </c>
      <c r="L3067" s="12" t="s">
        <v>32</v>
      </c>
      <c r="M3067" s="12" t="s">
        <v>33</v>
      </c>
      <c r="N3067" s="12" t="s">
        <v>64</v>
      </c>
      <c r="O3067" s="12" t="s">
        <v>248</v>
      </c>
      <c r="P3067" s="12" t="s">
        <v>92</v>
      </c>
      <c r="Q3067" s="7" t="str">
        <f t="shared" si="142"/>
        <v>(2015,49,'2015.12.05',22,24,35,63,68,0),</v>
      </c>
      <c r="R3067" s="7" t="str">
        <f t="shared" si="144"/>
        <v>(2015,49,'2015.12.05',22,24,35,63,68),</v>
      </c>
    </row>
    <row r="3068" spans="1:18" x14ac:dyDescent="0.25">
      <c r="A3068" s="7" t="s">
        <v>1720</v>
      </c>
      <c r="B3068" s="8" t="s">
        <v>105</v>
      </c>
      <c r="C3068" s="10">
        <f t="shared" si="143"/>
        <v>42350</v>
      </c>
      <c r="D3068" t="s">
        <v>11</v>
      </c>
      <c r="E3068" t="s">
        <v>12</v>
      </c>
      <c r="F3068" t="s">
        <v>33</v>
      </c>
      <c r="G3068" t="s">
        <v>1732</v>
      </c>
      <c r="H3068" t="s">
        <v>1733</v>
      </c>
      <c r="I3068" t="s">
        <v>1734</v>
      </c>
      <c r="J3068" t="s">
        <v>1735</v>
      </c>
      <c r="K3068" t="s">
        <v>30</v>
      </c>
      <c r="L3068" s="12" t="s">
        <v>25</v>
      </c>
      <c r="M3068" s="12" t="s">
        <v>36</v>
      </c>
      <c r="N3068" s="12" t="s">
        <v>133</v>
      </c>
      <c r="O3068" s="12" t="s">
        <v>124</v>
      </c>
      <c r="P3068" s="12" t="s">
        <v>186</v>
      </c>
      <c r="Q3068" s="7" t="str">
        <f t="shared" si="142"/>
        <v>(2015,50,'2015.12.12',34,38,45,62,90,0),</v>
      </c>
      <c r="R3068" s="7" t="str">
        <f t="shared" si="144"/>
        <v>(2015,50,'2015.12.12',34,38,45,62,90),</v>
      </c>
    </row>
    <row r="3069" spans="1:18" x14ac:dyDescent="0.25">
      <c r="A3069" s="7" t="s">
        <v>1720</v>
      </c>
      <c r="B3069" s="8" t="s">
        <v>122</v>
      </c>
      <c r="C3069" s="10">
        <f t="shared" si="143"/>
        <v>42357</v>
      </c>
      <c r="D3069" t="s">
        <v>11</v>
      </c>
      <c r="E3069" t="s">
        <v>12</v>
      </c>
      <c r="F3069" t="s">
        <v>44</v>
      </c>
      <c r="G3069" t="s">
        <v>1729</v>
      </c>
      <c r="H3069" t="s">
        <v>395</v>
      </c>
      <c r="I3069" t="s">
        <v>1730</v>
      </c>
      <c r="J3069" t="s">
        <v>1731</v>
      </c>
      <c r="K3069" t="s">
        <v>398</v>
      </c>
      <c r="L3069" s="12" t="s">
        <v>54</v>
      </c>
      <c r="M3069" s="12" t="s">
        <v>44</v>
      </c>
      <c r="N3069" s="12" t="s">
        <v>63</v>
      </c>
      <c r="O3069" s="12" t="s">
        <v>269</v>
      </c>
      <c r="P3069" s="12" t="s">
        <v>379</v>
      </c>
      <c r="Q3069" s="7" t="str">
        <f t="shared" si="142"/>
        <v>(2015,51,'2015.12.19',15,21,78,87,89,0),</v>
      </c>
      <c r="R3069" s="7" t="str">
        <f t="shared" si="144"/>
        <v>(2015,51,'2015.12.19',15,21,78,87,89),</v>
      </c>
    </row>
    <row r="3070" spans="1:18" x14ac:dyDescent="0.25">
      <c r="A3070" s="7" t="s">
        <v>1720</v>
      </c>
      <c r="B3070" s="8" t="s">
        <v>99</v>
      </c>
      <c r="C3070" s="10">
        <f t="shared" si="143"/>
        <v>42364</v>
      </c>
      <c r="D3070" t="s">
        <v>11</v>
      </c>
      <c r="E3070" t="s">
        <v>12</v>
      </c>
      <c r="F3070" t="s">
        <v>23</v>
      </c>
      <c r="G3070" t="s">
        <v>1725</v>
      </c>
      <c r="H3070" t="s">
        <v>1726</v>
      </c>
      <c r="I3070" t="s">
        <v>1727</v>
      </c>
      <c r="J3070" t="s">
        <v>1728</v>
      </c>
      <c r="K3070" t="s">
        <v>1484</v>
      </c>
      <c r="L3070" s="12" t="s">
        <v>42</v>
      </c>
      <c r="M3070" s="12" t="s">
        <v>198</v>
      </c>
      <c r="N3070" s="12" t="s">
        <v>36</v>
      </c>
      <c r="O3070" s="12" t="s">
        <v>98</v>
      </c>
      <c r="P3070" s="12" t="s">
        <v>468</v>
      </c>
      <c r="Q3070" s="7" t="str">
        <f t="shared" si="142"/>
        <v>(2015,52,'2015.12.26',3,9,38,42,85,0),</v>
      </c>
      <c r="R3070" s="7" t="str">
        <f t="shared" si="144"/>
        <v>(2015,52,'2015.12.26',3,9,38,42,85),</v>
      </c>
    </row>
    <row r="3071" spans="1:18" x14ac:dyDescent="0.25">
      <c r="A3071" s="7" t="s">
        <v>1720</v>
      </c>
      <c r="B3071" s="8" t="s">
        <v>199</v>
      </c>
      <c r="C3071" s="10">
        <f t="shared" si="143"/>
        <v>42371</v>
      </c>
      <c r="D3071" t="s">
        <v>11</v>
      </c>
      <c r="E3071" t="s">
        <v>12</v>
      </c>
      <c r="F3071" t="s">
        <v>34</v>
      </c>
      <c r="G3071" t="s">
        <v>1721</v>
      </c>
      <c r="H3071" t="s">
        <v>1722</v>
      </c>
      <c r="I3071" t="s">
        <v>1723</v>
      </c>
      <c r="J3071" t="s">
        <v>1724</v>
      </c>
      <c r="K3071" t="s">
        <v>323</v>
      </c>
      <c r="L3071" s="12" t="s">
        <v>135</v>
      </c>
      <c r="M3071" s="12" t="s">
        <v>107</v>
      </c>
      <c r="N3071" s="12" t="s">
        <v>64</v>
      </c>
      <c r="O3071" s="12" t="s">
        <v>134</v>
      </c>
      <c r="P3071" s="12" t="s">
        <v>92</v>
      </c>
      <c r="Q3071" s="7" t="str">
        <f t="shared" si="142"/>
        <v>(2015,53,'2016.01.02',27,30,35,56,68,0),</v>
      </c>
      <c r="R3071" s="7" t="str">
        <f t="shared" si="144"/>
        <v>(2015,53,'2016.01.02',27,30,35,56,68),</v>
      </c>
    </row>
    <row r="3072" spans="1:18" x14ac:dyDescent="0.25">
      <c r="A3072" s="7" t="s">
        <v>967</v>
      </c>
      <c r="B3072" s="8" t="s">
        <v>108</v>
      </c>
      <c r="C3072" s="10">
        <f t="shared" si="143"/>
        <v>42378</v>
      </c>
      <c r="D3072" t="s">
        <v>11</v>
      </c>
      <c r="E3072" t="s">
        <v>12</v>
      </c>
      <c r="F3072" t="s">
        <v>152</v>
      </c>
      <c r="G3072" t="s">
        <v>1716</v>
      </c>
      <c r="H3072" t="s">
        <v>1717</v>
      </c>
      <c r="I3072" t="s">
        <v>1718</v>
      </c>
      <c r="J3072" t="s">
        <v>1719</v>
      </c>
      <c r="K3072" t="s">
        <v>1081</v>
      </c>
      <c r="L3072" s="12" t="s">
        <v>42</v>
      </c>
      <c r="M3072" s="12" t="s">
        <v>105</v>
      </c>
      <c r="N3072" s="12" t="s">
        <v>99</v>
      </c>
      <c r="O3072" s="12" t="s">
        <v>82</v>
      </c>
      <c r="P3072" s="12" t="s">
        <v>245</v>
      </c>
      <c r="Q3072" s="7" t="str">
        <f t="shared" si="142"/>
        <v>(2016,1,'2016.01.09',3,50,52,59,74,0),</v>
      </c>
      <c r="R3072" s="7" t="str">
        <f t="shared" si="144"/>
        <v>(2016,1,'2016.01.09',3,50,52,59,74),</v>
      </c>
    </row>
    <row r="3073" spans="1:18" x14ac:dyDescent="0.25">
      <c r="A3073" s="7" t="s">
        <v>967</v>
      </c>
      <c r="B3073" s="8" t="s">
        <v>207</v>
      </c>
      <c r="C3073" s="10">
        <f t="shared" si="143"/>
        <v>42385</v>
      </c>
      <c r="D3073" t="s">
        <v>11</v>
      </c>
      <c r="E3073" t="s">
        <v>12</v>
      </c>
      <c r="F3073" t="s">
        <v>21</v>
      </c>
      <c r="G3073" t="s">
        <v>1711</v>
      </c>
      <c r="H3073" t="s">
        <v>1712</v>
      </c>
      <c r="I3073" t="s">
        <v>1713</v>
      </c>
      <c r="J3073" t="s">
        <v>1714</v>
      </c>
      <c r="K3073" t="s">
        <v>1715</v>
      </c>
      <c r="L3073" s="12" t="s">
        <v>53</v>
      </c>
      <c r="M3073" s="12" t="s">
        <v>19</v>
      </c>
      <c r="N3073" s="12" t="s">
        <v>199</v>
      </c>
      <c r="O3073" s="12" t="s">
        <v>123</v>
      </c>
      <c r="P3073" s="12" t="s">
        <v>468</v>
      </c>
      <c r="Q3073" s="7" t="str">
        <f t="shared" si="142"/>
        <v>(2016,2,'2016.01.16',7,18,53,54,85,0),</v>
      </c>
      <c r="R3073" s="7" t="str">
        <f t="shared" si="144"/>
        <v>(2016,2,'2016.01.16',7,18,53,54,85),</v>
      </c>
    </row>
    <row r="3074" spans="1:18" x14ac:dyDescent="0.25">
      <c r="A3074" s="7" t="s">
        <v>967</v>
      </c>
      <c r="B3074" s="8" t="s">
        <v>42</v>
      </c>
      <c r="C3074" s="10">
        <f t="shared" si="143"/>
        <v>42392</v>
      </c>
      <c r="D3074" t="s">
        <v>108</v>
      </c>
      <c r="E3074" t="s">
        <v>1706</v>
      </c>
      <c r="F3074" t="s">
        <v>192</v>
      </c>
      <c r="G3074" t="s">
        <v>1707</v>
      </c>
      <c r="H3074" t="s">
        <v>1708</v>
      </c>
      <c r="I3074" t="s">
        <v>1709</v>
      </c>
      <c r="J3074" t="s">
        <v>1710</v>
      </c>
      <c r="K3074" t="s">
        <v>1206</v>
      </c>
      <c r="L3074" s="12" t="s">
        <v>83</v>
      </c>
      <c r="M3074" s="12" t="s">
        <v>135</v>
      </c>
      <c r="N3074" s="12" t="s">
        <v>175</v>
      </c>
      <c r="O3074" s="12" t="s">
        <v>92</v>
      </c>
      <c r="P3074" s="12" t="s">
        <v>301</v>
      </c>
      <c r="Q3074" s="7" t="str">
        <f t="shared" ref="Q3074:Q3137" si="145">"("&amp;A3074&amp;","&amp;B3074&amp;",'"&amp;TEXT(C3074,"éééé.hh.nn")&amp;"',"&amp;L3074&amp;","&amp;M3074&amp;","&amp;N3074&amp;","&amp;O3074&amp;","&amp;P3074&amp;",0)"&amp;IF(P3075&lt;&gt;0,",","")</f>
        <v>(2016,3,'2016.01.23',11,27,55,68,80,0),</v>
      </c>
      <c r="R3074" s="7" t="str">
        <f t="shared" si="144"/>
        <v>(2016,3,'2016.01.23',11,27,55,68,80),</v>
      </c>
    </row>
    <row r="3075" spans="1:18" x14ac:dyDescent="0.25">
      <c r="A3075" s="7" t="s">
        <v>967</v>
      </c>
      <c r="B3075" s="8" t="s">
        <v>168</v>
      </c>
      <c r="C3075" s="10">
        <f t="shared" ref="C3075:C3138" si="146">+C3074+7</f>
        <v>42399</v>
      </c>
      <c r="D3075" t="s">
        <v>11</v>
      </c>
      <c r="E3075" t="s">
        <v>12</v>
      </c>
      <c r="F3075" t="s">
        <v>43</v>
      </c>
      <c r="G3075" t="s">
        <v>1702</v>
      </c>
      <c r="H3075" t="s">
        <v>1703</v>
      </c>
      <c r="I3075" t="s">
        <v>1704</v>
      </c>
      <c r="J3075" t="s">
        <v>1705</v>
      </c>
      <c r="K3075" t="s">
        <v>333</v>
      </c>
      <c r="L3075" s="12" t="s">
        <v>22</v>
      </c>
      <c r="M3075" s="12" t="s">
        <v>175</v>
      </c>
      <c r="N3075" s="12" t="s">
        <v>124</v>
      </c>
      <c r="O3075" s="12" t="s">
        <v>47</v>
      </c>
      <c r="P3075" s="12" t="s">
        <v>301</v>
      </c>
      <c r="Q3075" s="7" t="str">
        <f t="shared" si="145"/>
        <v>(2016,4,'2016.01.30',48,55,62,69,80,0),</v>
      </c>
      <c r="R3075" s="7" t="str">
        <f t="shared" ref="R3075:R3138" si="147">IF(TRIM(P3075)="","","("&amp;A3075&amp;","&amp;B3075&amp;",'"&amp;TEXT(C3075,"éééé.hh.nn")&amp;"',"&amp;L3075&amp;","&amp;M3075&amp;","&amp;N3075&amp;","&amp;O3075&amp;","&amp;P3075&amp;")"&amp;IF(P3076=0,";",","))</f>
        <v>(2016,4,'2016.01.30',48,55,62,69,80),</v>
      </c>
    </row>
    <row r="3076" spans="1:18" x14ac:dyDescent="0.25">
      <c r="A3076" s="7" t="s">
        <v>967</v>
      </c>
      <c r="B3076" s="8" t="s">
        <v>89</v>
      </c>
      <c r="C3076" s="10">
        <f t="shared" si="146"/>
        <v>42406</v>
      </c>
      <c r="D3076" t="s">
        <v>11</v>
      </c>
      <c r="E3076" t="s">
        <v>12</v>
      </c>
      <c r="F3076" t="s">
        <v>107</v>
      </c>
      <c r="G3076" t="s">
        <v>1697</v>
      </c>
      <c r="H3076" t="s">
        <v>1698</v>
      </c>
      <c r="I3076" t="s">
        <v>1699</v>
      </c>
      <c r="J3076" t="s">
        <v>1700</v>
      </c>
      <c r="K3076" t="s">
        <v>1701</v>
      </c>
      <c r="L3076" s="12" t="s">
        <v>83</v>
      </c>
      <c r="M3076" s="12" t="s">
        <v>54</v>
      </c>
      <c r="N3076" s="12" t="s">
        <v>74</v>
      </c>
      <c r="O3076" s="12" t="s">
        <v>24</v>
      </c>
      <c r="P3076" s="12" t="s">
        <v>63</v>
      </c>
      <c r="Q3076" s="7" t="str">
        <f t="shared" si="145"/>
        <v>(2016,5,'2016.02.06',11,15,26,39,78,0),</v>
      </c>
      <c r="R3076" s="7" t="str">
        <f t="shared" si="147"/>
        <v>(2016,5,'2016.02.06',11,15,26,39,78),</v>
      </c>
    </row>
    <row r="3077" spans="1:18" x14ac:dyDescent="0.25">
      <c r="A3077" s="7" t="s">
        <v>967</v>
      </c>
      <c r="B3077" s="8" t="s">
        <v>270</v>
      </c>
      <c r="C3077" s="10">
        <f t="shared" si="146"/>
        <v>42413</v>
      </c>
      <c r="D3077" t="s">
        <v>11</v>
      </c>
      <c r="E3077" t="s">
        <v>12</v>
      </c>
      <c r="F3077" t="s">
        <v>116</v>
      </c>
      <c r="G3077" t="s">
        <v>1694</v>
      </c>
      <c r="H3077" t="s">
        <v>1695</v>
      </c>
      <c r="I3077" t="s">
        <v>1696</v>
      </c>
      <c r="J3077" t="s">
        <v>1198</v>
      </c>
      <c r="K3077" t="s">
        <v>1201</v>
      </c>
      <c r="L3077" s="12" t="s">
        <v>83</v>
      </c>
      <c r="M3077" s="12" t="s">
        <v>54</v>
      </c>
      <c r="N3077" s="12" t="s">
        <v>163</v>
      </c>
      <c r="O3077" s="12" t="s">
        <v>45</v>
      </c>
      <c r="P3077" s="12" t="s">
        <v>269</v>
      </c>
      <c r="Q3077" s="7" t="str">
        <f t="shared" si="145"/>
        <v>(2016,6,'2016.02.13',11,15,23,43,87,0),</v>
      </c>
      <c r="R3077" s="7" t="str">
        <f t="shared" si="147"/>
        <v>(2016,6,'2016.02.13',11,15,23,43,87),</v>
      </c>
    </row>
    <row r="3078" spans="1:18" x14ac:dyDescent="0.25">
      <c r="A3078" s="7" t="s">
        <v>967</v>
      </c>
      <c r="B3078" s="8" t="s">
        <v>53</v>
      </c>
      <c r="C3078" s="10">
        <f t="shared" si="146"/>
        <v>42420</v>
      </c>
      <c r="D3078" t="s">
        <v>108</v>
      </c>
      <c r="E3078" t="s">
        <v>1689</v>
      </c>
      <c r="F3078" t="s">
        <v>32</v>
      </c>
      <c r="G3078" t="s">
        <v>1690</v>
      </c>
      <c r="H3078" t="s">
        <v>1691</v>
      </c>
      <c r="I3078" t="s">
        <v>1692</v>
      </c>
      <c r="J3078" t="s">
        <v>1693</v>
      </c>
      <c r="K3078" t="s">
        <v>1497</v>
      </c>
      <c r="L3078" s="12" t="s">
        <v>33</v>
      </c>
      <c r="M3078" s="12" t="s">
        <v>45</v>
      </c>
      <c r="N3078" s="12" t="s">
        <v>142</v>
      </c>
      <c r="O3078" s="12" t="s">
        <v>22</v>
      </c>
      <c r="P3078" s="12" t="s">
        <v>169</v>
      </c>
      <c r="Q3078" s="7" t="str">
        <f t="shared" si="145"/>
        <v>(2016,7,'2016.02.20',24,43,44,48,58,0),</v>
      </c>
      <c r="R3078" s="7" t="str">
        <f t="shared" si="147"/>
        <v>(2016,7,'2016.02.20',24,43,44,48,58),</v>
      </c>
    </row>
    <row r="3079" spans="1:18" x14ac:dyDescent="0.25">
      <c r="A3079" s="7" t="s">
        <v>967</v>
      </c>
      <c r="B3079" s="8" t="s">
        <v>232</v>
      </c>
      <c r="C3079" s="10">
        <f t="shared" si="146"/>
        <v>42427</v>
      </c>
      <c r="D3079" t="s">
        <v>11</v>
      </c>
      <c r="E3079" t="s">
        <v>12</v>
      </c>
      <c r="F3079" t="s">
        <v>74</v>
      </c>
      <c r="G3079" t="s">
        <v>1685</v>
      </c>
      <c r="H3079" t="s">
        <v>1686</v>
      </c>
      <c r="I3079" t="s">
        <v>1687</v>
      </c>
      <c r="J3079" t="s">
        <v>1688</v>
      </c>
      <c r="K3079" t="s">
        <v>1277</v>
      </c>
      <c r="L3079" s="12" t="s">
        <v>135</v>
      </c>
      <c r="M3079" s="12" t="s">
        <v>64</v>
      </c>
      <c r="N3079" s="12" t="s">
        <v>122</v>
      </c>
      <c r="O3079" s="12" t="s">
        <v>150</v>
      </c>
      <c r="P3079" s="12" t="s">
        <v>82</v>
      </c>
      <c r="Q3079" s="7" t="str">
        <f t="shared" si="145"/>
        <v>(2016,8,'2016.02.27',27,35,51,57,59,0),</v>
      </c>
      <c r="R3079" s="7" t="str">
        <f t="shared" si="147"/>
        <v>(2016,8,'2016.02.27',27,35,51,57,59),</v>
      </c>
    </row>
    <row r="3080" spans="1:18" x14ac:dyDescent="0.25">
      <c r="A3080" s="7" t="s">
        <v>967</v>
      </c>
      <c r="B3080" s="8" t="s">
        <v>198</v>
      </c>
      <c r="C3080" s="10">
        <f t="shared" si="146"/>
        <v>42434</v>
      </c>
      <c r="D3080" t="s">
        <v>11</v>
      </c>
      <c r="E3080" t="s">
        <v>12</v>
      </c>
      <c r="F3080" t="s">
        <v>32</v>
      </c>
      <c r="G3080" t="s">
        <v>1681</v>
      </c>
      <c r="H3080" t="s">
        <v>1682</v>
      </c>
      <c r="I3080" t="s">
        <v>1683</v>
      </c>
      <c r="J3080" t="s">
        <v>1684</v>
      </c>
      <c r="K3080" t="s">
        <v>197</v>
      </c>
      <c r="L3080" s="12" t="s">
        <v>36</v>
      </c>
      <c r="M3080" s="12" t="s">
        <v>24</v>
      </c>
      <c r="N3080" s="12" t="s">
        <v>99</v>
      </c>
      <c r="O3080" s="12" t="s">
        <v>151</v>
      </c>
      <c r="P3080" s="12" t="s">
        <v>468</v>
      </c>
      <c r="Q3080" s="7" t="str">
        <f t="shared" si="145"/>
        <v>(2016,9,'2016.03.05',38,39,52,79,85,0),</v>
      </c>
      <c r="R3080" s="7" t="str">
        <f t="shared" si="147"/>
        <v>(2016,9,'2016.03.05',38,39,52,79,85),</v>
      </c>
    </row>
    <row r="3081" spans="1:18" x14ac:dyDescent="0.25">
      <c r="A3081" s="7" t="s">
        <v>967</v>
      </c>
      <c r="B3081" s="8" t="s">
        <v>62</v>
      </c>
      <c r="C3081" s="10">
        <f t="shared" si="146"/>
        <v>42441</v>
      </c>
      <c r="D3081" t="s">
        <v>11</v>
      </c>
      <c r="E3081" t="s">
        <v>12</v>
      </c>
      <c r="F3081" t="s">
        <v>36</v>
      </c>
      <c r="G3081" t="s">
        <v>1676</v>
      </c>
      <c r="H3081" t="s">
        <v>1677</v>
      </c>
      <c r="I3081" t="s">
        <v>1678</v>
      </c>
      <c r="J3081" t="s">
        <v>1679</v>
      </c>
      <c r="K3081" t="s">
        <v>1680</v>
      </c>
      <c r="L3081" s="12" t="s">
        <v>126</v>
      </c>
      <c r="M3081" s="12" t="s">
        <v>107</v>
      </c>
      <c r="N3081" s="12" t="s">
        <v>64</v>
      </c>
      <c r="O3081" s="12" t="s">
        <v>134</v>
      </c>
      <c r="P3081" s="12" t="s">
        <v>246</v>
      </c>
      <c r="Q3081" s="7" t="str">
        <f t="shared" si="145"/>
        <v>(2016,10,'2016.03.12',28,30,35,56,84,0),</v>
      </c>
      <c r="R3081" s="7" t="str">
        <f t="shared" si="147"/>
        <v>(2016,10,'2016.03.12',28,30,35,56,84),</v>
      </c>
    </row>
    <row r="3082" spans="1:18" x14ac:dyDescent="0.25">
      <c r="A3082" s="7" t="s">
        <v>967</v>
      </c>
      <c r="B3082" s="8" t="s">
        <v>83</v>
      </c>
      <c r="C3082" s="10">
        <f t="shared" si="146"/>
        <v>42448</v>
      </c>
      <c r="D3082" t="s">
        <v>11</v>
      </c>
      <c r="E3082" t="s">
        <v>12</v>
      </c>
      <c r="F3082" t="s">
        <v>98</v>
      </c>
      <c r="G3082" t="s">
        <v>1672</v>
      </c>
      <c r="H3082" t="s">
        <v>1673</v>
      </c>
      <c r="I3082" t="s">
        <v>1674</v>
      </c>
      <c r="J3082" t="s">
        <v>1675</v>
      </c>
      <c r="K3082" t="s">
        <v>843</v>
      </c>
      <c r="L3082" s="12" t="s">
        <v>54</v>
      </c>
      <c r="M3082" s="12" t="s">
        <v>21</v>
      </c>
      <c r="N3082" s="12" t="s">
        <v>133</v>
      </c>
      <c r="O3082" s="12" t="s">
        <v>169</v>
      </c>
      <c r="P3082" s="12" t="s">
        <v>201</v>
      </c>
      <c r="Q3082" s="7" t="str">
        <f t="shared" si="145"/>
        <v>(2016,11,'2016.03.19',15,36,45,58,72,0),</v>
      </c>
      <c r="R3082" s="7" t="str">
        <f t="shared" si="147"/>
        <v>(2016,11,'2016.03.19',15,36,45,58,72),</v>
      </c>
    </row>
    <row r="3083" spans="1:18" x14ac:dyDescent="0.25">
      <c r="A3083" s="7" t="s">
        <v>967</v>
      </c>
      <c r="B3083" s="8" t="s">
        <v>31</v>
      </c>
      <c r="C3083" s="10">
        <f t="shared" si="146"/>
        <v>42455</v>
      </c>
      <c r="D3083" t="s">
        <v>11</v>
      </c>
      <c r="E3083" t="s">
        <v>12</v>
      </c>
      <c r="F3083" t="s">
        <v>33</v>
      </c>
      <c r="G3083" t="s">
        <v>1668</v>
      </c>
      <c r="H3083" t="s">
        <v>504</v>
      </c>
      <c r="I3083" t="s">
        <v>1669</v>
      </c>
      <c r="J3083" t="s">
        <v>1670</v>
      </c>
      <c r="K3083" t="s">
        <v>1671</v>
      </c>
      <c r="L3083" s="12" t="s">
        <v>43</v>
      </c>
      <c r="M3083" s="12" t="s">
        <v>36</v>
      </c>
      <c r="N3083" s="12" t="s">
        <v>123</v>
      </c>
      <c r="O3083" s="12" t="s">
        <v>246</v>
      </c>
      <c r="P3083" s="12" t="s">
        <v>186</v>
      </c>
      <c r="Q3083" s="7" t="str">
        <f t="shared" si="145"/>
        <v>(2016,12,'2016.03.26',16,38,54,84,90,0),</v>
      </c>
      <c r="R3083" s="7" t="str">
        <f t="shared" si="147"/>
        <v>(2016,12,'2016.03.26',16,38,54,84,90),</v>
      </c>
    </row>
    <row r="3084" spans="1:18" x14ac:dyDescent="0.25">
      <c r="A3084" s="7" t="s">
        <v>967</v>
      </c>
      <c r="B3084" s="8" t="s">
        <v>65</v>
      </c>
      <c r="C3084" s="10">
        <f t="shared" si="146"/>
        <v>42462</v>
      </c>
      <c r="D3084" t="s">
        <v>11</v>
      </c>
      <c r="E3084" t="s">
        <v>12</v>
      </c>
      <c r="F3084" t="s">
        <v>98</v>
      </c>
      <c r="G3084" t="s">
        <v>1664</v>
      </c>
      <c r="H3084" t="s">
        <v>1665</v>
      </c>
      <c r="I3084" t="s">
        <v>1666</v>
      </c>
      <c r="J3084" t="s">
        <v>1667</v>
      </c>
      <c r="K3084" t="s">
        <v>1021</v>
      </c>
      <c r="L3084" s="12" t="s">
        <v>108</v>
      </c>
      <c r="M3084" s="12" t="s">
        <v>163</v>
      </c>
      <c r="N3084" s="12" t="s">
        <v>135</v>
      </c>
      <c r="O3084" s="12" t="s">
        <v>98</v>
      </c>
      <c r="P3084" s="12" t="s">
        <v>246</v>
      </c>
      <c r="Q3084" s="7" t="str">
        <f t="shared" si="145"/>
        <v>(2016,13,'2016.04.02',1,23,27,42,84,0),</v>
      </c>
      <c r="R3084" s="7" t="str">
        <f t="shared" si="147"/>
        <v>(2016,13,'2016.04.02',1,23,27,42,84),</v>
      </c>
    </row>
    <row r="3085" spans="1:18" x14ac:dyDescent="0.25">
      <c r="A3085" s="7" t="s">
        <v>967</v>
      </c>
      <c r="B3085" s="8" t="s">
        <v>127</v>
      </c>
      <c r="C3085" s="10">
        <f t="shared" si="146"/>
        <v>42469</v>
      </c>
      <c r="D3085" t="s">
        <v>11</v>
      </c>
      <c r="E3085" t="s">
        <v>12</v>
      </c>
      <c r="F3085" t="s">
        <v>175</v>
      </c>
      <c r="G3085" t="s">
        <v>1661</v>
      </c>
      <c r="H3085" t="s">
        <v>1379</v>
      </c>
      <c r="I3085" t="s">
        <v>1662</v>
      </c>
      <c r="J3085" t="s">
        <v>1663</v>
      </c>
      <c r="K3085" t="s">
        <v>993</v>
      </c>
      <c r="L3085" s="12" t="s">
        <v>89</v>
      </c>
      <c r="M3085" s="12" t="s">
        <v>32</v>
      </c>
      <c r="N3085" s="12" t="s">
        <v>152</v>
      </c>
      <c r="O3085" s="12" t="s">
        <v>72</v>
      </c>
      <c r="P3085" s="12" t="s">
        <v>269</v>
      </c>
      <c r="Q3085" s="7" t="str">
        <f t="shared" si="145"/>
        <v>(2016,14,'2016.04.09',5,22,25,67,87,0),</v>
      </c>
      <c r="R3085" s="7" t="str">
        <f t="shared" si="147"/>
        <v>(2016,14,'2016.04.09',5,22,25,67,87),</v>
      </c>
    </row>
    <row r="3086" spans="1:18" x14ac:dyDescent="0.25">
      <c r="A3086" s="7" t="s">
        <v>967</v>
      </c>
      <c r="B3086" s="8" t="s">
        <v>54</v>
      </c>
      <c r="C3086" s="10">
        <f t="shared" si="146"/>
        <v>42476</v>
      </c>
      <c r="D3086" t="s">
        <v>108</v>
      </c>
      <c r="E3086" t="s">
        <v>1656</v>
      </c>
      <c r="F3086" t="s">
        <v>98</v>
      </c>
      <c r="G3086" t="s">
        <v>1657</v>
      </c>
      <c r="H3086" t="s">
        <v>1658</v>
      </c>
      <c r="I3086" t="s">
        <v>1659</v>
      </c>
      <c r="J3086" t="s">
        <v>1660</v>
      </c>
      <c r="K3086" t="s">
        <v>393</v>
      </c>
      <c r="L3086" s="12" t="s">
        <v>232</v>
      </c>
      <c r="M3086" s="12" t="s">
        <v>20</v>
      </c>
      <c r="N3086" s="12" t="s">
        <v>150</v>
      </c>
      <c r="O3086" s="12" t="s">
        <v>124</v>
      </c>
      <c r="P3086" s="12" t="s">
        <v>233</v>
      </c>
      <c r="Q3086" s="7" t="str">
        <f t="shared" si="145"/>
        <v>(2016,15,'2016.04.16',8,33,57,62,66,0),</v>
      </c>
      <c r="R3086" s="7" t="str">
        <f t="shared" si="147"/>
        <v>(2016,15,'2016.04.16',8,33,57,62,66),</v>
      </c>
    </row>
    <row r="3087" spans="1:18" x14ac:dyDescent="0.25">
      <c r="A3087" s="7" t="s">
        <v>967</v>
      </c>
      <c r="B3087" s="8" t="s">
        <v>43</v>
      </c>
      <c r="C3087" s="10">
        <f t="shared" si="146"/>
        <v>42483</v>
      </c>
      <c r="D3087" t="s">
        <v>11</v>
      </c>
      <c r="E3087" t="s">
        <v>12</v>
      </c>
      <c r="F3087" t="s">
        <v>82</v>
      </c>
      <c r="G3087" t="s">
        <v>1651</v>
      </c>
      <c r="H3087" t="s">
        <v>1652</v>
      </c>
      <c r="I3087" t="s">
        <v>1653</v>
      </c>
      <c r="J3087" t="s">
        <v>1654</v>
      </c>
      <c r="K3087" t="s">
        <v>1655</v>
      </c>
      <c r="L3087" s="12" t="s">
        <v>33</v>
      </c>
      <c r="M3087" s="12" t="s">
        <v>21</v>
      </c>
      <c r="N3087" s="12" t="s">
        <v>142</v>
      </c>
      <c r="O3087" s="12" t="s">
        <v>248</v>
      </c>
      <c r="P3087" s="12" t="s">
        <v>92</v>
      </c>
      <c r="Q3087" s="7" t="str">
        <f t="shared" si="145"/>
        <v>(2016,16,'2016.04.23',24,36,44,63,68,0),</v>
      </c>
      <c r="R3087" s="7" t="str">
        <f t="shared" si="147"/>
        <v>(2016,16,'2016.04.23',24,36,44,63,68),</v>
      </c>
    </row>
    <row r="3088" spans="1:18" x14ac:dyDescent="0.25">
      <c r="A3088" s="7" t="s">
        <v>967</v>
      </c>
      <c r="B3088" s="8" t="s">
        <v>90</v>
      </c>
      <c r="C3088" s="10">
        <f t="shared" si="146"/>
        <v>42490</v>
      </c>
      <c r="D3088" t="s">
        <v>11</v>
      </c>
      <c r="E3088" t="s">
        <v>12</v>
      </c>
      <c r="F3088" t="s">
        <v>115</v>
      </c>
      <c r="G3088" t="s">
        <v>1647</v>
      </c>
      <c r="H3088" t="s">
        <v>1648</v>
      </c>
      <c r="I3088" t="s">
        <v>1649</v>
      </c>
      <c r="J3088" t="s">
        <v>1650</v>
      </c>
      <c r="K3088" t="s">
        <v>1113</v>
      </c>
      <c r="L3088" s="12" t="s">
        <v>45</v>
      </c>
      <c r="M3088" s="12" t="s">
        <v>133</v>
      </c>
      <c r="N3088" s="12" t="s">
        <v>134</v>
      </c>
      <c r="O3088" s="12" t="s">
        <v>233</v>
      </c>
      <c r="P3088" s="12" t="s">
        <v>622</v>
      </c>
      <c r="Q3088" s="7" t="str">
        <f t="shared" si="145"/>
        <v>(2016,17,'2016.04.30',43,45,56,66,82,0),</v>
      </c>
      <c r="R3088" s="7" t="str">
        <f t="shared" si="147"/>
        <v>(2016,17,'2016.04.30',43,45,56,66,82),</v>
      </c>
    </row>
    <row r="3089" spans="1:18" x14ac:dyDescent="0.25">
      <c r="A3089" s="7" t="s">
        <v>967</v>
      </c>
      <c r="B3089" s="8" t="s">
        <v>19</v>
      </c>
      <c r="C3089" s="10">
        <f t="shared" si="146"/>
        <v>42497</v>
      </c>
      <c r="D3089" t="s">
        <v>11</v>
      </c>
      <c r="E3089" t="s">
        <v>12</v>
      </c>
      <c r="F3089" t="s">
        <v>135</v>
      </c>
      <c r="G3089" t="s">
        <v>1643</v>
      </c>
      <c r="H3089" t="s">
        <v>1644</v>
      </c>
      <c r="I3089" t="s">
        <v>1645</v>
      </c>
      <c r="J3089" t="s">
        <v>1646</v>
      </c>
      <c r="K3089" t="s">
        <v>1081</v>
      </c>
      <c r="L3089" s="12" t="s">
        <v>32</v>
      </c>
      <c r="M3089" s="12" t="s">
        <v>33</v>
      </c>
      <c r="N3089" s="12" t="s">
        <v>45</v>
      </c>
      <c r="O3089" s="12" t="s">
        <v>214</v>
      </c>
      <c r="P3089" s="12" t="s">
        <v>186</v>
      </c>
      <c r="Q3089" s="7" t="str">
        <f t="shared" si="145"/>
        <v>(2016,18,'2016.05.07',22,24,43,64,90,0),</v>
      </c>
      <c r="R3089" s="7" t="str">
        <f t="shared" si="147"/>
        <v>(2016,18,'2016.05.07',22,24,43,64,90),</v>
      </c>
    </row>
    <row r="3090" spans="1:18" x14ac:dyDescent="0.25">
      <c r="A3090" s="7" t="s">
        <v>967</v>
      </c>
      <c r="B3090" s="8" t="s">
        <v>55</v>
      </c>
      <c r="C3090" s="10">
        <f t="shared" si="146"/>
        <v>42504</v>
      </c>
      <c r="D3090" t="s">
        <v>11</v>
      </c>
      <c r="E3090" t="s">
        <v>12</v>
      </c>
      <c r="F3090" t="s">
        <v>81</v>
      </c>
      <c r="G3090" t="s">
        <v>1639</v>
      </c>
      <c r="H3090" t="s">
        <v>1640</v>
      </c>
      <c r="I3090" t="s">
        <v>1641</v>
      </c>
      <c r="J3090" t="s">
        <v>1642</v>
      </c>
      <c r="K3090" t="s">
        <v>114</v>
      </c>
      <c r="L3090" s="12" t="s">
        <v>270</v>
      </c>
      <c r="M3090" s="12" t="s">
        <v>19</v>
      </c>
      <c r="N3090" s="12" t="s">
        <v>122</v>
      </c>
      <c r="O3090" s="12" t="s">
        <v>82</v>
      </c>
      <c r="P3090" s="12" t="s">
        <v>214</v>
      </c>
      <c r="Q3090" s="7" t="str">
        <f t="shared" si="145"/>
        <v>(2016,19,'2016.05.14',6,18,51,59,64,0),</v>
      </c>
      <c r="R3090" s="7" t="str">
        <f t="shared" si="147"/>
        <v>(2016,19,'2016.05.14',6,18,51,59,64),</v>
      </c>
    </row>
    <row r="3091" spans="1:18" x14ac:dyDescent="0.25">
      <c r="A3091" s="7" t="s">
        <v>967</v>
      </c>
      <c r="B3091" s="8" t="s">
        <v>115</v>
      </c>
      <c r="C3091" s="10">
        <f t="shared" si="146"/>
        <v>42511</v>
      </c>
      <c r="D3091" t="s">
        <v>11</v>
      </c>
      <c r="E3091" t="s">
        <v>12</v>
      </c>
      <c r="F3091" t="s">
        <v>55</v>
      </c>
      <c r="G3091" t="s">
        <v>1635</v>
      </c>
      <c r="H3091" t="s">
        <v>1636</v>
      </c>
      <c r="I3091" t="s">
        <v>1637</v>
      </c>
      <c r="J3091" t="s">
        <v>1638</v>
      </c>
      <c r="K3091" t="s">
        <v>1242</v>
      </c>
      <c r="L3091" s="12" t="s">
        <v>198</v>
      </c>
      <c r="M3091" s="12" t="s">
        <v>62</v>
      </c>
      <c r="N3091" s="12" t="s">
        <v>21</v>
      </c>
      <c r="O3091" s="12" t="s">
        <v>105</v>
      </c>
      <c r="P3091" s="12" t="s">
        <v>63</v>
      </c>
      <c r="Q3091" s="7" t="str">
        <f t="shared" si="145"/>
        <v>(2016,20,'2016.05.21',9,10,36,50,78,0),</v>
      </c>
      <c r="R3091" s="7" t="str">
        <f t="shared" si="147"/>
        <v>(2016,20,'2016.05.21',9,10,36,50,78),</v>
      </c>
    </row>
    <row r="3092" spans="1:18" x14ac:dyDescent="0.25">
      <c r="A3092" s="7" t="s">
        <v>967</v>
      </c>
      <c r="B3092" s="8" t="s">
        <v>44</v>
      </c>
      <c r="C3092" s="10">
        <f t="shared" si="146"/>
        <v>42518</v>
      </c>
      <c r="D3092" t="s">
        <v>11</v>
      </c>
      <c r="E3092" t="s">
        <v>12</v>
      </c>
      <c r="F3092" t="s">
        <v>25</v>
      </c>
      <c r="G3092" t="s">
        <v>1631</v>
      </c>
      <c r="H3092" t="s">
        <v>1632</v>
      </c>
      <c r="I3092" t="s">
        <v>1633</v>
      </c>
      <c r="J3092" t="s">
        <v>1634</v>
      </c>
      <c r="K3092" t="s">
        <v>857</v>
      </c>
      <c r="L3092" s="12" t="s">
        <v>168</v>
      </c>
      <c r="M3092" s="12" t="s">
        <v>135</v>
      </c>
      <c r="N3092" s="12" t="s">
        <v>13</v>
      </c>
      <c r="O3092" s="12" t="s">
        <v>201</v>
      </c>
      <c r="P3092" s="12" t="s">
        <v>208</v>
      </c>
      <c r="Q3092" s="7" t="str">
        <f t="shared" si="145"/>
        <v>(2016,21,'2016.05.28',4,27,41,72,88,0),</v>
      </c>
      <c r="R3092" s="7" t="str">
        <f t="shared" si="147"/>
        <v>(2016,21,'2016.05.28',4,27,41,72,88),</v>
      </c>
    </row>
    <row r="3093" spans="1:18" x14ac:dyDescent="0.25">
      <c r="A3093" s="7" t="s">
        <v>967</v>
      </c>
      <c r="B3093" s="8" t="s">
        <v>32</v>
      </c>
      <c r="C3093" s="10">
        <f t="shared" si="146"/>
        <v>42525</v>
      </c>
      <c r="D3093" t="s">
        <v>11</v>
      </c>
      <c r="E3093" t="s">
        <v>12</v>
      </c>
      <c r="F3093" t="s">
        <v>133</v>
      </c>
      <c r="G3093" t="s">
        <v>1627</v>
      </c>
      <c r="H3093" t="s">
        <v>1628</v>
      </c>
      <c r="I3093" t="s">
        <v>1629</v>
      </c>
      <c r="J3093" t="s">
        <v>1630</v>
      </c>
      <c r="K3093" t="s">
        <v>88</v>
      </c>
      <c r="L3093" s="12" t="s">
        <v>32</v>
      </c>
      <c r="M3093" s="12" t="s">
        <v>98</v>
      </c>
      <c r="N3093" s="12" t="s">
        <v>124</v>
      </c>
      <c r="O3093" s="12" t="s">
        <v>622</v>
      </c>
      <c r="P3093" s="12" t="s">
        <v>246</v>
      </c>
      <c r="Q3093" s="7" t="str">
        <f t="shared" si="145"/>
        <v>(2016,22,'2016.06.04',22,42,62,82,84,0),</v>
      </c>
      <c r="R3093" s="7" t="str">
        <f t="shared" si="147"/>
        <v>(2016,22,'2016.06.04',22,42,62,82,84),</v>
      </c>
    </row>
    <row r="3094" spans="1:18" x14ac:dyDescent="0.25">
      <c r="A3094" s="7" t="s">
        <v>967</v>
      </c>
      <c r="B3094" s="8" t="s">
        <v>163</v>
      </c>
      <c r="C3094" s="10">
        <f t="shared" si="146"/>
        <v>42532</v>
      </c>
      <c r="D3094" t="s">
        <v>11</v>
      </c>
      <c r="E3094" t="s">
        <v>12</v>
      </c>
      <c r="F3094" t="s">
        <v>122</v>
      </c>
      <c r="G3094" t="s">
        <v>1623</v>
      </c>
      <c r="H3094" t="s">
        <v>1624</v>
      </c>
      <c r="I3094" t="s">
        <v>996</v>
      </c>
      <c r="J3094" t="s">
        <v>1625</v>
      </c>
      <c r="K3094" t="s">
        <v>1626</v>
      </c>
      <c r="L3094" s="12" t="s">
        <v>42</v>
      </c>
      <c r="M3094" s="12" t="s">
        <v>53</v>
      </c>
      <c r="N3094" s="12" t="s">
        <v>80</v>
      </c>
      <c r="O3094" s="12" t="s">
        <v>13</v>
      </c>
      <c r="P3094" s="12" t="s">
        <v>169</v>
      </c>
      <c r="Q3094" s="7" t="str">
        <f t="shared" si="145"/>
        <v>(2016,23,'2016.06.11',3,7,32,41,58,0),</v>
      </c>
      <c r="R3094" s="7" t="str">
        <f t="shared" si="147"/>
        <v>(2016,23,'2016.06.11',3,7,32,41,58),</v>
      </c>
    </row>
    <row r="3095" spans="1:18" x14ac:dyDescent="0.25">
      <c r="A3095" s="7" t="s">
        <v>967</v>
      </c>
      <c r="B3095" s="8" t="s">
        <v>33</v>
      </c>
      <c r="C3095" s="10">
        <f t="shared" si="146"/>
        <v>42539</v>
      </c>
      <c r="D3095" t="s">
        <v>11</v>
      </c>
      <c r="E3095" t="s">
        <v>12</v>
      </c>
      <c r="F3095" t="s">
        <v>32</v>
      </c>
      <c r="G3095" t="s">
        <v>1619</v>
      </c>
      <c r="H3095" t="s">
        <v>1620</v>
      </c>
      <c r="I3095" t="s">
        <v>1621</v>
      </c>
      <c r="J3095" t="s">
        <v>1622</v>
      </c>
      <c r="K3095" t="s">
        <v>1034</v>
      </c>
      <c r="L3095" s="12" t="s">
        <v>207</v>
      </c>
      <c r="M3095" s="12" t="s">
        <v>24</v>
      </c>
      <c r="N3095" s="12" t="s">
        <v>47</v>
      </c>
      <c r="O3095" s="12" t="s">
        <v>201</v>
      </c>
      <c r="P3095" s="12" t="s">
        <v>245</v>
      </c>
      <c r="Q3095" s="7" t="str">
        <f t="shared" si="145"/>
        <v>(2016,24,'2016.06.18',2,39,69,72,74,0),</v>
      </c>
      <c r="R3095" s="7" t="str">
        <f t="shared" si="147"/>
        <v>(2016,24,'2016.06.18',2,39,69,72,74),</v>
      </c>
    </row>
    <row r="3096" spans="1:18" x14ac:dyDescent="0.25">
      <c r="A3096" s="7" t="s">
        <v>967</v>
      </c>
      <c r="B3096" s="8" t="s">
        <v>152</v>
      </c>
      <c r="C3096" s="10">
        <f t="shared" si="146"/>
        <v>42546</v>
      </c>
      <c r="D3096" t="s">
        <v>11</v>
      </c>
      <c r="E3096" t="s">
        <v>12</v>
      </c>
      <c r="F3096" t="s">
        <v>116</v>
      </c>
      <c r="G3096" t="s">
        <v>1615</v>
      </c>
      <c r="H3096" t="s">
        <v>1616</v>
      </c>
      <c r="I3096" t="s">
        <v>1617</v>
      </c>
      <c r="J3096" t="s">
        <v>1618</v>
      </c>
      <c r="K3096" t="s">
        <v>1419</v>
      </c>
      <c r="L3096" s="12" t="s">
        <v>116</v>
      </c>
      <c r="M3096" s="12" t="s">
        <v>123</v>
      </c>
      <c r="N3096" s="12" t="s">
        <v>248</v>
      </c>
      <c r="O3096" s="12" t="s">
        <v>63</v>
      </c>
      <c r="P3096" s="12" t="s">
        <v>125</v>
      </c>
      <c r="Q3096" s="7" t="str">
        <f t="shared" si="145"/>
        <v>(2016,25,'2016.06.25',29,54,63,78,83,0),</v>
      </c>
      <c r="R3096" s="7" t="str">
        <f t="shared" si="147"/>
        <v>(2016,25,'2016.06.25',29,54,63,78,83),</v>
      </c>
    </row>
    <row r="3097" spans="1:18" x14ac:dyDescent="0.25">
      <c r="A3097" s="7" t="s">
        <v>967</v>
      </c>
      <c r="B3097" s="8" t="s">
        <v>74</v>
      </c>
      <c r="C3097" s="10">
        <f t="shared" si="146"/>
        <v>42553</v>
      </c>
      <c r="D3097" t="s">
        <v>42</v>
      </c>
      <c r="E3097" t="s">
        <v>1608</v>
      </c>
      <c r="F3097" t="s">
        <v>1609</v>
      </c>
      <c r="G3097" t="s">
        <v>1610</v>
      </c>
      <c r="H3097" t="s">
        <v>1611</v>
      </c>
      <c r="I3097" t="s">
        <v>1612</v>
      </c>
      <c r="J3097" t="s">
        <v>1613</v>
      </c>
      <c r="K3097" t="s">
        <v>1614</v>
      </c>
      <c r="L3097" s="12" t="s">
        <v>108</v>
      </c>
      <c r="M3097" s="12" t="s">
        <v>198</v>
      </c>
      <c r="N3097" s="12" t="s">
        <v>83</v>
      </c>
      <c r="O3097" s="12" t="s">
        <v>55</v>
      </c>
      <c r="P3097" s="12" t="s">
        <v>13</v>
      </c>
      <c r="Q3097" s="7" t="str">
        <f t="shared" si="145"/>
        <v>(2016,26,'2016.07.02',1,9,11,19,41,0),</v>
      </c>
      <c r="R3097" s="7" t="str">
        <f t="shared" si="147"/>
        <v>(2016,26,'2016.07.02',1,9,11,19,41),</v>
      </c>
    </row>
    <row r="3098" spans="1:18" x14ac:dyDescent="0.25">
      <c r="A3098" s="7" t="s">
        <v>967</v>
      </c>
      <c r="B3098" s="8" t="s">
        <v>135</v>
      </c>
      <c r="C3098" s="10">
        <f t="shared" si="146"/>
        <v>42560</v>
      </c>
      <c r="D3098" t="s">
        <v>11</v>
      </c>
      <c r="E3098" t="s">
        <v>12</v>
      </c>
      <c r="F3098" t="s">
        <v>54</v>
      </c>
      <c r="G3098" t="s">
        <v>1604</v>
      </c>
      <c r="H3098" t="s">
        <v>1605</v>
      </c>
      <c r="I3098" t="s">
        <v>1606</v>
      </c>
      <c r="J3098" t="s">
        <v>1607</v>
      </c>
      <c r="K3098" t="s">
        <v>589</v>
      </c>
      <c r="L3098" s="12" t="s">
        <v>10</v>
      </c>
      <c r="M3098" s="12" t="s">
        <v>81</v>
      </c>
      <c r="N3098" s="12" t="s">
        <v>99</v>
      </c>
      <c r="O3098" s="12" t="s">
        <v>150</v>
      </c>
      <c r="P3098" s="12" t="s">
        <v>125</v>
      </c>
      <c r="Q3098" s="7" t="str">
        <f t="shared" si="145"/>
        <v>(2016,27,'2016.07.09',40,47,52,57,83,0),</v>
      </c>
      <c r="R3098" s="7" t="str">
        <f t="shared" si="147"/>
        <v>(2016,27,'2016.07.09',40,47,52,57,83),</v>
      </c>
    </row>
    <row r="3099" spans="1:18" x14ac:dyDescent="0.25">
      <c r="A3099" s="7" t="s">
        <v>967</v>
      </c>
      <c r="B3099" s="8" t="s">
        <v>126</v>
      </c>
      <c r="C3099" s="10">
        <f t="shared" si="146"/>
        <v>42567</v>
      </c>
      <c r="D3099" t="s">
        <v>11</v>
      </c>
      <c r="E3099" t="s">
        <v>12</v>
      </c>
      <c r="F3099" t="s">
        <v>65</v>
      </c>
      <c r="G3099" t="s">
        <v>1600</v>
      </c>
      <c r="H3099" t="s">
        <v>1601</v>
      </c>
      <c r="I3099" t="s">
        <v>1602</v>
      </c>
      <c r="J3099" t="s">
        <v>1603</v>
      </c>
      <c r="K3099" t="s">
        <v>1259</v>
      </c>
      <c r="L3099" s="12" t="s">
        <v>62</v>
      </c>
      <c r="M3099" s="12" t="s">
        <v>98</v>
      </c>
      <c r="N3099" s="12" t="s">
        <v>23</v>
      </c>
      <c r="O3099" s="12" t="s">
        <v>63</v>
      </c>
      <c r="P3099" s="12" t="s">
        <v>622</v>
      </c>
      <c r="Q3099" s="7" t="str">
        <f t="shared" si="145"/>
        <v>(2016,28,'2016.07.16',10,42,60,78,82,0),</v>
      </c>
      <c r="R3099" s="7" t="str">
        <f t="shared" si="147"/>
        <v>(2016,28,'2016.07.16',10,42,60,78,82),</v>
      </c>
    </row>
    <row r="3100" spans="1:18" x14ac:dyDescent="0.25">
      <c r="A3100" s="7" t="s">
        <v>967</v>
      </c>
      <c r="B3100" s="8" t="s">
        <v>116</v>
      </c>
      <c r="C3100" s="10">
        <f t="shared" si="146"/>
        <v>42574</v>
      </c>
      <c r="D3100" t="s">
        <v>11</v>
      </c>
      <c r="E3100" t="s">
        <v>12</v>
      </c>
      <c r="F3100" t="s">
        <v>83</v>
      </c>
      <c r="G3100" t="s">
        <v>1595</v>
      </c>
      <c r="H3100" t="s">
        <v>1596</v>
      </c>
      <c r="I3100" t="s">
        <v>1597</v>
      </c>
      <c r="J3100" t="s">
        <v>1598</v>
      </c>
      <c r="K3100" t="s">
        <v>1599</v>
      </c>
      <c r="L3100" s="12" t="s">
        <v>80</v>
      </c>
      <c r="M3100" s="12" t="s">
        <v>45</v>
      </c>
      <c r="N3100" s="12" t="s">
        <v>23</v>
      </c>
      <c r="O3100" s="12" t="s">
        <v>245</v>
      </c>
      <c r="P3100" s="12" t="s">
        <v>151</v>
      </c>
      <c r="Q3100" s="7" t="str">
        <f t="shared" si="145"/>
        <v>(2016,29,'2016.07.23',32,43,60,74,79,0),</v>
      </c>
      <c r="R3100" s="7" t="str">
        <f t="shared" si="147"/>
        <v>(2016,29,'2016.07.23',32,43,60,74,79),</v>
      </c>
    </row>
    <row r="3101" spans="1:18" x14ac:dyDescent="0.25">
      <c r="A3101" s="7" t="s">
        <v>967</v>
      </c>
      <c r="B3101" s="8" t="s">
        <v>107</v>
      </c>
      <c r="C3101" s="10">
        <f t="shared" si="146"/>
        <v>42581</v>
      </c>
      <c r="D3101" t="s">
        <v>11</v>
      </c>
      <c r="E3101" t="s">
        <v>12</v>
      </c>
      <c r="F3101" t="s">
        <v>44</v>
      </c>
      <c r="G3101" t="s">
        <v>1591</v>
      </c>
      <c r="H3101" t="s">
        <v>1592</v>
      </c>
      <c r="I3101" t="s">
        <v>1593</v>
      </c>
      <c r="J3101" t="s">
        <v>1594</v>
      </c>
      <c r="K3101" t="s">
        <v>300</v>
      </c>
      <c r="L3101" s="12" t="s">
        <v>43</v>
      </c>
      <c r="M3101" s="12" t="s">
        <v>175</v>
      </c>
      <c r="N3101" s="12" t="s">
        <v>23</v>
      </c>
      <c r="O3101" s="12" t="s">
        <v>72</v>
      </c>
      <c r="P3101" s="12" t="s">
        <v>73</v>
      </c>
      <c r="Q3101" s="7" t="str">
        <f t="shared" si="145"/>
        <v>(2016,30,'2016.07.30',16,55,60,67,76,0),</v>
      </c>
      <c r="R3101" s="7" t="str">
        <f t="shared" si="147"/>
        <v>(2016,30,'2016.07.30',16,55,60,67,76),</v>
      </c>
    </row>
    <row r="3102" spans="1:18" x14ac:dyDescent="0.25">
      <c r="A3102" s="7" t="s">
        <v>967</v>
      </c>
      <c r="B3102" s="8" t="s">
        <v>71</v>
      </c>
      <c r="C3102" s="10">
        <f t="shared" si="146"/>
        <v>42588</v>
      </c>
      <c r="D3102" t="s">
        <v>11</v>
      </c>
      <c r="E3102" t="s">
        <v>12</v>
      </c>
      <c r="F3102" t="s">
        <v>32</v>
      </c>
      <c r="G3102" t="s">
        <v>1586</v>
      </c>
      <c r="H3102" t="s">
        <v>1587</v>
      </c>
      <c r="I3102" t="s">
        <v>1588</v>
      </c>
      <c r="J3102" t="s">
        <v>1589</v>
      </c>
      <c r="K3102" t="s">
        <v>1590</v>
      </c>
      <c r="L3102" s="12" t="s">
        <v>54</v>
      </c>
      <c r="M3102" s="12" t="s">
        <v>33</v>
      </c>
      <c r="N3102" s="12" t="s">
        <v>135</v>
      </c>
      <c r="O3102" s="12" t="s">
        <v>116</v>
      </c>
      <c r="P3102" s="12" t="s">
        <v>10</v>
      </c>
      <c r="Q3102" s="7" t="str">
        <f t="shared" si="145"/>
        <v>(2016,31,'2016.08.06',15,24,27,29,40,0),</v>
      </c>
      <c r="R3102" s="7" t="str">
        <f t="shared" si="147"/>
        <v>(2016,31,'2016.08.06',15,24,27,29,40),</v>
      </c>
    </row>
    <row r="3103" spans="1:18" x14ac:dyDescent="0.25">
      <c r="A3103" s="7" t="s">
        <v>967</v>
      </c>
      <c r="B3103" s="8" t="s">
        <v>80</v>
      </c>
      <c r="C3103" s="10">
        <f t="shared" si="146"/>
        <v>42595</v>
      </c>
      <c r="D3103" t="s">
        <v>108</v>
      </c>
      <c r="E3103" t="s">
        <v>1580</v>
      </c>
      <c r="F3103" t="s">
        <v>10</v>
      </c>
      <c r="G3103" t="s">
        <v>1581</v>
      </c>
      <c r="H3103" t="s">
        <v>1582</v>
      </c>
      <c r="I3103" t="s">
        <v>1583</v>
      </c>
      <c r="J3103" t="s">
        <v>1584</v>
      </c>
      <c r="K3103" t="s">
        <v>1585</v>
      </c>
      <c r="L3103" s="12" t="s">
        <v>65</v>
      </c>
      <c r="M3103" s="12" t="s">
        <v>127</v>
      </c>
      <c r="N3103" s="12" t="s">
        <v>44</v>
      </c>
      <c r="O3103" s="12" t="s">
        <v>25</v>
      </c>
      <c r="P3103" s="12" t="s">
        <v>246</v>
      </c>
      <c r="Q3103" s="7" t="str">
        <f t="shared" si="145"/>
        <v>(2016,32,'2016.08.13',13,14,21,34,84,0),</v>
      </c>
      <c r="R3103" s="7" t="str">
        <f t="shared" si="147"/>
        <v>(2016,32,'2016.08.13',13,14,21,34,84),</v>
      </c>
    </row>
    <row r="3104" spans="1:18" x14ac:dyDescent="0.25">
      <c r="A3104" s="7" t="s">
        <v>967</v>
      </c>
      <c r="B3104" s="8" t="s">
        <v>20</v>
      </c>
      <c r="C3104" s="10">
        <f t="shared" si="146"/>
        <v>42602</v>
      </c>
      <c r="D3104" t="s">
        <v>11</v>
      </c>
      <c r="E3104" t="s">
        <v>12</v>
      </c>
      <c r="F3104" t="s">
        <v>270</v>
      </c>
      <c r="G3104" t="s">
        <v>1576</v>
      </c>
      <c r="H3104" t="s">
        <v>1577</v>
      </c>
      <c r="I3104" t="s">
        <v>1578</v>
      </c>
      <c r="J3104" t="s">
        <v>1579</v>
      </c>
      <c r="K3104" t="s">
        <v>746</v>
      </c>
      <c r="L3104" s="12" t="s">
        <v>24</v>
      </c>
      <c r="M3104" s="12" t="s">
        <v>13</v>
      </c>
      <c r="N3104" s="12" t="s">
        <v>192</v>
      </c>
      <c r="O3104" s="12" t="s">
        <v>81</v>
      </c>
      <c r="P3104" s="12" t="s">
        <v>23</v>
      </c>
      <c r="Q3104" s="7" t="str">
        <f t="shared" si="145"/>
        <v>(2016,33,'2016.08.20',39,41,46,47,60,0),</v>
      </c>
      <c r="R3104" s="7" t="str">
        <f t="shared" si="147"/>
        <v>(2016,33,'2016.08.20',39,41,46,47,60),</v>
      </c>
    </row>
    <row r="3105" spans="1:18" x14ac:dyDescent="0.25">
      <c r="A3105" s="7" t="s">
        <v>967</v>
      </c>
      <c r="B3105" s="8" t="s">
        <v>25</v>
      </c>
      <c r="C3105" s="10">
        <f t="shared" si="146"/>
        <v>42609</v>
      </c>
      <c r="D3105" t="s">
        <v>11</v>
      </c>
      <c r="E3105" t="s">
        <v>12</v>
      </c>
      <c r="F3105" t="s">
        <v>22</v>
      </c>
      <c r="G3105" t="s">
        <v>1573</v>
      </c>
      <c r="H3105" t="s">
        <v>1574</v>
      </c>
      <c r="I3105" t="s">
        <v>1397</v>
      </c>
      <c r="J3105" t="s">
        <v>1575</v>
      </c>
      <c r="K3105" t="s">
        <v>1419</v>
      </c>
      <c r="L3105" s="12" t="s">
        <v>32</v>
      </c>
      <c r="M3105" s="12" t="s">
        <v>116</v>
      </c>
      <c r="N3105" s="12" t="s">
        <v>199</v>
      </c>
      <c r="O3105" s="12" t="s">
        <v>124</v>
      </c>
      <c r="P3105" s="12" t="s">
        <v>245</v>
      </c>
      <c r="Q3105" s="7" t="str">
        <f t="shared" si="145"/>
        <v>(2016,34,'2016.08.27',22,29,53,62,74,0),</v>
      </c>
      <c r="R3105" s="7" t="str">
        <f t="shared" si="147"/>
        <v>(2016,34,'2016.08.27',22,29,53,62,74),</v>
      </c>
    </row>
    <row r="3106" spans="1:18" x14ac:dyDescent="0.25">
      <c r="A3106" s="7" t="s">
        <v>967</v>
      </c>
      <c r="B3106" s="8" t="s">
        <v>64</v>
      </c>
      <c r="C3106" s="10">
        <f t="shared" si="146"/>
        <v>42616</v>
      </c>
      <c r="D3106" t="s">
        <v>11</v>
      </c>
      <c r="E3106" t="s">
        <v>12</v>
      </c>
      <c r="F3106" t="s">
        <v>23</v>
      </c>
      <c r="G3106" t="s">
        <v>1568</v>
      </c>
      <c r="H3106" t="s">
        <v>1569</v>
      </c>
      <c r="I3106" t="s">
        <v>1570</v>
      </c>
      <c r="J3106" t="s">
        <v>1571</v>
      </c>
      <c r="K3106" t="s">
        <v>1572</v>
      </c>
      <c r="L3106" s="12" t="s">
        <v>168</v>
      </c>
      <c r="M3106" s="12" t="s">
        <v>65</v>
      </c>
      <c r="N3106" s="12" t="s">
        <v>81</v>
      </c>
      <c r="O3106" s="12" t="s">
        <v>73</v>
      </c>
      <c r="P3106" s="12" t="s">
        <v>63</v>
      </c>
      <c r="Q3106" s="7" t="str">
        <f t="shared" si="145"/>
        <v>(2016,35,'2016.09.03',4,13,47,76,78,0),</v>
      </c>
      <c r="R3106" s="7" t="str">
        <f t="shared" si="147"/>
        <v>(2016,35,'2016.09.03',4,13,47,76,78),</v>
      </c>
    </row>
    <row r="3107" spans="1:18" x14ac:dyDescent="0.25">
      <c r="A3107" s="7" t="s">
        <v>967</v>
      </c>
      <c r="B3107" s="8" t="s">
        <v>21</v>
      </c>
      <c r="C3107" s="10">
        <f t="shared" si="146"/>
        <v>42623</v>
      </c>
      <c r="D3107" t="s">
        <v>11</v>
      </c>
      <c r="E3107" t="s">
        <v>12</v>
      </c>
      <c r="F3107" t="s">
        <v>135</v>
      </c>
      <c r="G3107" t="s">
        <v>1564</v>
      </c>
      <c r="H3107" t="s">
        <v>1565</v>
      </c>
      <c r="I3107" t="s">
        <v>1566</v>
      </c>
      <c r="J3107" t="s">
        <v>1567</v>
      </c>
      <c r="K3107" t="s">
        <v>1194</v>
      </c>
      <c r="L3107" s="12" t="s">
        <v>198</v>
      </c>
      <c r="M3107" s="12" t="s">
        <v>43</v>
      </c>
      <c r="N3107" s="12" t="s">
        <v>63</v>
      </c>
      <c r="O3107" s="12" t="s">
        <v>125</v>
      </c>
      <c r="P3107" s="12" t="s">
        <v>308</v>
      </c>
      <c r="Q3107" s="7" t="str">
        <f t="shared" si="145"/>
        <v>(2016,36,'2016.09.10',9,16,78,83,86,0),</v>
      </c>
      <c r="R3107" s="7" t="str">
        <f t="shared" si="147"/>
        <v>(2016,36,'2016.09.10',9,16,78,83,86),</v>
      </c>
    </row>
    <row r="3108" spans="1:18" x14ac:dyDescent="0.25">
      <c r="A3108" s="7" t="s">
        <v>967</v>
      </c>
      <c r="B3108" s="8" t="s">
        <v>46</v>
      </c>
      <c r="C3108" s="10">
        <f t="shared" si="146"/>
        <v>42630</v>
      </c>
      <c r="D3108" t="s">
        <v>11</v>
      </c>
      <c r="E3108" t="s">
        <v>12</v>
      </c>
      <c r="F3108" t="s">
        <v>245</v>
      </c>
      <c r="G3108" t="s">
        <v>1560</v>
      </c>
      <c r="H3108" t="s">
        <v>1561</v>
      </c>
      <c r="I3108" t="s">
        <v>1562</v>
      </c>
      <c r="J3108" t="s">
        <v>1563</v>
      </c>
      <c r="K3108" t="s">
        <v>931</v>
      </c>
      <c r="L3108" s="12" t="s">
        <v>108</v>
      </c>
      <c r="M3108" s="12" t="s">
        <v>198</v>
      </c>
      <c r="N3108" s="12" t="s">
        <v>90</v>
      </c>
      <c r="O3108" s="12" t="s">
        <v>19</v>
      </c>
      <c r="P3108" s="12" t="s">
        <v>379</v>
      </c>
      <c r="Q3108" s="7" t="str">
        <f t="shared" si="145"/>
        <v>(2016,37,'2016.09.17',1,9,17,18,89,0),</v>
      </c>
      <c r="R3108" s="7" t="str">
        <f t="shared" si="147"/>
        <v>(2016,37,'2016.09.17',1,9,17,18,89),</v>
      </c>
    </row>
    <row r="3109" spans="1:18" x14ac:dyDescent="0.25">
      <c r="A3109" s="7" t="s">
        <v>967</v>
      </c>
      <c r="B3109" s="8" t="s">
        <v>36</v>
      </c>
      <c r="C3109" s="10">
        <f t="shared" si="146"/>
        <v>42637</v>
      </c>
      <c r="D3109" t="s">
        <v>108</v>
      </c>
      <c r="E3109" t="s">
        <v>1556</v>
      </c>
      <c r="F3109" t="s">
        <v>152</v>
      </c>
      <c r="G3109" t="s">
        <v>1557</v>
      </c>
      <c r="H3109" t="s">
        <v>1558</v>
      </c>
      <c r="I3109" t="s">
        <v>331</v>
      </c>
      <c r="J3109" t="s">
        <v>1559</v>
      </c>
      <c r="K3109" t="s">
        <v>805</v>
      </c>
      <c r="L3109" s="12" t="s">
        <v>232</v>
      </c>
      <c r="M3109" s="12" t="s">
        <v>116</v>
      </c>
      <c r="N3109" s="12" t="s">
        <v>82</v>
      </c>
      <c r="O3109" s="12" t="s">
        <v>143</v>
      </c>
      <c r="P3109" s="12" t="s">
        <v>379</v>
      </c>
      <c r="Q3109" s="7" t="str">
        <f t="shared" si="145"/>
        <v>(2016,38,'2016.09.24',8,29,59,77,89,0),</v>
      </c>
      <c r="R3109" s="7" t="str">
        <f t="shared" si="147"/>
        <v>(2016,38,'2016.09.24',8,29,59,77,89),</v>
      </c>
    </row>
    <row r="3110" spans="1:18" x14ac:dyDescent="0.25">
      <c r="A3110" s="7" t="s">
        <v>967</v>
      </c>
      <c r="B3110" s="8" t="s">
        <v>24</v>
      </c>
      <c r="C3110" s="10">
        <f t="shared" si="146"/>
        <v>42644</v>
      </c>
      <c r="D3110" t="s">
        <v>11</v>
      </c>
      <c r="E3110" t="s">
        <v>12</v>
      </c>
      <c r="F3110" t="s">
        <v>55</v>
      </c>
      <c r="G3110" t="s">
        <v>1552</v>
      </c>
      <c r="H3110" t="s">
        <v>1553</v>
      </c>
      <c r="I3110" t="s">
        <v>1554</v>
      </c>
      <c r="J3110" t="s">
        <v>1555</v>
      </c>
      <c r="K3110" t="s">
        <v>1034</v>
      </c>
      <c r="L3110" s="12" t="s">
        <v>108</v>
      </c>
      <c r="M3110" s="12" t="s">
        <v>163</v>
      </c>
      <c r="N3110" s="12" t="s">
        <v>46</v>
      </c>
      <c r="O3110" s="12" t="s">
        <v>34</v>
      </c>
      <c r="P3110" s="12" t="s">
        <v>23</v>
      </c>
      <c r="Q3110" s="7" t="str">
        <f t="shared" si="145"/>
        <v>(2016,39,'2016.10.01',1,23,37,49,60,0),</v>
      </c>
      <c r="R3110" s="7" t="str">
        <f t="shared" si="147"/>
        <v>(2016,39,'2016.10.01',1,23,37,49,60),</v>
      </c>
    </row>
    <row r="3111" spans="1:18" x14ac:dyDescent="0.25">
      <c r="A3111" s="7" t="s">
        <v>967</v>
      </c>
      <c r="B3111" s="8" t="s">
        <v>10</v>
      </c>
      <c r="C3111" s="10">
        <f t="shared" si="146"/>
        <v>42651</v>
      </c>
      <c r="D3111" t="s">
        <v>11</v>
      </c>
      <c r="E3111" t="s">
        <v>12</v>
      </c>
      <c r="F3111" t="s">
        <v>64</v>
      </c>
      <c r="G3111" t="s">
        <v>1547</v>
      </c>
      <c r="H3111" t="s">
        <v>1548</v>
      </c>
      <c r="I3111" t="s">
        <v>1549</v>
      </c>
      <c r="J3111" t="s">
        <v>1550</v>
      </c>
      <c r="K3111" t="s">
        <v>1551</v>
      </c>
      <c r="L3111" s="12" t="s">
        <v>163</v>
      </c>
      <c r="M3111" s="12" t="s">
        <v>21</v>
      </c>
      <c r="N3111" s="12" t="s">
        <v>36</v>
      </c>
      <c r="O3111" s="12" t="s">
        <v>150</v>
      </c>
      <c r="P3111" s="12" t="s">
        <v>73</v>
      </c>
      <c r="Q3111" s="7" t="str">
        <f t="shared" si="145"/>
        <v>(2016,40,'2016.10.08',23,36,38,57,76,0),</v>
      </c>
      <c r="R3111" s="7" t="str">
        <f t="shared" si="147"/>
        <v>(2016,40,'2016.10.08',23,36,38,57,76),</v>
      </c>
    </row>
    <row r="3112" spans="1:18" x14ac:dyDescent="0.25">
      <c r="A3112" s="7" t="s">
        <v>967</v>
      </c>
      <c r="B3112" s="8" t="s">
        <v>13</v>
      </c>
      <c r="C3112" s="10">
        <f t="shared" si="146"/>
        <v>42658</v>
      </c>
      <c r="D3112" t="s">
        <v>11</v>
      </c>
      <c r="E3112" t="s">
        <v>12</v>
      </c>
      <c r="F3112" t="s">
        <v>105</v>
      </c>
      <c r="G3112" t="s">
        <v>1542</v>
      </c>
      <c r="H3112" t="s">
        <v>1543</v>
      </c>
      <c r="I3112" t="s">
        <v>1544</v>
      </c>
      <c r="J3112" t="s">
        <v>1545</v>
      </c>
      <c r="K3112" t="s">
        <v>1546</v>
      </c>
      <c r="L3112" s="12" t="s">
        <v>90</v>
      </c>
      <c r="M3112" s="12" t="s">
        <v>32</v>
      </c>
      <c r="N3112" s="12" t="s">
        <v>81</v>
      </c>
      <c r="O3112" s="12" t="s">
        <v>239</v>
      </c>
      <c r="P3112" s="12" t="s">
        <v>186</v>
      </c>
      <c r="Q3112" s="7" t="str">
        <f t="shared" si="145"/>
        <v>(2016,41,'2016.10.15',17,22,47,73,90,0),</v>
      </c>
      <c r="R3112" s="7" t="str">
        <f t="shared" si="147"/>
        <v>(2016,41,'2016.10.15',17,22,47,73,90),</v>
      </c>
    </row>
    <row r="3113" spans="1:18" x14ac:dyDescent="0.25">
      <c r="A3113" s="7" t="s">
        <v>967</v>
      </c>
      <c r="B3113" s="8" t="s">
        <v>98</v>
      </c>
      <c r="C3113" s="10">
        <f t="shared" si="146"/>
        <v>42665</v>
      </c>
      <c r="D3113" t="s">
        <v>11</v>
      </c>
      <c r="E3113" t="s">
        <v>12</v>
      </c>
      <c r="F3113" t="s">
        <v>46</v>
      </c>
      <c r="G3113" t="s">
        <v>1538</v>
      </c>
      <c r="H3113" t="s">
        <v>1539</v>
      </c>
      <c r="I3113" t="s">
        <v>1540</v>
      </c>
      <c r="J3113" t="s">
        <v>1541</v>
      </c>
      <c r="K3113" t="s">
        <v>1034</v>
      </c>
      <c r="L3113" s="12" t="s">
        <v>127</v>
      </c>
      <c r="M3113" s="12" t="s">
        <v>25</v>
      </c>
      <c r="N3113" s="12" t="s">
        <v>45</v>
      </c>
      <c r="O3113" s="12" t="s">
        <v>99</v>
      </c>
      <c r="P3113" s="12" t="s">
        <v>63</v>
      </c>
      <c r="Q3113" s="7" t="str">
        <f t="shared" si="145"/>
        <v>(2016,42,'2016.10.22',14,34,43,52,78,0),</v>
      </c>
      <c r="R3113" s="7" t="str">
        <f t="shared" si="147"/>
        <v>(2016,42,'2016.10.22',14,34,43,52,78),</v>
      </c>
    </row>
    <row r="3114" spans="1:18" x14ac:dyDescent="0.25">
      <c r="A3114" s="7" t="s">
        <v>967</v>
      </c>
      <c r="B3114" s="8" t="s">
        <v>45</v>
      </c>
      <c r="C3114" s="10">
        <f t="shared" si="146"/>
        <v>42672</v>
      </c>
      <c r="D3114" t="s">
        <v>11</v>
      </c>
      <c r="E3114" t="s">
        <v>12</v>
      </c>
      <c r="F3114" t="s">
        <v>163</v>
      </c>
      <c r="G3114" t="s">
        <v>1534</v>
      </c>
      <c r="H3114" t="s">
        <v>1535</v>
      </c>
      <c r="I3114" t="s">
        <v>1536</v>
      </c>
      <c r="J3114" t="s">
        <v>1537</v>
      </c>
      <c r="K3114" t="s">
        <v>1053</v>
      </c>
      <c r="L3114" s="12" t="s">
        <v>199</v>
      </c>
      <c r="M3114" s="12" t="s">
        <v>175</v>
      </c>
      <c r="N3114" s="12" t="s">
        <v>72</v>
      </c>
      <c r="O3114" s="12" t="s">
        <v>151</v>
      </c>
      <c r="P3114" s="12" t="s">
        <v>301</v>
      </c>
      <c r="Q3114" s="7" t="str">
        <f t="shared" si="145"/>
        <v>(2016,43,'2016.10.29',53,55,67,79,80,0),</v>
      </c>
      <c r="R3114" s="7" t="str">
        <f t="shared" si="147"/>
        <v>(2016,43,'2016.10.29',53,55,67,79,80),</v>
      </c>
    </row>
    <row r="3115" spans="1:18" x14ac:dyDescent="0.25">
      <c r="A3115" s="7" t="s">
        <v>967</v>
      </c>
      <c r="B3115" s="8" t="s">
        <v>142</v>
      </c>
      <c r="C3115" s="10">
        <f t="shared" si="146"/>
        <v>42679</v>
      </c>
      <c r="D3115" t="s">
        <v>11</v>
      </c>
      <c r="E3115" t="s">
        <v>12</v>
      </c>
      <c r="F3115" t="s">
        <v>116</v>
      </c>
      <c r="G3115" t="s">
        <v>1531</v>
      </c>
      <c r="H3115" t="s">
        <v>1532</v>
      </c>
      <c r="I3115" t="s">
        <v>471</v>
      </c>
      <c r="J3115" t="s">
        <v>1533</v>
      </c>
      <c r="K3115" t="s">
        <v>1497</v>
      </c>
      <c r="L3115" s="12" t="s">
        <v>53</v>
      </c>
      <c r="M3115" s="12" t="s">
        <v>199</v>
      </c>
      <c r="N3115" s="12" t="s">
        <v>35</v>
      </c>
      <c r="O3115" s="12" t="s">
        <v>239</v>
      </c>
      <c r="P3115" s="12" t="s">
        <v>269</v>
      </c>
      <c r="Q3115" s="7" t="str">
        <f t="shared" si="145"/>
        <v>(2016,44,'2016.11.05',7,53,65,73,87,0),</v>
      </c>
      <c r="R3115" s="7" t="str">
        <f t="shared" si="147"/>
        <v>(2016,44,'2016.11.05',7,53,65,73,87),</v>
      </c>
    </row>
    <row r="3116" spans="1:18" x14ac:dyDescent="0.25">
      <c r="A3116" s="7" t="s">
        <v>967</v>
      </c>
      <c r="B3116" s="8" t="s">
        <v>133</v>
      </c>
      <c r="C3116" s="10">
        <f t="shared" si="146"/>
        <v>42686</v>
      </c>
      <c r="D3116" t="s">
        <v>11</v>
      </c>
      <c r="E3116" t="s">
        <v>12</v>
      </c>
      <c r="F3116" t="s">
        <v>98</v>
      </c>
      <c r="G3116" t="s">
        <v>1527</v>
      </c>
      <c r="H3116" t="s">
        <v>1528</v>
      </c>
      <c r="I3116" t="s">
        <v>1529</v>
      </c>
      <c r="J3116" t="s">
        <v>1530</v>
      </c>
      <c r="K3116" t="s">
        <v>830</v>
      </c>
      <c r="L3116" s="12" t="s">
        <v>108</v>
      </c>
      <c r="M3116" s="12" t="s">
        <v>83</v>
      </c>
      <c r="N3116" s="12" t="s">
        <v>133</v>
      </c>
      <c r="O3116" s="12" t="s">
        <v>72</v>
      </c>
      <c r="P3116" s="12" t="s">
        <v>63</v>
      </c>
      <c r="Q3116" s="7" t="str">
        <f t="shared" si="145"/>
        <v>(2016,45,'2016.11.12',1,11,45,67,78,0),</v>
      </c>
      <c r="R3116" s="7" t="str">
        <f t="shared" si="147"/>
        <v>(2016,45,'2016.11.12',1,11,45,67,78),</v>
      </c>
    </row>
    <row r="3117" spans="1:18" x14ac:dyDescent="0.25">
      <c r="A3117" s="7" t="s">
        <v>967</v>
      </c>
      <c r="B3117" s="8" t="s">
        <v>192</v>
      </c>
      <c r="C3117" s="10">
        <f t="shared" si="146"/>
        <v>42693</v>
      </c>
      <c r="D3117" t="s">
        <v>11</v>
      </c>
      <c r="E3117" t="s">
        <v>12</v>
      </c>
      <c r="F3117" t="s">
        <v>91</v>
      </c>
      <c r="G3117" t="s">
        <v>1522</v>
      </c>
      <c r="H3117" t="s">
        <v>1523</v>
      </c>
      <c r="I3117" t="s">
        <v>1524</v>
      </c>
      <c r="J3117" t="s">
        <v>1525</v>
      </c>
      <c r="K3117" t="s">
        <v>1526</v>
      </c>
      <c r="L3117" s="12" t="s">
        <v>232</v>
      </c>
      <c r="M3117" s="12" t="s">
        <v>198</v>
      </c>
      <c r="N3117" s="12" t="s">
        <v>55</v>
      </c>
      <c r="O3117" s="12" t="s">
        <v>46</v>
      </c>
      <c r="P3117" s="12" t="s">
        <v>45</v>
      </c>
      <c r="Q3117" s="7" t="str">
        <f t="shared" si="145"/>
        <v>(2016,46,'2016.11.19',8,9,19,37,43,0),</v>
      </c>
      <c r="R3117" s="7" t="str">
        <f t="shared" si="147"/>
        <v>(2016,46,'2016.11.19',8,9,19,37,43),</v>
      </c>
    </row>
    <row r="3118" spans="1:18" x14ac:dyDescent="0.25">
      <c r="A3118" s="7" t="s">
        <v>967</v>
      </c>
      <c r="B3118" s="8" t="s">
        <v>81</v>
      </c>
      <c r="C3118" s="10">
        <f t="shared" si="146"/>
        <v>42700</v>
      </c>
      <c r="D3118" t="s">
        <v>108</v>
      </c>
      <c r="E3118" t="s">
        <v>1517</v>
      </c>
      <c r="F3118" t="s">
        <v>19</v>
      </c>
      <c r="G3118" t="s">
        <v>1518</v>
      </c>
      <c r="H3118" t="s">
        <v>1519</v>
      </c>
      <c r="I3118" t="s">
        <v>1520</v>
      </c>
      <c r="J3118" t="s">
        <v>1521</v>
      </c>
      <c r="K3118" t="s">
        <v>141</v>
      </c>
      <c r="L3118" s="12" t="s">
        <v>20</v>
      </c>
      <c r="M3118" s="12" t="s">
        <v>45</v>
      </c>
      <c r="N3118" s="12" t="s">
        <v>169</v>
      </c>
      <c r="O3118" s="12" t="s">
        <v>23</v>
      </c>
      <c r="P3118" s="12" t="s">
        <v>143</v>
      </c>
      <c r="Q3118" s="7" t="str">
        <f t="shared" si="145"/>
        <v>(2016,47,'2016.11.26',33,43,58,60,77,0),</v>
      </c>
      <c r="R3118" s="7" t="str">
        <f t="shared" si="147"/>
        <v>(2016,47,'2016.11.26',33,43,58,60,77),</v>
      </c>
    </row>
    <row r="3119" spans="1:18" x14ac:dyDescent="0.25">
      <c r="A3119" s="7" t="s">
        <v>967</v>
      </c>
      <c r="B3119" s="8" t="s">
        <v>22</v>
      </c>
      <c r="C3119" s="10">
        <f t="shared" si="146"/>
        <v>42707</v>
      </c>
      <c r="D3119" t="s">
        <v>11</v>
      </c>
      <c r="E3119" t="s">
        <v>12</v>
      </c>
      <c r="F3119" t="s">
        <v>65</v>
      </c>
      <c r="G3119" t="s">
        <v>1513</v>
      </c>
      <c r="H3119" t="s">
        <v>1514</v>
      </c>
      <c r="I3119" t="s">
        <v>1515</v>
      </c>
      <c r="J3119" t="s">
        <v>1516</v>
      </c>
      <c r="K3119" t="s">
        <v>1100</v>
      </c>
      <c r="L3119" s="12" t="s">
        <v>53</v>
      </c>
      <c r="M3119" s="12" t="s">
        <v>248</v>
      </c>
      <c r="N3119" s="12" t="s">
        <v>47</v>
      </c>
      <c r="O3119" s="12" t="s">
        <v>73</v>
      </c>
      <c r="P3119" s="12" t="s">
        <v>468</v>
      </c>
      <c r="Q3119" s="7" t="str">
        <f t="shared" si="145"/>
        <v>(2016,48,'2016.12.03',7,63,69,76,85,0),</v>
      </c>
      <c r="R3119" s="7" t="str">
        <f t="shared" si="147"/>
        <v>(2016,48,'2016.12.03',7,63,69,76,85),</v>
      </c>
    </row>
    <row r="3120" spans="1:18" x14ac:dyDescent="0.25">
      <c r="A3120" s="7" t="s">
        <v>967</v>
      </c>
      <c r="B3120" s="8" t="s">
        <v>34</v>
      </c>
      <c r="C3120" s="10">
        <f t="shared" si="146"/>
        <v>42714</v>
      </c>
      <c r="D3120" t="s">
        <v>11</v>
      </c>
      <c r="E3120" t="s">
        <v>12</v>
      </c>
      <c r="F3120" t="s">
        <v>64</v>
      </c>
      <c r="G3120" t="s">
        <v>1510</v>
      </c>
      <c r="H3120" t="s">
        <v>1261</v>
      </c>
      <c r="I3120" t="s">
        <v>1511</v>
      </c>
      <c r="J3120" t="s">
        <v>1512</v>
      </c>
      <c r="K3120" t="s">
        <v>253</v>
      </c>
      <c r="L3120" s="12" t="s">
        <v>62</v>
      </c>
      <c r="M3120" s="12" t="s">
        <v>127</v>
      </c>
      <c r="N3120" s="12" t="s">
        <v>152</v>
      </c>
      <c r="O3120" s="12" t="s">
        <v>122</v>
      </c>
      <c r="P3120" s="12" t="s">
        <v>56</v>
      </c>
      <c r="Q3120" s="7" t="str">
        <f t="shared" si="145"/>
        <v>(2016,49,'2016.12.10',10,14,25,51,71,0),</v>
      </c>
      <c r="R3120" s="7" t="str">
        <f t="shared" si="147"/>
        <v>(2016,49,'2016.12.10',10,14,25,51,71),</v>
      </c>
    </row>
    <row r="3121" spans="1:18" x14ac:dyDescent="0.25">
      <c r="A3121" s="7" t="s">
        <v>967</v>
      </c>
      <c r="B3121" s="8" t="s">
        <v>105</v>
      </c>
      <c r="C3121" s="10">
        <f t="shared" si="146"/>
        <v>42721</v>
      </c>
      <c r="D3121" t="s">
        <v>11</v>
      </c>
      <c r="E3121" t="s">
        <v>12</v>
      </c>
      <c r="F3121" t="s">
        <v>62</v>
      </c>
      <c r="G3121" t="s">
        <v>1506</v>
      </c>
      <c r="H3121" t="s">
        <v>1507</v>
      </c>
      <c r="I3121" t="s">
        <v>1508</v>
      </c>
      <c r="J3121" t="s">
        <v>1509</v>
      </c>
      <c r="K3121" t="s">
        <v>780</v>
      </c>
      <c r="L3121" s="12" t="s">
        <v>74</v>
      </c>
      <c r="M3121" s="12" t="s">
        <v>135</v>
      </c>
      <c r="N3121" s="12" t="s">
        <v>107</v>
      </c>
      <c r="O3121" s="12" t="s">
        <v>239</v>
      </c>
      <c r="P3121" s="12" t="s">
        <v>468</v>
      </c>
      <c r="Q3121" s="7" t="str">
        <f t="shared" si="145"/>
        <v>(2016,50,'2016.12.17',26,27,30,73,85,0),</v>
      </c>
      <c r="R3121" s="7" t="str">
        <f t="shared" si="147"/>
        <v>(2016,50,'2016.12.17',26,27,30,73,85),</v>
      </c>
    </row>
    <row r="3122" spans="1:18" x14ac:dyDescent="0.25">
      <c r="A3122" s="7" t="s">
        <v>967</v>
      </c>
      <c r="B3122" s="8" t="s">
        <v>122</v>
      </c>
      <c r="C3122" s="10">
        <f t="shared" si="146"/>
        <v>42728</v>
      </c>
      <c r="D3122" t="s">
        <v>11</v>
      </c>
      <c r="E3122" t="s">
        <v>12</v>
      </c>
      <c r="F3122" t="s">
        <v>90</v>
      </c>
      <c r="G3122" t="s">
        <v>1502</v>
      </c>
      <c r="H3122" t="s">
        <v>1503</v>
      </c>
      <c r="I3122" t="s">
        <v>1504</v>
      </c>
      <c r="J3122" t="s">
        <v>1505</v>
      </c>
      <c r="K3122" t="s">
        <v>554</v>
      </c>
      <c r="L3122" s="12" t="s">
        <v>232</v>
      </c>
      <c r="M3122" s="12" t="s">
        <v>64</v>
      </c>
      <c r="N3122" s="12" t="s">
        <v>23</v>
      </c>
      <c r="O3122" s="12" t="s">
        <v>72</v>
      </c>
      <c r="P3122" s="12" t="s">
        <v>246</v>
      </c>
      <c r="Q3122" s="7" t="str">
        <f t="shared" si="145"/>
        <v>(2016,51,'2016.12.24',8,35,60,67,84,0),</v>
      </c>
      <c r="R3122" s="7" t="str">
        <f t="shared" si="147"/>
        <v>(2016,51,'2016.12.24',8,35,60,67,84),</v>
      </c>
    </row>
    <row r="3123" spans="1:18" x14ac:dyDescent="0.25">
      <c r="A3123" s="7" t="s">
        <v>967</v>
      </c>
      <c r="B3123" s="8" t="s">
        <v>99</v>
      </c>
      <c r="C3123" s="10">
        <f t="shared" si="146"/>
        <v>42735</v>
      </c>
      <c r="D3123" t="s">
        <v>11</v>
      </c>
      <c r="E3123" t="s">
        <v>12</v>
      </c>
      <c r="F3123" t="s">
        <v>80</v>
      </c>
      <c r="G3123" t="s">
        <v>1498</v>
      </c>
      <c r="H3123" t="s">
        <v>1499</v>
      </c>
      <c r="I3123" t="s">
        <v>1500</v>
      </c>
      <c r="J3123" t="s">
        <v>1501</v>
      </c>
      <c r="K3123" t="s">
        <v>594</v>
      </c>
      <c r="L3123" s="12" t="s">
        <v>152</v>
      </c>
      <c r="M3123" s="12" t="s">
        <v>98</v>
      </c>
      <c r="N3123" s="12" t="s">
        <v>133</v>
      </c>
      <c r="O3123" s="12" t="s">
        <v>99</v>
      </c>
      <c r="P3123" s="12" t="s">
        <v>308</v>
      </c>
      <c r="Q3123" s="7" t="str">
        <f t="shared" si="145"/>
        <v>(2016,52,'2016.12.31',25,42,45,52,86,0),</v>
      </c>
      <c r="R3123" s="7" t="str">
        <f t="shared" si="147"/>
        <v>(2016,52,'2016.12.31',25,42,45,52,86),</v>
      </c>
    </row>
    <row r="3124" spans="1:18" x14ac:dyDescent="0.25">
      <c r="A3124" s="7" t="s">
        <v>1271</v>
      </c>
      <c r="B3124" s="8" t="s">
        <v>108</v>
      </c>
      <c r="C3124" s="10">
        <f t="shared" si="146"/>
        <v>42742</v>
      </c>
      <c r="D3124" t="s">
        <v>11</v>
      </c>
      <c r="E3124" t="s">
        <v>12</v>
      </c>
      <c r="F3124" t="s">
        <v>45</v>
      </c>
      <c r="G3124" t="s">
        <v>1493</v>
      </c>
      <c r="H3124" t="s">
        <v>1494</v>
      </c>
      <c r="I3124" t="s">
        <v>1495</v>
      </c>
      <c r="J3124" t="s">
        <v>1496</v>
      </c>
      <c r="K3124" t="s">
        <v>1497</v>
      </c>
      <c r="L3124" s="12" t="s">
        <v>198</v>
      </c>
      <c r="M3124" s="12" t="s">
        <v>83</v>
      </c>
      <c r="N3124" s="12" t="s">
        <v>45</v>
      </c>
      <c r="O3124" s="12" t="s">
        <v>150</v>
      </c>
      <c r="P3124" s="12" t="s">
        <v>208</v>
      </c>
      <c r="Q3124" s="7" t="str">
        <f t="shared" si="145"/>
        <v>(2017,1,'2017.01.07',9,11,43,57,88,0),</v>
      </c>
      <c r="R3124" s="7" t="str">
        <f t="shared" si="147"/>
        <v>(2017,1,'2017.01.07',9,11,43,57,88),</v>
      </c>
    </row>
    <row r="3125" spans="1:18" x14ac:dyDescent="0.25">
      <c r="A3125" s="7" t="s">
        <v>1271</v>
      </c>
      <c r="B3125" s="8" t="s">
        <v>207</v>
      </c>
      <c r="C3125" s="10">
        <f t="shared" si="146"/>
        <v>42749</v>
      </c>
      <c r="D3125" t="s">
        <v>11</v>
      </c>
      <c r="E3125" t="s">
        <v>12</v>
      </c>
      <c r="F3125" t="s">
        <v>71</v>
      </c>
      <c r="G3125" t="s">
        <v>1489</v>
      </c>
      <c r="H3125" t="s">
        <v>1490</v>
      </c>
      <c r="I3125" t="s">
        <v>1491</v>
      </c>
      <c r="J3125" t="s">
        <v>1492</v>
      </c>
      <c r="K3125" t="s">
        <v>789</v>
      </c>
      <c r="L3125" s="12" t="s">
        <v>42</v>
      </c>
      <c r="M3125" s="12" t="s">
        <v>270</v>
      </c>
      <c r="N3125" s="12" t="s">
        <v>72</v>
      </c>
      <c r="O3125" s="12" t="s">
        <v>201</v>
      </c>
      <c r="P3125" s="12" t="s">
        <v>73</v>
      </c>
      <c r="Q3125" s="7" t="str">
        <f t="shared" si="145"/>
        <v>(2017,2,'2017.01.14',3,6,67,72,76,0),</v>
      </c>
      <c r="R3125" s="7" t="str">
        <f t="shared" si="147"/>
        <v>(2017,2,'2017.01.14',3,6,67,72,76),</v>
      </c>
    </row>
    <row r="3126" spans="1:18" x14ac:dyDescent="0.25">
      <c r="A3126" s="7" t="s">
        <v>1271</v>
      </c>
      <c r="B3126" s="8" t="s">
        <v>42</v>
      </c>
      <c r="C3126" s="10">
        <f t="shared" si="146"/>
        <v>42756</v>
      </c>
      <c r="D3126" t="s">
        <v>11</v>
      </c>
      <c r="E3126" t="s">
        <v>12</v>
      </c>
      <c r="F3126" t="s">
        <v>116</v>
      </c>
      <c r="G3126" t="s">
        <v>1485</v>
      </c>
      <c r="H3126" t="s">
        <v>1486</v>
      </c>
      <c r="I3126" t="s">
        <v>1487</v>
      </c>
      <c r="J3126" t="s">
        <v>1488</v>
      </c>
      <c r="K3126" t="s">
        <v>1259</v>
      </c>
      <c r="L3126" s="12" t="s">
        <v>90</v>
      </c>
      <c r="M3126" s="12" t="s">
        <v>115</v>
      </c>
      <c r="N3126" s="12" t="s">
        <v>82</v>
      </c>
      <c r="O3126" s="12" t="s">
        <v>63</v>
      </c>
      <c r="P3126" s="12" t="s">
        <v>215</v>
      </c>
      <c r="Q3126" s="7" t="str">
        <f t="shared" si="145"/>
        <v>(2017,3,'2017.01.21',17,20,59,78,81,0),</v>
      </c>
      <c r="R3126" s="7" t="str">
        <f t="shared" si="147"/>
        <v>(2017,3,'2017.01.21',17,20,59,78,81),</v>
      </c>
    </row>
    <row r="3127" spans="1:18" x14ac:dyDescent="0.25">
      <c r="A3127" s="7" t="s">
        <v>1271</v>
      </c>
      <c r="B3127" s="8" t="s">
        <v>168</v>
      </c>
      <c r="C3127" s="10">
        <f t="shared" si="146"/>
        <v>42763</v>
      </c>
      <c r="D3127" t="s">
        <v>11</v>
      </c>
      <c r="E3127" t="s">
        <v>12</v>
      </c>
      <c r="F3127" t="s">
        <v>22</v>
      </c>
      <c r="G3127" t="s">
        <v>1480</v>
      </c>
      <c r="H3127" t="s">
        <v>1481</v>
      </c>
      <c r="I3127" t="s">
        <v>1482</v>
      </c>
      <c r="J3127" t="s">
        <v>1483</v>
      </c>
      <c r="K3127" t="s">
        <v>1484</v>
      </c>
      <c r="L3127" s="12" t="s">
        <v>42</v>
      </c>
      <c r="M3127" s="12" t="s">
        <v>55</v>
      </c>
      <c r="N3127" s="12" t="s">
        <v>214</v>
      </c>
      <c r="O3127" s="12" t="s">
        <v>233</v>
      </c>
      <c r="P3127" s="12" t="s">
        <v>143</v>
      </c>
      <c r="Q3127" s="7" t="str">
        <f t="shared" si="145"/>
        <v>(2017,4,'2017.01.28',3,19,64,66,77,0),</v>
      </c>
      <c r="R3127" s="7" t="str">
        <f t="shared" si="147"/>
        <v>(2017,4,'2017.01.28',3,19,64,66,77),</v>
      </c>
    </row>
    <row r="3128" spans="1:18" x14ac:dyDescent="0.25">
      <c r="A3128" s="7" t="s">
        <v>1271</v>
      </c>
      <c r="B3128" s="8" t="s">
        <v>89</v>
      </c>
      <c r="C3128" s="10">
        <f t="shared" si="146"/>
        <v>42770</v>
      </c>
      <c r="D3128" t="s">
        <v>11</v>
      </c>
      <c r="E3128" t="s">
        <v>12</v>
      </c>
      <c r="F3128" t="s">
        <v>127</v>
      </c>
      <c r="G3128" t="s">
        <v>1477</v>
      </c>
      <c r="H3128" t="s">
        <v>1271</v>
      </c>
      <c r="I3128" t="s">
        <v>1478</v>
      </c>
      <c r="J3128" t="s">
        <v>1479</v>
      </c>
      <c r="K3128" t="s">
        <v>1336</v>
      </c>
      <c r="L3128" s="12" t="s">
        <v>168</v>
      </c>
      <c r="M3128" s="12" t="s">
        <v>24</v>
      </c>
      <c r="N3128" s="12" t="s">
        <v>34</v>
      </c>
      <c r="O3128" s="12" t="s">
        <v>23</v>
      </c>
      <c r="P3128" s="12" t="s">
        <v>124</v>
      </c>
      <c r="Q3128" s="7" t="str">
        <f t="shared" si="145"/>
        <v>(2017,5,'2017.02.04',4,39,49,60,62,0),</v>
      </c>
      <c r="R3128" s="7" t="str">
        <f t="shared" si="147"/>
        <v>(2017,5,'2017.02.04',4,39,49,60,62),</v>
      </c>
    </row>
    <row r="3129" spans="1:18" x14ac:dyDescent="0.25">
      <c r="A3129" s="7" t="s">
        <v>1271</v>
      </c>
      <c r="B3129" s="8" t="s">
        <v>270</v>
      </c>
      <c r="C3129" s="10">
        <f t="shared" si="146"/>
        <v>42777</v>
      </c>
      <c r="D3129" t="s">
        <v>11</v>
      </c>
      <c r="E3129" t="s">
        <v>12</v>
      </c>
      <c r="F3129" t="s">
        <v>215</v>
      </c>
      <c r="G3129" t="s">
        <v>1472</v>
      </c>
      <c r="H3129" t="s">
        <v>1473</v>
      </c>
      <c r="I3129" t="s">
        <v>1474</v>
      </c>
      <c r="J3129" t="s">
        <v>1475</v>
      </c>
      <c r="K3129" t="s">
        <v>1476</v>
      </c>
      <c r="L3129" s="12" t="s">
        <v>42</v>
      </c>
      <c r="M3129" s="12" t="s">
        <v>89</v>
      </c>
      <c r="N3129" s="12" t="s">
        <v>65</v>
      </c>
      <c r="O3129" s="12" t="s">
        <v>124</v>
      </c>
      <c r="P3129" s="12" t="s">
        <v>269</v>
      </c>
      <c r="Q3129" s="7" t="str">
        <f t="shared" si="145"/>
        <v>(2017,6,'2017.02.11',3,5,13,62,87,0),</v>
      </c>
      <c r="R3129" s="7" t="str">
        <f t="shared" si="147"/>
        <v>(2017,6,'2017.02.11',3,5,13,62,87),</v>
      </c>
    </row>
    <row r="3130" spans="1:18" x14ac:dyDescent="0.25">
      <c r="A3130" s="7" t="s">
        <v>1271</v>
      </c>
      <c r="B3130" s="8" t="s">
        <v>53</v>
      </c>
      <c r="C3130" s="10">
        <f t="shared" si="146"/>
        <v>42784</v>
      </c>
      <c r="D3130" t="s">
        <v>11</v>
      </c>
      <c r="E3130" t="s">
        <v>12</v>
      </c>
      <c r="F3130" t="s">
        <v>90</v>
      </c>
      <c r="G3130" t="s">
        <v>1467</v>
      </c>
      <c r="H3130" t="s">
        <v>1468</v>
      </c>
      <c r="I3130" t="s">
        <v>1469</v>
      </c>
      <c r="J3130" t="s">
        <v>1470</v>
      </c>
      <c r="K3130" t="s">
        <v>1471</v>
      </c>
      <c r="L3130" s="12" t="s">
        <v>122</v>
      </c>
      <c r="M3130" s="12" t="s">
        <v>91</v>
      </c>
      <c r="N3130" s="12" t="s">
        <v>214</v>
      </c>
      <c r="O3130" s="12" t="s">
        <v>245</v>
      </c>
      <c r="P3130" s="12" t="s">
        <v>151</v>
      </c>
      <c r="Q3130" s="7" t="str">
        <f t="shared" si="145"/>
        <v>(2017,7,'2017.02.18',51,61,64,74,79,0),</v>
      </c>
      <c r="R3130" s="7" t="str">
        <f t="shared" si="147"/>
        <v>(2017,7,'2017.02.18',51,61,64,74,79),</v>
      </c>
    </row>
    <row r="3131" spans="1:18" x14ac:dyDescent="0.25">
      <c r="A3131" s="7" t="s">
        <v>1271</v>
      </c>
      <c r="B3131" s="8" t="s">
        <v>232</v>
      </c>
      <c r="C3131" s="10">
        <f t="shared" si="146"/>
        <v>42791</v>
      </c>
      <c r="D3131" t="s">
        <v>11</v>
      </c>
      <c r="E3131" t="s">
        <v>12</v>
      </c>
      <c r="F3131" t="s">
        <v>21</v>
      </c>
      <c r="G3131" t="s">
        <v>1463</v>
      </c>
      <c r="H3131" t="s">
        <v>1464</v>
      </c>
      <c r="I3131" t="s">
        <v>1465</v>
      </c>
      <c r="J3131" t="s">
        <v>1466</v>
      </c>
      <c r="K3131" t="s">
        <v>843</v>
      </c>
      <c r="L3131" s="12" t="s">
        <v>62</v>
      </c>
      <c r="M3131" s="12" t="s">
        <v>31</v>
      </c>
      <c r="N3131" s="12" t="s">
        <v>65</v>
      </c>
      <c r="O3131" s="12" t="s">
        <v>214</v>
      </c>
      <c r="P3131" s="12" t="s">
        <v>151</v>
      </c>
      <c r="Q3131" s="7" t="str">
        <f t="shared" si="145"/>
        <v>(2017,8,'2017.02.25',10,12,13,64,79,0),</v>
      </c>
      <c r="R3131" s="7" t="str">
        <f t="shared" si="147"/>
        <v>(2017,8,'2017.02.25',10,12,13,64,79),</v>
      </c>
    </row>
    <row r="3132" spans="1:18" x14ac:dyDescent="0.25">
      <c r="A3132" s="7" t="s">
        <v>1271</v>
      </c>
      <c r="B3132" s="8" t="s">
        <v>198</v>
      </c>
      <c r="C3132" s="10">
        <f t="shared" si="146"/>
        <v>42798</v>
      </c>
      <c r="D3132" t="s">
        <v>11</v>
      </c>
      <c r="E3132" t="s">
        <v>12</v>
      </c>
      <c r="F3132" t="s">
        <v>71</v>
      </c>
      <c r="G3132" t="s">
        <v>1459</v>
      </c>
      <c r="H3132" t="s">
        <v>1460</v>
      </c>
      <c r="I3132" t="s">
        <v>1461</v>
      </c>
      <c r="J3132" t="s">
        <v>1462</v>
      </c>
      <c r="K3132" t="s">
        <v>323</v>
      </c>
      <c r="L3132" s="12" t="s">
        <v>42</v>
      </c>
      <c r="M3132" s="12" t="s">
        <v>126</v>
      </c>
      <c r="N3132" s="12" t="s">
        <v>46</v>
      </c>
      <c r="O3132" s="12" t="s">
        <v>142</v>
      </c>
      <c r="P3132" s="12" t="s">
        <v>192</v>
      </c>
      <c r="Q3132" s="7" t="str">
        <f t="shared" si="145"/>
        <v>(2017,9,'2017.03.04',3,28,37,44,46,0),</v>
      </c>
      <c r="R3132" s="7" t="str">
        <f t="shared" si="147"/>
        <v>(2017,9,'2017.03.04',3,28,37,44,46),</v>
      </c>
    </row>
    <row r="3133" spans="1:18" x14ac:dyDescent="0.25">
      <c r="A3133" s="7" t="s">
        <v>1271</v>
      </c>
      <c r="B3133" s="8" t="s">
        <v>62</v>
      </c>
      <c r="C3133" s="10">
        <f t="shared" si="146"/>
        <v>42805</v>
      </c>
      <c r="D3133" t="s">
        <v>108</v>
      </c>
      <c r="E3133" t="s">
        <v>1454</v>
      </c>
      <c r="F3133" t="s">
        <v>80</v>
      </c>
      <c r="G3133" t="s">
        <v>1455</v>
      </c>
      <c r="H3133" t="s">
        <v>1456</v>
      </c>
      <c r="I3133" t="s">
        <v>1457</v>
      </c>
      <c r="J3133" t="s">
        <v>1458</v>
      </c>
      <c r="K3133" t="s">
        <v>263</v>
      </c>
      <c r="L3133" s="12" t="s">
        <v>108</v>
      </c>
      <c r="M3133" s="12" t="s">
        <v>168</v>
      </c>
      <c r="N3133" s="12" t="s">
        <v>10</v>
      </c>
      <c r="O3133" s="12" t="s">
        <v>34</v>
      </c>
      <c r="P3133" s="12" t="s">
        <v>72</v>
      </c>
      <c r="Q3133" s="7" t="str">
        <f t="shared" si="145"/>
        <v>(2017,10,'2017.03.11',1,4,40,49,67,0),</v>
      </c>
      <c r="R3133" s="7" t="str">
        <f t="shared" si="147"/>
        <v>(2017,10,'2017.03.11',1,4,40,49,67),</v>
      </c>
    </row>
    <row r="3134" spans="1:18" x14ac:dyDescent="0.25">
      <c r="A3134" s="7" t="s">
        <v>1271</v>
      </c>
      <c r="B3134" s="8" t="s">
        <v>83</v>
      </c>
      <c r="C3134" s="10">
        <f t="shared" si="146"/>
        <v>42812</v>
      </c>
      <c r="D3134" t="s">
        <v>11</v>
      </c>
      <c r="E3134" t="s">
        <v>12</v>
      </c>
      <c r="F3134" t="s">
        <v>163</v>
      </c>
      <c r="G3134" t="s">
        <v>1450</v>
      </c>
      <c r="H3134" t="s">
        <v>1451</v>
      </c>
      <c r="I3134" t="s">
        <v>1452</v>
      </c>
      <c r="J3134" t="s">
        <v>1453</v>
      </c>
      <c r="K3134" t="s">
        <v>162</v>
      </c>
      <c r="L3134" s="12" t="s">
        <v>108</v>
      </c>
      <c r="M3134" s="12" t="s">
        <v>168</v>
      </c>
      <c r="N3134" s="12" t="s">
        <v>82</v>
      </c>
      <c r="O3134" s="12" t="s">
        <v>35</v>
      </c>
      <c r="P3134" s="12" t="s">
        <v>468</v>
      </c>
      <c r="Q3134" s="7" t="str">
        <f t="shared" si="145"/>
        <v>(2017,11,'2017.03.18',1,4,59,65,85,0),</v>
      </c>
      <c r="R3134" s="7" t="str">
        <f t="shared" si="147"/>
        <v>(2017,11,'2017.03.18',1,4,59,65,85),</v>
      </c>
    </row>
    <row r="3135" spans="1:18" x14ac:dyDescent="0.25">
      <c r="A3135" s="7" t="s">
        <v>1271</v>
      </c>
      <c r="B3135" s="8" t="s">
        <v>31</v>
      </c>
      <c r="C3135" s="10">
        <f t="shared" si="146"/>
        <v>42819</v>
      </c>
      <c r="D3135" t="s">
        <v>11</v>
      </c>
      <c r="E3135" t="s">
        <v>12</v>
      </c>
      <c r="F3135" t="s">
        <v>163</v>
      </c>
      <c r="G3135" t="s">
        <v>1446</v>
      </c>
      <c r="H3135" t="s">
        <v>1447</v>
      </c>
      <c r="I3135" t="s">
        <v>1448</v>
      </c>
      <c r="J3135" t="s">
        <v>1449</v>
      </c>
      <c r="K3135" t="s">
        <v>1194</v>
      </c>
      <c r="L3135" s="12" t="s">
        <v>207</v>
      </c>
      <c r="M3135" s="12" t="s">
        <v>42</v>
      </c>
      <c r="N3135" s="12" t="s">
        <v>64</v>
      </c>
      <c r="O3135" s="12" t="s">
        <v>13</v>
      </c>
      <c r="P3135" s="12" t="s">
        <v>151</v>
      </c>
      <c r="Q3135" s="7" t="str">
        <f t="shared" si="145"/>
        <v>(2017,12,'2017.03.25',2,3,35,41,79,0),</v>
      </c>
      <c r="R3135" s="7" t="str">
        <f t="shared" si="147"/>
        <v>(2017,12,'2017.03.25',2,3,35,41,79),</v>
      </c>
    </row>
    <row r="3136" spans="1:18" x14ac:dyDescent="0.25">
      <c r="A3136" s="7" t="s">
        <v>1271</v>
      </c>
      <c r="B3136" s="8" t="s">
        <v>65</v>
      </c>
      <c r="C3136" s="10">
        <f t="shared" si="146"/>
        <v>42826</v>
      </c>
      <c r="D3136" t="s">
        <v>11</v>
      </c>
      <c r="E3136" t="s">
        <v>12</v>
      </c>
      <c r="F3136" t="s">
        <v>25</v>
      </c>
      <c r="G3136" t="s">
        <v>1442</v>
      </c>
      <c r="H3136" t="s">
        <v>1443</v>
      </c>
      <c r="I3136" t="s">
        <v>1444</v>
      </c>
      <c r="J3136" t="s">
        <v>1445</v>
      </c>
      <c r="K3136" t="s">
        <v>1382</v>
      </c>
      <c r="L3136" s="12" t="s">
        <v>53</v>
      </c>
      <c r="M3136" s="12" t="s">
        <v>31</v>
      </c>
      <c r="N3136" s="12" t="s">
        <v>80</v>
      </c>
      <c r="O3136" s="12" t="s">
        <v>36</v>
      </c>
      <c r="P3136" s="12" t="s">
        <v>622</v>
      </c>
      <c r="Q3136" s="7" t="str">
        <f t="shared" si="145"/>
        <v>(2017,13,'2017.04.01',7,12,32,38,82,0),</v>
      </c>
      <c r="R3136" s="7" t="str">
        <f t="shared" si="147"/>
        <v>(2017,13,'2017.04.01',7,12,32,38,82),</v>
      </c>
    </row>
    <row r="3137" spans="1:18" x14ac:dyDescent="0.25">
      <c r="A3137" s="7" t="s">
        <v>1271</v>
      </c>
      <c r="B3137" s="8" t="s">
        <v>127</v>
      </c>
      <c r="C3137" s="10">
        <f t="shared" si="146"/>
        <v>42833</v>
      </c>
      <c r="D3137" t="s">
        <v>11</v>
      </c>
      <c r="E3137" t="s">
        <v>12</v>
      </c>
      <c r="F3137" t="s">
        <v>105</v>
      </c>
      <c r="G3137" t="s">
        <v>1438</v>
      </c>
      <c r="H3137" t="s">
        <v>1439</v>
      </c>
      <c r="I3137" t="s">
        <v>1440</v>
      </c>
      <c r="J3137" t="s">
        <v>1441</v>
      </c>
      <c r="K3137" t="s">
        <v>1118</v>
      </c>
      <c r="L3137" s="12" t="s">
        <v>127</v>
      </c>
      <c r="M3137" s="12" t="s">
        <v>45</v>
      </c>
      <c r="N3137" s="12" t="s">
        <v>34</v>
      </c>
      <c r="O3137" s="12" t="s">
        <v>73</v>
      </c>
      <c r="P3137" s="12" t="s">
        <v>468</v>
      </c>
      <c r="Q3137" s="7" t="str">
        <f t="shared" si="145"/>
        <v>(2017,14,'2017.04.08',14,43,49,76,85,0),</v>
      </c>
      <c r="R3137" s="7" t="str">
        <f t="shared" si="147"/>
        <v>(2017,14,'2017.04.08',14,43,49,76,85),</v>
      </c>
    </row>
    <row r="3138" spans="1:18" x14ac:dyDescent="0.25">
      <c r="A3138" s="7" t="s">
        <v>1271</v>
      </c>
      <c r="B3138" s="8" t="s">
        <v>54</v>
      </c>
      <c r="C3138" s="10">
        <f t="shared" si="146"/>
        <v>42840</v>
      </c>
      <c r="D3138" t="s">
        <v>11</v>
      </c>
      <c r="E3138" t="s">
        <v>12</v>
      </c>
      <c r="F3138" t="s">
        <v>44</v>
      </c>
      <c r="G3138" t="s">
        <v>1434</v>
      </c>
      <c r="H3138" t="s">
        <v>1435</v>
      </c>
      <c r="I3138" t="s">
        <v>1436</v>
      </c>
      <c r="J3138" t="s">
        <v>1437</v>
      </c>
      <c r="K3138" t="s">
        <v>710</v>
      </c>
      <c r="L3138" s="12" t="s">
        <v>169</v>
      </c>
      <c r="M3138" s="12" t="s">
        <v>82</v>
      </c>
      <c r="N3138" s="12" t="s">
        <v>56</v>
      </c>
      <c r="O3138" s="12" t="s">
        <v>468</v>
      </c>
      <c r="P3138" s="12" t="s">
        <v>379</v>
      </c>
      <c r="Q3138" s="7" t="str">
        <f t="shared" ref="Q3138:Q3201" si="148">"("&amp;A3138&amp;","&amp;B3138&amp;",'"&amp;TEXT(C3138,"éééé.hh.nn")&amp;"',"&amp;L3138&amp;","&amp;M3138&amp;","&amp;N3138&amp;","&amp;O3138&amp;","&amp;P3138&amp;",0)"&amp;IF(P3139&lt;&gt;0,",","")</f>
        <v>(2017,15,'2017.04.15',58,59,71,85,89,0),</v>
      </c>
      <c r="R3138" s="7" t="str">
        <f t="shared" si="147"/>
        <v>(2017,15,'2017.04.15',58,59,71,85,89),</v>
      </c>
    </row>
    <row r="3139" spans="1:18" x14ac:dyDescent="0.25">
      <c r="A3139" s="7" t="s">
        <v>1271</v>
      </c>
      <c r="B3139" s="8" t="s">
        <v>43</v>
      </c>
      <c r="C3139" s="10">
        <f t="shared" ref="C3139:C3202" si="149">+C3138+7</f>
        <v>42847</v>
      </c>
      <c r="D3139" t="s">
        <v>11</v>
      </c>
      <c r="E3139" t="s">
        <v>12</v>
      </c>
      <c r="F3139" t="s">
        <v>115</v>
      </c>
      <c r="G3139" t="s">
        <v>1429</v>
      </c>
      <c r="H3139" t="s">
        <v>1430</v>
      </c>
      <c r="I3139" t="s">
        <v>1431</v>
      </c>
      <c r="J3139" t="s">
        <v>1432</v>
      </c>
      <c r="K3139" t="s">
        <v>1433</v>
      </c>
      <c r="L3139" s="12" t="s">
        <v>81</v>
      </c>
      <c r="M3139" s="12" t="s">
        <v>22</v>
      </c>
      <c r="N3139" s="12" t="s">
        <v>134</v>
      </c>
      <c r="O3139" s="12" t="s">
        <v>72</v>
      </c>
      <c r="P3139" s="12" t="s">
        <v>186</v>
      </c>
      <c r="Q3139" s="7" t="str">
        <f t="shared" si="148"/>
        <v>(2017,16,'2017.04.22',47,48,56,67,90,0),</v>
      </c>
      <c r="R3139" s="7" t="str">
        <f t="shared" ref="R3139:R3202" si="150">IF(TRIM(P3139)="","","("&amp;A3139&amp;","&amp;B3139&amp;",'"&amp;TEXT(C3139,"éééé.hh.nn")&amp;"',"&amp;L3139&amp;","&amp;M3139&amp;","&amp;N3139&amp;","&amp;O3139&amp;","&amp;P3139&amp;")"&amp;IF(P3140=0,";",","))</f>
        <v>(2017,16,'2017.04.22',47,48,56,67,90),</v>
      </c>
    </row>
    <row r="3140" spans="1:18" x14ac:dyDescent="0.25">
      <c r="A3140" s="7" t="s">
        <v>1271</v>
      </c>
      <c r="B3140" s="8" t="s">
        <v>90</v>
      </c>
      <c r="C3140" s="10">
        <f t="shared" si="149"/>
        <v>42854</v>
      </c>
      <c r="D3140" t="s">
        <v>11</v>
      </c>
      <c r="E3140" t="s">
        <v>12</v>
      </c>
      <c r="F3140" t="s">
        <v>90</v>
      </c>
      <c r="G3140" t="s">
        <v>1424</v>
      </c>
      <c r="H3140" t="s">
        <v>1425</v>
      </c>
      <c r="I3140" t="s">
        <v>1426</v>
      </c>
      <c r="J3140" t="s">
        <v>1427</v>
      </c>
      <c r="K3140" t="s">
        <v>1428</v>
      </c>
      <c r="L3140" s="12" t="s">
        <v>89</v>
      </c>
      <c r="M3140" s="12" t="s">
        <v>71</v>
      </c>
      <c r="N3140" s="12" t="s">
        <v>13</v>
      </c>
      <c r="O3140" s="12" t="s">
        <v>142</v>
      </c>
      <c r="P3140" s="12" t="s">
        <v>248</v>
      </c>
      <c r="Q3140" s="7" t="str">
        <f t="shared" si="148"/>
        <v>(2017,17,'2017.04.29',5,31,41,44,63,0),</v>
      </c>
      <c r="R3140" s="7" t="str">
        <f t="shared" si="150"/>
        <v>(2017,17,'2017.04.29',5,31,41,44,63),</v>
      </c>
    </row>
    <row r="3141" spans="1:18" x14ac:dyDescent="0.25">
      <c r="A3141" s="7" t="s">
        <v>1271</v>
      </c>
      <c r="B3141" s="8" t="s">
        <v>19</v>
      </c>
      <c r="C3141" s="10">
        <f t="shared" si="149"/>
        <v>42861</v>
      </c>
      <c r="D3141" t="s">
        <v>11</v>
      </c>
      <c r="E3141" t="s">
        <v>12</v>
      </c>
      <c r="F3141" t="s">
        <v>33</v>
      </c>
      <c r="G3141" t="s">
        <v>1420</v>
      </c>
      <c r="H3141" t="s">
        <v>1421</v>
      </c>
      <c r="I3141" t="s">
        <v>1422</v>
      </c>
      <c r="J3141" t="s">
        <v>1423</v>
      </c>
      <c r="K3141" t="s">
        <v>940</v>
      </c>
      <c r="L3141" s="12" t="s">
        <v>270</v>
      </c>
      <c r="M3141" s="12" t="s">
        <v>53</v>
      </c>
      <c r="N3141" s="12" t="s">
        <v>192</v>
      </c>
      <c r="O3141" s="12" t="s">
        <v>35</v>
      </c>
      <c r="P3141" s="12" t="s">
        <v>208</v>
      </c>
      <c r="Q3141" s="7" t="str">
        <f t="shared" si="148"/>
        <v>(2017,18,'2017.05.06',6,7,46,65,88,0),</v>
      </c>
      <c r="R3141" s="7" t="str">
        <f t="shared" si="150"/>
        <v>(2017,18,'2017.05.06',6,7,46,65,88),</v>
      </c>
    </row>
    <row r="3142" spans="1:18" x14ac:dyDescent="0.25">
      <c r="A3142" s="7" t="s">
        <v>1271</v>
      </c>
      <c r="B3142" s="8" t="s">
        <v>55</v>
      </c>
      <c r="C3142" s="10">
        <f t="shared" si="149"/>
        <v>42868</v>
      </c>
      <c r="D3142" t="s">
        <v>11</v>
      </c>
      <c r="E3142" t="s">
        <v>12</v>
      </c>
      <c r="F3142" t="s">
        <v>64</v>
      </c>
      <c r="G3142" t="s">
        <v>1415</v>
      </c>
      <c r="H3142" t="s">
        <v>1416</v>
      </c>
      <c r="I3142" t="s">
        <v>1417</v>
      </c>
      <c r="J3142" t="s">
        <v>1418</v>
      </c>
      <c r="K3142" t="s">
        <v>1419</v>
      </c>
      <c r="L3142" s="12" t="s">
        <v>89</v>
      </c>
      <c r="M3142" s="12" t="s">
        <v>25</v>
      </c>
      <c r="N3142" s="12" t="s">
        <v>133</v>
      </c>
      <c r="O3142" s="12" t="s">
        <v>123</v>
      </c>
      <c r="P3142" s="12" t="s">
        <v>175</v>
      </c>
      <c r="Q3142" s="7" t="str">
        <f t="shared" si="148"/>
        <v>(2017,19,'2017.05.13',5,34,45,54,55,0),</v>
      </c>
      <c r="R3142" s="7" t="str">
        <f t="shared" si="150"/>
        <v>(2017,19,'2017.05.13',5,34,45,54,55),</v>
      </c>
    </row>
    <row r="3143" spans="1:18" x14ac:dyDescent="0.25">
      <c r="A3143" s="7" t="s">
        <v>1271</v>
      </c>
      <c r="B3143" s="8" t="s">
        <v>115</v>
      </c>
      <c r="C3143" s="10">
        <f t="shared" si="149"/>
        <v>42875</v>
      </c>
      <c r="D3143" t="s">
        <v>11</v>
      </c>
      <c r="E3143" t="s">
        <v>12</v>
      </c>
      <c r="F3143" t="s">
        <v>90</v>
      </c>
      <c r="G3143" t="s">
        <v>1411</v>
      </c>
      <c r="H3143" t="s">
        <v>1412</v>
      </c>
      <c r="I3143" t="s">
        <v>1413</v>
      </c>
      <c r="J3143" t="s">
        <v>1414</v>
      </c>
      <c r="K3143" t="s">
        <v>671</v>
      </c>
      <c r="L3143" s="12" t="s">
        <v>22</v>
      </c>
      <c r="M3143" s="12" t="s">
        <v>134</v>
      </c>
      <c r="N3143" s="12" t="s">
        <v>169</v>
      </c>
      <c r="O3143" s="12" t="s">
        <v>35</v>
      </c>
      <c r="P3143" s="12" t="s">
        <v>200</v>
      </c>
      <c r="Q3143" s="7" t="str">
        <f t="shared" si="148"/>
        <v>(2017,20,'2017.05.20',48,56,58,65,70,0),</v>
      </c>
      <c r="R3143" s="7" t="str">
        <f t="shared" si="150"/>
        <v>(2017,20,'2017.05.20',48,56,58,65,70),</v>
      </c>
    </row>
    <row r="3144" spans="1:18" x14ac:dyDescent="0.25">
      <c r="A3144" s="7" t="s">
        <v>1271</v>
      </c>
      <c r="B3144" s="8" t="s">
        <v>44</v>
      </c>
      <c r="C3144" s="10">
        <f t="shared" si="149"/>
        <v>42882</v>
      </c>
      <c r="D3144" t="s">
        <v>11</v>
      </c>
      <c r="E3144" t="s">
        <v>12</v>
      </c>
      <c r="F3144" t="s">
        <v>80</v>
      </c>
      <c r="G3144" t="s">
        <v>1407</v>
      </c>
      <c r="H3144" t="s">
        <v>1408</v>
      </c>
      <c r="I3144" t="s">
        <v>1409</v>
      </c>
      <c r="J3144" t="s">
        <v>1410</v>
      </c>
      <c r="K3144" t="s">
        <v>1194</v>
      </c>
      <c r="L3144" s="12" t="s">
        <v>54</v>
      </c>
      <c r="M3144" s="12" t="s">
        <v>33</v>
      </c>
      <c r="N3144" s="12" t="s">
        <v>64</v>
      </c>
      <c r="O3144" s="12" t="s">
        <v>199</v>
      </c>
      <c r="P3144" s="12" t="s">
        <v>56</v>
      </c>
      <c r="Q3144" s="7" t="str">
        <f t="shared" si="148"/>
        <v>(2017,21,'2017.05.27',15,24,35,53,71,0),</v>
      </c>
      <c r="R3144" s="7" t="str">
        <f t="shared" si="150"/>
        <v>(2017,21,'2017.05.27',15,24,35,53,71),</v>
      </c>
    </row>
    <row r="3145" spans="1:18" x14ac:dyDescent="0.25">
      <c r="A3145" s="7" t="s">
        <v>1271</v>
      </c>
      <c r="B3145" s="8" t="s">
        <v>32</v>
      </c>
      <c r="C3145" s="10">
        <f t="shared" si="149"/>
        <v>42889</v>
      </c>
      <c r="D3145" t="s">
        <v>11</v>
      </c>
      <c r="E3145" t="s">
        <v>12</v>
      </c>
      <c r="F3145" t="s">
        <v>152</v>
      </c>
      <c r="G3145" t="s">
        <v>1404</v>
      </c>
      <c r="H3145" t="s">
        <v>1405</v>
      </c>
      <c r="I3145" t="s">
        <v>519</v>
      </c>
      <c r="J3145" t="s">
        <v>1406</v>
      </c>
      <c r="K3145" t="s">
        <v>1053</v>
      </c>
      <c r="L3145" s="12" t="s">
        <v>44</v>
      </c>
      <c r="M3145" s="12" t="s">
        <v>199</v>
      </c>
      <c r="N3145" s="12" t="s">
        <v>82</v>
      </c>
      <c r="O3145" s="12" t="s">
        <v>56</v>
      </c>
      <c r="P3145" s="12" t="s">
        <v>308</v>
      </c>
      <c r="Q3145" s="7" t="str">
        <f t="shared" si="148"/>
        <v>(2017,22,'2017.06.03',21,53,59,71,86,0),</v>
      </c>
      <c r="R3145" s="7" t="str">
        <f t="shared" si="150"/>
        <v>(2017,22,'2017.06.03',21,53,59,71,86),</v>
      </c>
    </row>
    <row r="3146" spans="1:18" x14ac:dyDescent="0.25">
      <c r="A3146" s="7" t="s">
        <v>1271</v>
      </c>
      <c r="B3146" s="8" t="s">
        <v>163</v>
      </c>
      <c r="C3146" s="10">
        <f t="shared" si="149"/>
        <v>42896</v>
      </c>
      <c r="D3146" t="s">
        <v>11</v>
      </c>
      <c r="E3146" t="s">
        <v>12</v>
      </c>
      <c r="F3146" t="s">
        <v>90</v>
      </c>
      <c r="G3146" t="s">
        <v>1400</v>
      </c>
      <c r="H3146" t="s">
        <v>1401</v>
      </c>
      <c r="I3146" t="s">
        <v>1402</v>
      </c>
      <c r="J3146" t="s">
        <v>1403</v>
      </c>
      <c r="K3146" t="s">
        <v>913</v>
      </c>
      <c r="L3146" s="12" t="s">
        <v>270</v>
      </c>
      <c r="M3146" s="12" t="s">
        <v>142</v>
      </c>
      <c r="N3146" s="12" t="s">
        <v>192</v>
      </c>
      <c r="O3146" s="12" t="s">
        <v>175</v>
      </c>
      <c r="P3146" s="12" t="s">
        <v>215</v>
      </c>
      <c r="Q3146" s="7" t="str">
        <f t="shared" si="148"/>
        <v>(2017,23,'2017.06.10',6,44,46,55,81,0),</v>
      </c>
      <c r="R3146" s="7" t="str">
        <f t="shared" si="150"/>
        <v>(2017,23,'2017.06.10',6,44,46,55,81),</v>
      </c>
    </row>
    <row r="3147" spans="1:18" x14ac:dyDescent="0.25">
      <c r="A3147" s="7" t="s">
        <v>1271</v>
      </c>
      <c r="B3147" s="8" t="s">
        <v>33</v>
      </c>
      <c r="C3147" s="10">
        <f t="shared" si="149"/>
        <v>42903</v>
      </c>
      <c r="D3147" t="s">
        <v>11</v>
      </c>
      <c r="E3147" t="s">
        <v>12</v>
      </c>
      <c r="F3147" t="s">
        <v>71</v>
      </c>
      <c r="G3147" t="s">
        <v>1395</v>
      </c>
      <c r="H3147" t="s">
        <v>1396</v>
      </c>
      <c r="I3147" t="s">
        <v>1397</v>
      </c>
      <c r="J3147" t="s">
        <v>1398</v>
      </c>
      <c r="K3147" t="s">
        <v>1399</v>
      </c>
      <c r="L3147" s="12" t="s">
        <v>44</v>
      </c>
      <c r="M3147" s="12" t="s">
        <v>45</v>
      </c>
      <c r="N3147" s="12" t="s">
        <v>124</v>
      </c>
      <c r="O3147" s="12" t="s">
        <v>233</v>
      </c>
      <c r="P3147" s="12" t="s">
        <v>246</v>
      </c>
      <c r="Q3147" s="7" t="str">
        <f t="shared" si="148"/>
        <v>(2017,24,'2017.06.17',21,43,62,66,84,0),</v>
      </c>
      <c r="R3147" s="7" t="str">
        <f t="shared" si="150"/>
        <v>(2017,24,'2017.06.17',21,43,62,66,84),</v>
      </c>
    </row>
    <row r="3148" spans="1:18" x14ac:dyDescent="0.25">
      <c r="A3148" s="7" t="s">
        <v>1271</v>
      </c>
      <c r="B3148" s="8" t="s">
        <v>152</v>
      </c>
      <c r="C3148" s="10">
        <f t="shared" si="149"/>
        <v>42910</v>
      </c>
      <c r="D3148" t="s">
        <v>11</v>
      </c>
      <c r="E3148" t="s">
        <v>12</v>
      </c>
      <c r="F3148" t="s">
        <v>46</v>
      </c>
      <c r="G3148" t="s">
        <v>1391</v>
      </c>
      <c r="H3148" t="s">
        <v>1392</v>
      </c>
      <c r="I3148" t="s">
        <v>1393</v>
      </c>
      <c r="J3148" t="s">
        <v>1394</v>
      </c>
      <c r="K3148" t="s">
        <v>1081</v>
      </c>
      <c r="L3148" s="12" t="s">
        <v>89</v>
      </c>
      <c r="M3148" s="12" t="s">
        <v>198</v>
      </c>
      <c r="N3148" s="12" t="s">
        <v>99</v>
      </c>
      <c r="O3148" s="12" t="s">
        <v>82</v>
      </c>
      <c r="P3148" s="12" t="s">
        <v>468</v>
      </c>
      <c r="Q3148" s="7" t="str">
        <f t="shared" si="148"/>
        <v>(2017,25,'2017.06.24',5,9,52,59,85,0),</v>
      </c>
      <c r="R3148" s="7" t="str">
        <f t="shared" si="150"/>
        <v>(2017,25,'2017.06.24',5,9,52,59,85),</v>
      </c>
    </row>
    <row r="3149" spans="1:18" x14ac:dyDescent="0.25">
      <c r="A3149" s="7" t="s">
        <v>1271</v>
      </c>
      <c r="B3149" s="8" t="s">
        <v>74</v>
      </c>
      <c r="C3149" s="10">
        <f t="shared" si="149"/>
        <v>42917</v>
      </c>
      <c r="D3149" t="s">
        <v>11</v>
      </c>
      <c r="E3149" t="s">
        <v>12</v>
      </c>
      <c r="F3149" t="s">
        <v>99</v>
      </c>
      <c r="G3149" t="s">
        <v>1387</v>
      </c>
      <c r="H3149" t="s">
        <v>1388</v>
      </c>
      <c r="I3149" t="s">
        <v>1389</v>
      </c>
      <c r="J3149" t="s">
        <v>1390</v>
      </c>
      <c r="K3149" t="s">
        <v>1228</v>
      </c>
      <c r="L3149" s="12" t="s">
        <v>53</v>
      </c>
      <c r="M3149" s="12" t="s">
        <v>71</v>
      </c>
      <c r="N3149" s="12" t="s">
        <v>25</v>
      </c>
      <c r="O3149" s="12" t="s">
        <v>175</v>
      </c>
      <c r="P3149" s="12" t="s">
        <v>23</v>
      </c>
      <c r="Q3149" s="7" t="str">
        <f t="shared" si="148"/>
        <v>(2017,26,'2017.07.01',7,31,34,55,60,0),</v>
      </c>
      <c r="R3149" s="7" t="str">
        <f t="shared" si="150"/>
        <v>(2017,26,'2017.07.01',7,31,34,55,60),</v>
      </c>
    </row>
    <row r="3150" spans="1:18" x14ac:dyDescent="0.25">
      <c r="A3150" s="7" t="s">
        <v>1271</v>
      </c>
      <c r="B3150" s="8" t="s">
        <v>135</v>
      </c>
      <c r="C3150" s="10">
        <f t="shared" si="149"/>
        <v>42924</v>
      </c>
      <c r="D3150" t="s">
        <v>11</v>
      </c>
      <c r="E3150" t="s">
        <v>12</v>
      </c>
      <c r="F3150" t="s">
        <v>214</v>
      </c>
      <c r="G3150" t="s">
        <v>1383</v>
      </c>
      <c r="H3150" t="s">
        <v>1384</v>
      </c>
      <c r="I3150" t="s">
        <v>1385</v>
      </c>
      <c r="J3150" t="s">
        <v>1386</v>
      </c>
      <c r="K3150" t="s">
        <v>114</v>
      </c>
      <c r="L3150" s="12" t="s">
        <v>20</v>
      </c>
      <c r="M3150" s="12" t="s">
        <v>123</v>
      </c>
      <c r="N3150" s="12" t="s">
        <v>233</v>
      </c>
      <c r="O3150" s="12" t="s">
        <v>92</v>
      </c>
      <c r="P3150" s="12" t="s">
        <v>201</v>
      </c>
      <c r="Q3150" s="7" t="str">
        <f t="shared" si="148"/>
        <v>(2017,27,'2017.07.08',33,54,66,68,72,0),</v>
      </c>
      <c r="R3150" s="7" t="str">
        <f t="shared" si="150"/>
        <v>(2017,27,'2017.07.08',33,54,66,68,72),</v>
      </c>
    </row>
    <row r="3151" spans="1:18" x14ac:dyDescent="0.25">
      <c r="A3151" s="7" t="s">
        <v>1271</v>
      </c>
      <c r="B3151" s="8" t="s">
        <v>126</v>
      </c>
      <c r="C3151" s="10">
        <f t="shared" si="149"/>
        <v>42931</v>
      </c>
      <c r="D3151" t="s">
        <v>11</v>
      </c>
      <c r="E3151" t="s">
        <v>12</v>
      </c>
      <c r="F3151" t="s">
        <v>199</v>
      </c>
      <c r="G3151" t="s">
        <v>1378</v>
      </c>
      <c r="H3151" t="s">
        <v>1379</v>
      </c>
      <c r="I3151" t="s">
        <v>1380</v>
      </c>
      <c r="J3151" t="s">
        <v>1381</v>
      </c>
      <c r="K3151" t="s">
        <v>1382</v>
      </c>
      <c r="L3151" s="12" t="s">
        <v>108</v>
      </c>
      <c r="M3151" s="12" t="s">
        <v>198</v>
      </c>
      <c r="N3151" s="12" t="s">
        <v>152</v>
      </c>
      <c r="O3151" s="12" t="s">
        <v>239</v>
      </c>
      <c r="P3151" s="12" t="s">
        <v>379</v>
      </c>
      <c r="Q3151" s="7" t="str">
        <f t="shared" si="148"/>
        <v>(2017,28,'2017.07.15',1,9,25,73,89,0),</v>
      </c>
      <c r="R3151" s="7" t="str">
        <f t="shared" si="150"/>
        <v>(2017,28,'2017.07.15',1,9,25,73,89),</v>
      </c>
    </row>
    <row r="3152" spans="1:18" x14ac:dyDescent="0.25">
      <c r="A3152" s="7" t="s">
        <v>1271</v>
      </c>
      <c r="B3152" s="8" t="s">
        <v>116</v>
      </c>
      <c r="C3152" s="10">
        <f t="shared" si="149"/>
        <v>42938</v>
      </c>
      <c r="D3152" t="s">
        <v>11</v>
      </c>
      <c r="E3152" t="s">
        <v>12</v>
      </c>
      <c r="F3152" t="s">
        <v>31</v>
      </c>
      <c r="G3152" t="s">
        <v>1374</v>
      </c>
      <c r="H3152" t="s">
        <v>1375</v>
      </c>
      <c r="I3152" t="s">
        <v>1376</v>
      </c>
      <c r="J3152" t="s">
        <v>1377</v>
      </c>
      <c r="K3152" t="s">
        <v>746</v>
      </c>
      <c r="L3152" s="12" t="s">
        <v>32</v>
      </c>
      <c r="M3152" s="12" t="s">
        <v>107</v>
      </c>
      <c r="N3152" s="12" t="s">
        <v>64</v>
      </c>
      <c r="O3152" s="12" t="s">
        <v>91</v>
      </c>
      <c r="P3152" s="12" t="s">
        <v>56</v>
      </c>
      <c r="Q3152" s="7" t="str">
        <f t="shared" si="148"/>
        <v>(2017,29,'2017.07.22',22,30,35,61,71,0),</v>
      </c>
      <c r="R3152" s="7" t="str">
        <f t="shared" si="150"/>
        <v>(2017,29,'2017.07.22',22,30,35,61,71),</v>
      </c>
    </row>
    <row r="3153" spans="1:18" x14ac:dyDescent="0.25">
      <c r="A3153" s="7" t="s">
        <v>1271</v>
      </c>
      <c r="B3153" s="8" t="s">
        <v>107</v>
      </c>
      <c r="C3153" s="10">
        <f t="shared" si="149"/>
        <v>42945</v>
      </c>
      <c r="D3153" t="s">
        <v>11</v>
      </c>
      <c r="E3153" t="s">
        <v>12</v>
      </c>
      <c r="F3153" t="s">
        <v>198</v>
      </c>
      <c r="G3153" t="s">
        <v>1370</v>
      </c>
      <c r="H3153" t="s">
        <v>1371</v>
      </c>
      <c r="I3153" t="s">
        <v>1372</v>
      </c>
      <c r="J3153" t="s">
        <v>1373</v>
      </c>
      <c r="K3153" t="s">
        <v>467</v>
      </c>
      <c r="L3153" s="12" t="s">
        <v>24</v>
      </c>
      <c r="M3153" s="12" t="s">
        <v>192</v>
      </c>
      <c r="N3153" s="12" t="s">
        <v>81</v>
      </c>
      <c r="O3153" s="12" t="s">
        <v>63</v>
      </c>
      <c r="P3153" s="12" t="s">
        <v>468</v>
      </c>
      <c r="Q3153" s="7" t="str">
        <f t="shared" si="148"/>
        <v>(2017,30,'2017.07.29',39,46,47,78,85,0),</v>
      </c>
      <c r="R3153" s="7" t="str">
        <f t="shared" si="150"/>
        <v>(2017,30,'2017.07.29',39,46,47,78,85),</v>
      </c>
    </row>
    <row r="3154" spans="1:18" x14ac:dyDescent="0.25">
      <c r="A3154" s="7" t="s">
        <v>1271</v>
      </c>
      <c r="B3154" s="8" t="s">
        <v>71</v>
      </c>
      <c r="C3154" s="10">
        <f t="shared" si="149"/>
        <v>42952</v>
      </c>
      <c r="D3154" t="s">
        <v>11</v>
      </c>
      <c r="E3154" t="s">
        <v>12</v>
      </c>
      <c r="F3154" t="s">
        <v>99</v>
      </c>
      <c r="G3154" t="s">
        <v>1365</v>
      </c>
      <c r="H3154" t="s">
        <v>1366</v>
      </c>
      <c r="I3154" t="s">
        <v>1367</v>
      </c>
      <c r="J3154" t="s">
        <v>1368</v>
      </c>
      <c r="K3154" t="s">
        <v>1369</v>
      </c>
      <c r="L3154" s="12" t="s">
        <v>53</v>
      </c>
      <c r="M3154" s="12" t="s">
        <v>232</v>
      </c>
      <c r="N3154" s="12" t="s">
        <v>152</v>
      </c>
      <c r="O3154" s="12" t="s">
        <v>116</v>
      </c>
      <c r="P3154" s="12" t="s">
        <v>73</v>
      </c>
      <c r="Q3154" s="7" t="str">
        <f t="shared" si="148"/>
        <v>(2017,31,'2017.08.05',7,8,25,29,76,0),</v>
      </c>
      <c r="R3154" s="7" t="str">
        <f t="shared" si="150"/>
        <v>(2017,31,'2017.08.05',7,8,25,29,76),</v>
      </c>
    </row>
    <row r="3155" spans="1:18" x14ac:dyDescent="0.25">
      <c r="A3155" s="7" t="s">
        <v>1271</v>
      </c>
      <c r="B3155" s="8" t="s">
        <v>80</v>
      </c>
      <c r="C3155" s="10">
        <f t="shared" si="149"/>
        <v>42959</v>
      </c>
      <c r="D3155" t="s">
        <v>11</v>
      </c>
      <c r="E3155" t="s">
        <v>12</v>
      </c>
      <c r="F3155" t="s">
        <v>116</v>
      </c>
      <c r="G3155" t="s">
        <v>1361</v>
      </c>
      <c r="H3155" t="s">
        <v>1362</v>
      </c>
      <c r="I3155" t="s">
        <v>1363</v>
      </c>
      <c r="J3155" t="s">
        <v>1364</v>
      </c>
      <c r="K3155" t="s">
        <v>1068</v>
      </c>
      <c r="L3155" s="12" t="s">
        <v>44</v>
      </c>
      <c r="M3155" s="12" t="s">
        <v>20</v>
      </c>
      <c r="N3155" s="12" t="s">
        <v>92</v>
      </c>
      <c r="O3155" s="12" t="s">
        <v>106</v>
      </c>
      <c r="P3155" s="12" t="s">
        <v>379</v>
      </c>
      <c r="Q3155" s="7" t="str">
        <f t="shared" si="148"/>
        <v>(2017,32,'2017.08.12',21,33,68,75,89,0),</v>
      </c>
      <c r="R3155" s="7" t="str">
        <f t="shared" si="150"/>
        <v>(2017,32,'2017.08.12',21,33,68,75,89),</v>
      </c>
    </row>
    <row r="3156" spans="1:18" x14ac:dyDescent="0.25">
      <c r="A3156" s="7" t="s">
        <v>1271</v>
      </c>
      <c r="B3156" s="8" t="s">
        <v>20</v>
      </c>
      <c r="C3156" s="10">
        <f t="shared" si="149"/>
        <v>42966</v>
      </c>
      <c r="D3156" t="s">
        <v>11</v>
      </c>
      <c r="E3156" t="s">
        <v>12</v>
      </c>
      <c r="F3156" t="s">
        <v>1355</v>
      </c>
      <c r="G3156" t="s">
        <v>1356</v>
      </c>
      <c r="H3156" t="s">
        <v>1357</v>
      </c>
      <c r="I3156" t="s">
        <v>1358</v>
      </c>
      <c r="J3156" t="s">
        <v>1359</v>
      </c>
      <c r="K3156" t="s">
        <v>1360</v>
      </c>
      <c r="L3156" s="12" t="s">
        <v>42</v>
      </c>
      <c r="M3156" s="12" t="s">
        <v>53</v>
      </c>
      <c r="N3156" s="12" t="s">
        <v>55</v>
      </c>
      <c r="O3156" s="12" t="s">
        <v>24</v>
      </c>
      <c r="P3156" s="12" t="s">
        <v>105</v>
      </c>
      <c r="Q3156" s="7" t="str">
        <f t="shared" si="148"/>
        <v>(2017,33,'2017.08.19',3,7,19,39,50,0),</v>
      </c>
      <c r="R3156" s="7" t="str">
        <f t="shared" si="150"/>
        <v>(2017,33,'2017.08.19',3,7,19,39,50),</v>
      </c>
    </row>
    <row r="3157" spans="1:18" x14ac:dyDescent="0.25">
      <c r="A3157" s="7" t="s">
        <v>1271</v>
      </c>
      <c r="B3157" s="8" t="s">
        <v>25</v>
      </c>
      <c r="C3157" s="10">
        <f t="shared" si="149"/>
        <v>42973</v>
      </c>
      <c r="D3157" t="s">
        <v>108</v>
      </c>
      <c r="E3157" t="s">
        <v>1349</v>
      </c>
      <c r="F3157" t="s">
        <v>115</v>
      </c>
      <c r="G3157" t="s">
        <v>1350</v>
      </c>
      <c r="H3157" t="s">
        <v>1351</v>
      </c>
      <c r="I3157" t="s">
        <v>1352</v>
      </c>
      <c r="J3157" t="s">
        <v>1353</v>
      </c>
      <c r="K3157" t="s">
        <v>1354</v>
      </c>
      <c r="L3157" s="12" t="s">
        <v>25</v>
      </c>
      <c r="M3157" s="12" t="s">
        <v>21</v>
      </c>
      <c r="N3157" s="12" t="s">
        <v>82</v>
      </c>
      <c r="O3157" s="12" t="s">
        <v>47</v>
      </c>
      <c r="P3157" s="12" t="s">
        <v>186</v>
      </c>
      <c r="Q3157" s="7" t="str">
        <f t="shared" si="148"/>
        <v>(2017,34,'2017.08.26',34,36,59,69,90,0),</v>
      </c>
      <c r="R3157" s="7" t="str">
        <f t="shared" si="150"/>
        <v>(2017,34,'2017.08.26',34,36,59,69,90),</v>
      </c>
    </row>
    <row r="3158" spans="1:18" x14ac:dyDescent="0.25">
      <c r="A3158" s="7" t="s">
        <v>1271</v>
      </c>
      <c r="B3158" s="8" t="s">
        <v>64</v>
      </c>
      <c r="C3158" s="10">
        <f t="shared" si="149"/>
        <v>42980</v>
      </c>
      <c r="D3158" t="s">
        <v>11</v>
      </c>
      <c r="E3158" t="s">
        <v>12</v>
      </c>
      <c r="F3158" t="s">
        <v>43</v>
      </c>
      <c r="G3158" t="s">
        <v>1345</v>
      </c>
      <c r="H3158" t="s">
        <v>1346</v>
      </c>
      <c r="I3158" t="s">
        <v>1347</v>
      </c>
      <c r="J3158" t="s">
        <v>1348</v>
      </c>
      <c r="K3158" t="s">
        <v>697</v>
      </c>
      <c r="L3158" s="12" t="s">
        <v>135</v>
      </c>
      <c r="M3158" s="12" t="s">
        <v>71</v>
      </c>
      <c r="N3158" s="12" t="s">
        <v>81</v>
      </c>
      <c r="O3158" s="12" t="s">
        <v>269</v>
      </c>
      <c r="P3158" s="12" t="s">
        <v>379</v>
      </c>
      <c r="Q3158" s="7" t="str">
        <f t="shared" si="148"/>
        <v>(2017,35,'2017.09.02',27,31,47,87,89,0),</v>
      </c>
      <c r="R3158" s="7" t="str">
        <f t="shared" si="150"/>
        <v>(2017,35,'2017.09.02',27,31,47,87,89),</v>
      </c>
    </row>
    <row r="3159" spans="1:18" x14ac:dyDescent="0.25">
      <c r="A3159" s="7" t="s">
        <v>1271</v>
      </c>
      <c r="B3159" s="8" t="s">
        <v>21</v>
      </c>
      <c r="C3159" s="10">
        <f t="shared" si="149"/>
        <v>42987</v>
      </c>
      <c r="D3159" t="s">
        <v>11</v>
      </c>
      <c r="E3159" t="s">
        <v>12</v>
      </c>
      <c r="F3159" t="s">
        <v>56</v>
      </c>
      <c r="G3159" t="s">
        <v>1341</v>
      </c>
      <c r="H3159" t="s">
        <v>1342</v>
      </c>
      <c r="I3159" t="s">
        <v>1343</v>
      </c>
      <c r="J3159" t="s">
        <v>1344</v>
      </c>
      <c r="K3159" t="s">
        <v>1206</v>
      </c>
      <c r="L3159" s="12" t="s">
        <v>19</v>
      </c>
      <c r="M3159" s="12" t="s">
        <v>163</v>
      </c>
      <c r="N3159" s="12" t="s">
        <v>123</v>
      </c>
      <c r="O3159" s="12" t="s">
        <v>248</v>
      </c>
      <c r="P3159" s="12" t="s">
        <v>622</v>
      </c>
      <c r="Q3159" s="7" t="str">
        <f t="shared" si="148"/>
        <v>(2017,36,'2017.09.09',18,23,54,63,82,0),</v>
      </c>
      <c r="R3159" s="7" t="str">
        <f t="shared" si="150"/>
        <v>(2017,36,'2017.09.09',18,23,54,63,82),</v>
      </c>
    </row>
    <row r="3160" spans="1:18" x14ac:dyDescent="0.25">
      <c r="A3160" s="7" t="s">
        <v>1271</v>
      </c>
      <c r="B3160" s="8" t="s">
        <v>46</v>
      </c>
      <c r="C3160" s="10">
        <f t="shared" si="149"/>
        <v>42994</v>
      </c>
      <c r="D3160" t="s">
        <v>11</v>
      </c>
      <c r="E3160" t="s">
        <v>12</v>
      </c>
      <c r="F3160" t="s">
        <v>83</v>
      </c>
      <c r="G3160" t="s">
        <v>1337</v>
      </c>
      <c r="H3160" t="s">
        <v>1338</v>
      </c>
      <c r="I3160" t="s">
        <v>1339</v>
      </c>
      <c r="J3160" t="s">
        <v>1340</v>
      </c>
      <c r="K3160" t="s">
        <v>584</v>
      </c>
      <c r="L3160" s="12" t="s">
        <v>25</v>
      </c>
      <c r="M3160" s="12" t="s">
        <v>45</v>
      </c>
      <c r="N3160" s="12" t="s">
        <v>122</v>
      </c>
      <c r="O3160" s="12" t="s">
        <v>72</v>
      </c>
      <c r="P3160" s="12" t="s">
        <v>301</v>
      </c>
      <c r="Q3160" s="7" t="str">
        <f t="shared" si="148"/>
        <v>(2017,37,'2017.09.16',34,43,51,67,80,0),</v>
      </c>
      <c r="R3160" s="7" t="str">
        <f t="shared" si="150"/>
        <v>(2017,37,'2017.09.16',34,43,51,67,80),</v>
      </c>
    </row>
    <row r="3161" spans="1:18" x14ac:dyDescent="0.25">
      <c r="A3161" s="7" t="s">
        <v>1271</v>
      </c>
      <c r="B3161" s="8" t="s">
        <v>36</v>
      </c>
      <c r="C3161" s="10">
        <f t="shared" si="149"/>
        <v>43001</v>
      </c>
      <c r="D3161" t="s">
        <v>11</v>
      </c>
      <c r="E3161" t="s">
        <v>12</v>
      </c>
      <c r="F3161" t="s">
        <v>55</v>
      </c>
      <c r="G3161" t="s">
        <v>1332</v>
      </c>
      <c r="H3161" t="s">
        <v>1333</v>
      </c>
      <c r="I3161" t="s">
        <v>1334</v>
      </c>
      <c r="J3161" t="s">
        <v>1335</v>
      </c>
      <c r="K3161" t="s">
        <v>1336</v>
      </c>
      <c r="L3161" s="12" t="s">
        <v>127</v>
      </c>
      <c r="M3161" s="12" t="s">
        <v>169</v>
      </c>
      <c r="N3161" s="12" t="s">
        <v>82</v>
      </c>
      <c r="O3161" s="12" t="s">
        <v>63</v>
      </c>
      <c r="P3161" s="12" t="s">
        <v>468</v>
      </c>
      <c r="Q3161" s="7" t="str">
        <f t="shared" si="148"/>
        <v>(2017,38,'2017.09.23',14,58,59,78,85,0),</v>
      </c>
      <c r="R3161" s="7" t="str">
        <f t="shared" si="150"/>
        <v>(2017,38,'2017.09.23',14,58,59,78,85),</v>
      </c>
    </row>
    <row r="3162" spans="1:18" x14ac:dyDescent="0.25">
      <c r="A3162" s="7" t="s">
        <v>1271</v>
      </c>
      <c r="B3162" s="8" t="s">
        <v>24</v>
      </c>
      <c r="C3162" s="10">
        <f t="shared" si="149"/>
        <v>43008</v>
      </c>
      <c r="D3162" t="s">
        <v>11</v>
      </c>
      <c r="E3162" t="s">
        <v>12</v>
      </c>
      <c r="F3162" t="s">
        <v>83</v>
      </c>
      <c r="G3162" t="s">
        <v>1328</v>
      </c>
      <c r="H3162" t="s">
        <v>1329</v>
      </c>
      <c r="I3162" t="s">
        <v>1330</v>
      </c>
      <c r="J3162" t="s">
        <v>1331</v>
      </c>
      <c r="K3162" t="s">
        <v>697</v>
      </c>
      <c r="L3162" s="12" t="s">
        <v>62</v>
      </c>
      <c r="M3162" s="12" t="s">
        <v>19</v>
      </c>
      <c r="N3162" s="12" t="s">
        <v>125</v>
      </c>
      <c r="O3162" s="12" t="s">
        <v>269</v>
      </c>
      <c r="P3162" s="12" t="s">
        <v>379</v>
      </c>
      <c r="Q3162" s="7" t="str">
        <f t="shared" si="148"/>
        <v>(2017,39,'2017.09.30',10,18,83,87,89,0),</v>
      </c>
      <c r="R3162" s="7" t="str">
        <f t="shared" si="150"/>
        <v>(2017,39,'2017.09.30',10,18,83,87,89),</v>
      </c>
    </row>
    <row r="3163" spans="1:18" x14ac:dyDescent="0.25">
      <c r="A3163" s="7" t="s">
        <v>1271</v>
      </c>
      <c r="B3163" s="8" t="s">
        <v>10</v>
      </c>
      <c r="C3163" s="10">
        <f t="shared" si="149"/>
        <v>43015</v>
      </c>
      <c r="D3163" t="s">
        <v>11</v>
      </c>
      <c r="E3163" t="s">
        <v>12</v>
      </c>
      <c r="F3163" t="s">
        <v>115</v>
      </c>
      <c r="G3163" t="s">
        <v>1324</v>
      </c>
      <c r="H3163" t="s">
        <v>1325</v>
      </c>
      <c r="I3163" t="s">
        <v>1326</v>
      </c>
      <c r="J3163" t="s">
        <v>1327</v>
      </c>
      <c r="K3163" t="s">
        <v>589</v>
      </c>
      <c r="L3163" s="12" t="s">
        <v>232</v>
      </c>
      <c r="M3163" s="12" t="s">
        <v>36</v>
      </c>
      <c r="N3163" s="12" t="s">
        <v>124</v>
      </c>
      <c r="O3163" s="12" t="s">
        <v>47</v>
      </c>
      <c r="P3163" s="12" t="s">
        <v>200</v>
      </c>
      <c r="Q3163" s="7" t="str">
        <f t="shared" si="148"/>
        <v>(2017,40,'2017.10.07',8,38,62,69,70,0),</v>
      </c>
      <c r="R3163" s="7" t="str">
        <f t="shared" si="150"/>
        <v>(2017,40,'2017.10.07',8,38,62,69,70),</v>
      </c>
    </row>
    <row r="3164" spans="1:18" x14ac:dyDescent="0.25">
      <c r="A3164" s="7" t="s">
        <v>1271</v>
      </c>
      <c r="B3164" s="8" t="s">
        <v>13</v>
      </c>
      <c r="C3164" s="10">
        <f t="shared" si="149"/>
        <v>43022</v>
      </c>
      <c r="D3164" t="s">
        <v>11</v>
      </c>
      <c r="E3164" t="s">
        <v>12</v>
      </c>
      <c r="F3164" t="s">
        <v>34</v>
      </c>
      <c r="G3164" t="s">
        <v>1319</v>
      </c>
      <c r="H3164" t="s">
        <v>1320</v>
      </c>
      <c r="I3164" t="s">
        <v>1321</v>
      </c>
      <c r="J3164" t="s">
        <v>1322</v>
      </c>
      <c r="K3164" t="s">
        <v>1323</v>
      </c>
      <c r="L3164" s="12" t="s">
        <v>108</v>
      </c>
      <c r="M3164" s="12" t="s">
        <v>44</v>
      </c>
      <c r="N3164" s="12" t="s">
        <v>64</v>
      </c>
      <c r="O3164" s="12" t="s">
        <v>98</v>
      </c>
      <c r="P3164" s="12" t="s">
        <v>186</v>
      </c>
      <c r="Q3164" s="7" t="str">
        <f t="shared" si="148"/>
        <v>(2017,41,'2017.10.14',1,21,35,42,90,0),</v>
      </c>
      <c r="R3164" s="7" t="str">
        <f t="shared" si="150"/>
        <v>(2017,41,'2017.10.14',1,21,35,42,90),</v>
      </c>
    </row>
    <row r="3165" spans="1:18" x14ac:dyDescent="0.25">
      <c r="A3165" s="7" t="s">
        <v>1271</v>
      </c>
      <c r="B3165" s="8" t="s">
        <v>98</v>
      </c>
      <c r="C3165" s="10">
        <f t="shared" si="149"/>
        <v>43029</v>
      </c>
      <c r="D3165" t="s">
        <v>11</v>
      </c>
      <c r="E3165" t="s">
        <v>12</v>
      </c>
      <c r="F3165" t="s">
        <v>133</v>
      </c>
      <c r="G3165" t="s">
        <v>1315</v>
      </c>
      <c r="H3165" t="s">
        <v>1316</v>
      </c>
      <c r="I3165" t="s">
        <v>1317</v>
      </c>
      <c r="J3165" t="s">
        <v>1318</v>
      </c>
      <c r="K3165" t="s">
        <v>185</v>
      </c>
      <c r="L3165" s="12" t="s">
        <v>89</v>
      </c>
      <c r="M3165" s="12" t="s">
        <v>80</v>
      </c>
      <c r="N3165" s="12" t="s">
        <v>81</v>
      </c>
      <c r="O3165" s="12" t="s">
        <v>124</v>
      </c>
      <c r="P3165" s="12" t="s">
        <v>208</v>
      </c>
      <c r="Q3165" s="7" t="str">
        <f t="shared" si="148"/>
        <v>(2017,42,'2017.10.21',5,32,47,62,88,0),</v>
      </c>
      <c r="R3165" s="7" t="str">
        <f t="shared" si="150"/>
        <v>(2017,42,'2017.10.21',5,32,47,62,88),</v>
      </c>
    </row>
    <row r="3166" spans="1:18" x14ac:dyDescent="0.25">
      <c r="A3166" s="7" t="s">
        <v>1271</v>
      </c>
      <c r="B3166" s="8" t="s">
        <v>45</v>
      </c>
      <c r="C3166" s="10">
        <f t="shared" si="149"/>
        <v>43036</v>
      </c>
      <c r="D3166" t="s">
        <v>11</v>
      </c>
      <c r="E3166" t="s">
        <v>12</v>
      </c>
      <c r="F3166" t="s">
        <v>25</v>
      </c>
      <c r="G3166" t="s">
        <v>1312</v>
      </c>
      <c r="H3166" t="s">
        <v>557</v>
      </c>
      <c r="I3166" t="s">
        <v>1313</v>
      </c>
      <c r="J3166" t="s">
        <v>1314</v>
      </c>
      <c r="K3166" t="s">
        <v>403</v>
      </c>
      <c r="L3166" s="12" t="s">
        <v>54</v>
      </c>
      <c r="M3166" s="12" t="s">
        <v>13</v>
      </c>
      <c r="N3166" s="12" t="s">
        <v>105</v>
      </c>
      <c r="O3166" s="12" t="s">
        <v>56</v>
      </c>
      <c r="P3166" s="12" t="s">
        <v>73</v>
      </c>
      <c r="Q3166" s="7" t="str">
        <f t="shared" si="148"/>
        <v>(2017,43,'2017.10.28',15,41,50,71,76,0),</v>
      </c>
      <c r="R3166" s="7" t="str">
        <f t="shared" si="150"/>
        <v>(2017,43,'2017.10.28',15,41,50,71,76),</v>
      </c>
    </row>
    <row r="3167" spans="1:18" x14ac:dyDescent="0.25">
      <c r="A3167" s="7" t="s">
        <v>1271</v>
      </c>
      <c r="B3167" s="8" t="s">
        <v>142</v>
      </c>
      <c r="C3167" s="10">
        <f t="shared" si="149"/>
        <v>43043</v>
      </c>
      <c r="D3167" t="s">
        <v>11</v>
      </c>
      <c r="E3167" t="s">
        <v>12</v>
      </c>
      <c r="F3167" t="s">
        <v>233</v>
      </c>
      <c r="G3167" t="s">
        <v>1308</v>
      </c>
      <c r="H3167" t="s">
        <v>1309</v>
      </c>
      <c r="I3167" t="s">
        <v>1310</v>
      </c>
      <c r="J3167" t="s">
        <v>1311</v>
      </c>
      <c r="K3167" t="s">
        <v>1068</v>
      </c>
      <c r="L3167" s="12" t="s">
        <v>19</v>
      </c>
      <c r="M3167" s="12" t="s">
        <v>32</v>
      </c>
      <c r="N3167" s="12" t="s">
        <v>105</v>
      </c>
      <c r="O3167" s="12" t="s">
        <v>123</v>
      </c>
      <c r="P3167" s="12" t="s">
        <v>151</v>
      </c>
      <c r="Q3167" s="7" t="str">
        <f t="shared" si="148"/>
        <v>(2017,44,'2017.11.04',18,22,50,54,79,0),</v>
      </c>
      <c r="R3167" s="7" t="str">
        <f t="shared" si="150"/>
        <v>(2017,44,'2017.11.04',18,22,50,54,79),</v>
      </c>
    </row>
    <row r="3168" spans="1:18" x14ac:dyDescent="0.25">
      <c r="A3168" s="7" t="s">
        <v>1271</v>
      </c>
      <c r="B3168" s="8" t="s">
        <v>133</v>
      </c>
      <c r="C3168" s="10">
        <f t="shared" si="149"/>
        <v>43050</v>
      </c>
      <c r="D3168" t="s">
        <v>11</v>
      </c>
      <c r="E3168" t="s">
        <v>12</v>
      </c>
      <c r="F3168" t="s">
        <v>21</v>
      </c>
      <c r="G3168" t="s">
        <v>1304</v>
      </c>
      <c r="H3168" t="s">
        <v>1305</v>
      </c>
      <c r="I3168" t="s">
        <v>1306</v>
      </c>
      <c r="J3168" t="s">
        <v>1307</v>
      </c>
      <c r="K3168" t="s">
        <v>448</v>
      </c>
      <c r="L3168" s="12" t="s">
        <v>89</v>
      </c>
      <c r="M3168" s="12" t="s">
        <v>19</v>
      </c>
      <c r="N3168" s="12" t="s">
        <v>81</v>
      </c>
      <c r="O3168" s="12" t="s">
        <v>91</v>
      </c>
      <c r="P3168" s="12" t="s">
        <v>468</v>
      </c>
      <c r="Q3168" s="7" t="str">
        <f t="shared" si="148"/>
        <v>(2017,45,'2017.11.11',5,18,47,61,85,0),</v>
      </c>
      <c r="R3168" s="7" t="str">
        <f t="shared" si="150"/>
        <v>(2017,45,'2017.11.11',5,18,47,61,85),</v>
      </c>
    </row>
    <row r="3169" spans="1:18" x14ac:dyDescent="0.25">
      <c r="A3169" s="7" t="s">
        <v>1271</v>
      </c>
      <c r="B3169" s="8" t="s">
        <v>192</v>
      </c>
      <c r="C3169" s="10">
        <f t="shared" si="149"/>
        <v>43057</v>
      </c>
      <c r="D3169" t="s">
        <v>108</v>
      </c>
      <c r="E3169" t="s">
        <v>1299</v>
      </c>
      <c r="F3169" t="s">
        <v>135</v>
      </c>
      <c r="G3169" t="s">
        <v>1300</v>
      </c>
      <c r="H3169" t="s">
        <v>1301</v>
      </c>
      <c r="I3169" t="s">
        <v>1302</v>
      </c>
      <c r="J3169" t="s">
        <v>1303</v>
      </c>
      <c r="K3169" t="s">
        <v>903</v>
      </c>
      <c r="L3169" s="12" t="s">
        <v>108</v>
      </c>
      <c r="M3169" s="12" t="s">
        <v>43</v>
      </c>
      <c r="N3169" s="12" t="s">
        <v>81</v>
      </c>
      <c r="O3169" s="12" t="s">
        <v>91</v>
      </c>
      <c r="P3169" s="12" t="s">
        <v>106</v>
      </c>
      <c r="Q3169" s="7" t="str">
        <f t="shared" si="148"/>
        <v>(2017,46,'2017.11.18',1,16,47,61,75,0),</v>
      </c>
      <c r="R3169" s="7" t="str">
        <f t="shared" si="150"/>
        <v>(2017,46,'2017.11.18',1,16,47,61,75),</v>
      </c>
    </row>
    <row r="3170" spans="1:18" x14ac:dyDescent="0.25">
      <c r="A3170" s="7" t="s">
        <v>1271</v>
      </c>
      <c r="B3170" s="8" t="s">
        <v>81</v>
      </c>
      <c r="C3170" s="10">
        <f t="shared" si="149"/>
        <v>43064</v>
      </c>
      <c r="D3170" t="s">
        <v>11</v>
      </c>
      <c r="E3170" t="s">
        <v>12</v>
      </c>
      <c r="F3170" t="s">
        <v>115</v>
      </c>
      <c r="G3170" t="s">
        <v>1295</v>
      </c>
      <c r="H3170" t="s">
        <v>330</v>
      </c>
      <c r="I3170" t="s">
        <v>1296</v>
      </c>
      <c r="J3170" t="s">
        <v>1297</v>
      </c>
      <c r="K3170" t="s">
        <v>1298</v>
      </c>
      <c r="L3170" s="12" t="s">
        <v>108</v>
      </c>
      <c r="M3170" s="12" t="s">
        <v>115</v>
      </c>
      <c r="N3170" s="12" t="s">
        <v>74</v>
      </c>
      <c r="O3170" s="12" t="s">
        <v>123</v>
      </c>
      <c r="P3170" s="12" t="s">
        <v>175</v>
      </c>
      <c r="Q3170" s="7" t="str">
        <f t="shared" si="148"/>
        <v>(2017,47,'2017.11.25',1,20,26,54,55,0),</v>
      </c>
      <c r="R3170" s="7" t="str">
        <f t="shared" si="150"/>
        <v>(2017,47,'2017.11.25',1,20,26,54,55),</v>
      </c>
    </row>
    <row r="3171" spans="1:18" x14ac:dyDescent="0.25">
      <c r="A3171" s="7" t="s">
        <v>1271</v>
      </c>
      <c r="B3171" s="8" t="s">
        <v>22</v>
      </c>
      <c r="C3171" s="10">
        <f t="shared" si="149"/>
        <v>43071</v>
      </c>
      <c r="D3171" t="s">
        <v>11</v>
      </c>
      <c r="E3171" t="s">
        <v>12</v>
      </c>
      <c r="F3171" t="s">
        <v>116</v>
      </c>
      <c r="G3171" t="s">
        <v>1291</v>
      </c>
      <c r="H3171" t="s">
        <v>1292</v>
      </c>
      <c r="I3171" t="s">
        <v>1293</v>
      </c>
      <c r="J3171" t="s">
        <v>1294</v>
      </c>
      <c r="K3171" t="s">
        <v>1201</v>
      </c>
      <c r="L3171" s="12" t="s">
        <v>108</v>
      </c>
      <c r="M3171" s="12" t="s">
        <v>42</v>
      </c>
      <c r="N3171" s="12" t="s">
        <v>163</v>
      </c>
      <c r="O3171" s="12" t="s">
        <v>169</v>
      </c>
      <c r="P3171" s="12" t="s">
        <v>200</v>
      </c>
      <c r="Q3171" s="7" t="str">
        <f t="shared" si="148"/>
        <v>(2017,48,'2017.12.02',1,3,23,58,70,0),</v>
      </c>
      <c r="R3171" s="7" t="str">
        <f t="shared" si="150"/>
        <v>(2017,48,'2017.12.02',1,3,23,58,70),</v>
      </c>
    </row>
    <row r="3172" spans="1:18" x14ac:dyDescent="0.25">
      <c r="A3172" s="7" t="s">
        <v>1271</v>
      </c>
      <c r="B3172" s="8" t="s">
        <v>34</v>
      </c>
      <c r="C3172" s="10">
        <f t="shared" si="149"/>
        <v>43078</v>
      </c>
      <c r="D3172" t="s">
        <v>11</v>
      </c>
      <c r="E3172" t="s">
        <v>12</v>
      </c>
      <c r="F3172" t="s">
        <v>20</v>
      </c>
      <c r="G3172" t="s">
        <v>1287</v>
      </c>
      <c r="H3172" t="s">
        <v>1288</v>
      </c>
      <c r="I3172" t="s">
        <v>1289</v>
      </c>
      <c r="J3172" t="s">
        <v>1290</v>
      </c>
      <c r="K3172" t="s">
        <v>594</v>
      </c>
      <c r="L3172" s="12" t="s">
        <v>43</v>
      </c>
      <c r="M3172" s="12" t="s">
        <v>24</v>
      </c>
      <c r="N3172" s="12" t="s">
        <v>98</v>
      </c>
      <c r="O3172" s="12" t="s">
        <v>133</v>
      </c>
      <c r="P3172" s="12" t="s">
        <v>63</v>
      </c>
      <c r="Q3172" s="7" t="str">
        <f t="shared" si="148"/>
        <v>(2017,49,'2017.12.09',16,39,42,45,78,0),</v>
      </c>
      <c r="R3172" s="7" t="str">
        <f t="shared" si="150"/>
        <v>(2017,49,'2017.12.09',16,39,42,45,78),</v>
      </c>
    </row>
    <row r="3173" spans="1:18" x14ac:dyDescent="0.25">
      <c r="A3173" s="7" t="s">
        <v>1271</v>
      </c>
      <c r="B3173" s="8" t="s">
        <v>105</v>
      </c>
      <c r="C3173" s="10">
        <f t="shared" si="149"/>
        <v>43085</v>
      </c>
      <c r="D3173" t="s">
        <v>11</v>
      </c>
      <c r="E3173" t="s">
        <v>12</v>
      </c>
      <c r="F3173" t="s">
        <v>33</v>
      </c>
      <c r="G3173" t="s">
        <v>1282</v>
      </c>
      <c r="H3173" t="s">
        <v>1283</v>
      </c>
      <c r="I3173" t="s">
        <v>1284</v>
      </c>
      <c r="J3173" t="s">
        <v>1285</v>
      </c>
      <c r="K3173" t="s">
        <v>1286</v>
      </c>
      <c r="L3173" s="12" t="s">
        <v>108</v>
      </c>
      <c r="M3173" s="12" t="s">
        <v>168</v>
      </c>
      <c r="N3173" s="12" t="s">
        <v>71</v>
      </c>
      <c r="O3173" s="12" t="s">
        <v>10</v>
      </c>
      <c r="P3173" s="12" t="s">
        <v>125</v>
      </c>
      <c r="Q3173" s="7" t="str">
        <f t="shared" si="148"/>
        <v>(2017,50,'2017.12.16',1,4,31,40,83,0),</v>
      </c>
      <c r="R3173" s="7" t="str">
        <f t="shared" si="150"/>
        <v>(2017,50,'2017.12.16',1,4,31,40,83),</v>
      </c>
    </row>
    <row r="3174" spans="1:18" x14ac:dyDescent="0.25">
      <c r="A3174" s="7" t="s">
        <v>1271</v>
      </c>
      <c r="B3174" s="8" t="s">
        <v>122</v>
      </c>
      <c r="C3174" s="10">
        <f t="shared" si="149"/>
        <v>43092</v>
      </c>
      <c r="D3174" t="s">
        <v>11</v>
      </c>
      <c r="E3174" t="s">
        <v>12</v>
      </c>
      <c r="F3174" t="s">
        <v>90</v>
      </c>
      <c r="G3174" t="s">
        <v>1278</v>
      </c>
      <c r="H3174" t="s">
        <v>1279</v>
      </c>
      <c r="I3174" t="s">
        <v>1280</v>
      </c>
      <c r="J3174" t="s">
        <v>1281</v>
      </c>
      <c r="K3174" t="s">
        <v>599</v>
      </c>
      <c r="L3174" s="12" t="s">
        <v>175</v>
      </c>
      <c r="M3174" s="12" t="s">
        <v>72</v>
      </c>
      <c r="N3174" s="12" t="s">
        <v>200</v>
      </c>
      <c r="O3174" s="12" t="s">
        <v>56</v>
      </c>
      <c r="P3174" s="12" t="s">
        <v>239</v>
      </c>
      <c r="Q3174" s="7" t="str">
        <f t="shared" si="148"/>
        <v>(2017,51,'2017.12.23',55,67,70,71,73,0),</v>
      </c>
      <c r="R3174" s="7" t="str">
        <f t="shared" si="150"/>
        <v>(2017,51,'2017.12.23',55,67,70,71,73),</v>
      </c>
    </row>
    <row r="3175" spans="1:18" x14ac:dyDescent="0.25">
      <c r="A3175" s="7" t="s">
        <v>1271</v>
      </c>
      <c r="B3175" s="8" t="s">
        <v>99</v>
      </c>
      <c r="C3175" s="10">
        <f t="shared" si="149"/>
        <v>43099</v>
      </c>
      <c r="D3175" t="s">
        <v>108</v>
      </c>
      <c r="E3175" t="s">
        <v>1272</v>
      </c>
      <c r="F3175" t="s">
        <v>133</v>
      </c>
      <c r="G3175" t="s">
        <v>1273</v>
      </c>
      <c r="H3175" t="s">
        <v>1274</v>
      </c>
      <c r="I3175" t="s">
        <v>1275</v>
      </c>
      <c r="J3175" t="s">
        <v>1276</v>
      </c>
      <c r="K3175" t="s">
        <v>1277</v>
      </c>
      <c r="L3175" s="12" t="s">
        <v>108</v>
      </c>
      <c r="M3175" s="12" t="s">
        <v>232</v>
      </c>
      <c r="N3175" s="12" t="s">
        <v>90</v>
      </c>
      <c r="O3175" s="12" t="s">
        <v>105</v>
      </c>
      <c r="P3175" s="12" t="s">
        <v>143</v>
      </c>
      <c r="Q3175" s="7" t="str">
        <f t="shared" si="148"/>
        <v>(2017,52,'2017.12.30',1,8,17,50,77,0),</v>
      </c>
      <c r="R3175" s="7" t="str">
        <f t="shared" si="150"/>
        <v>(2017,52,'2017.12.30',1,8,17,50,77),</v>
      </c>
    </row>
    <row r="3176" spans="1:18" x14ac:dyDescent="0.25">
      <c r="A3176" s="7" t="s">
        <v>633</v>
      </c>
      <c r="B3176" s="8" t="s">
        <v>108</v>
      </c>
      <c r="C3176" s="10">
        <f t="shared" si="149"/>
        <v>43106</v>
      </c>
      <c r="D3176" t="s">
        <v>11</v>
      </c>
      <c r="E3176" t="s">
        <v>12</v>
      </c>
      <c r="F3176" t="s">
        <v>71</v>
      </c>
      <c r="G3176" t="s">
        <v>1267</v>
      </c>
      <c r="H3176" t="s">
        <v>1268</v>
      </c>
      <c r="I3176" t="s">
        <v>1269</v>
      </c>
      <c r="J3176" t="s">
        <v>1270</v>
      </c>
      <c r="K3176" t="s">
        <v>1068</v>
      </c>
      <c r="L3176" s="12" t="s">
        <v>90</v>
      </c>
      <c r="M3176" s="12" t="s">
        <v>33</v>
      </c>
      <c r="N3176" s="12" t="s">
        <v>46</v>
      </c>
      <c r="O3176" s="12" t="s">
        <v>34</v>
      </c>
      <c r="P3176" s="12" t="s">
        <v>622</v>
      </c>
      <c r="Q3176" s="7" t="str">
        <f t="shared" si="148"/>
        <v>(2018,1,'2018.01.06',17,24,37,49,82,0),</v>
      </c>
      <c r="R3176" s="7" t="str">
        <f t="shared" si="150"/>
        <v>(2018,1,'2018.01.06',17,24,37,49,82),</v>
      </c>
    </row>
    <row r="3177" spans="1:18" x14ac:dyDescent="0.25">
      <c r="A3177" s="7" t="s">
        <v>633</v>
      </c>
      <c r="B3177" s="8" t="s">
        <v>207</v>
      </c>
      <c r="C3177" s="10">
        <f t="shared" si="149"/>
        <v>43113</v>
      </c>
      <c r="D3177" t="s">
        <v>11</v>
      </c>
      <c r="E3177" t="s">
        <v>12</v>
      </c>
      <c r="F3177" t="s">
        <v>116</v>
      </c>
      <c r="G3177" t="s">
        <v>1264</v>
      </c>
      <c r="H3177" t="s">
        <v>395</v>
      </c>
      <c r="I3177" t="s">
        <v>1265</v>
      </c>
      <c r="J3177" t="s">
        <v>1266</v>
      </c>
      <c r="K3177" t="s">
        <v>640</v>
      </c>
      <c r="L3177" s="12" t="s">
        <v>54</v>
      </c>
      <c r="M3177" s="12" t="s">
        <v>133</v>
      </c>
      <c r="N3177" s="12" t="s">
        <v>124</v>
      </c>
      <c r="O3177" s="12" t="s">
        <v>63</v>
      </c>
      <c r="P3177" s="12" t="s">
        <v>151</v>
      </c>
      <c r="Q3177" s="7" t="str">
        <f t="shared" si="148"/>
        <v>(2018,2,'2018.01.13',15,45,62,78,79,0),</v>
      </c>
      <c r="R3177" s="7" t="str">
        <f t="shared" si="150"/>
        <v>(2018,2,'2018.01.13',15,45,62,78,79),</v>
      </c>
    </row>
    <row r="3178" spans="1:18" x14ac:dyDescent="0.25">
      <c r="A3178" s="7" t="s">
        <v>633</v>
      </c>
      <c r="B3178" s="8" t="s">
        <v>42</v>
      </c>
      <c r="C3178" s="10">
        <f t="shared" si="149"/>
        <v>43120</v>
      </c>
      <c r="D3178" t="s">
        <v>11</v>
      </c>
      <c r="E3178" t="s">
        <v>12</v>
      </c>
      <c r="F3178" t="s">
        <v>126</v>
      </c>
      <c r="G3178" t="s">
        <v>1260</v>
      </c>
      <c r="H3178" t="s">
        <v>1261</v>
      </c>
      <c r="I3178" t="s">
        <v>1262</v>
      </c>
      <c r="J3178" t="s">
        <v>1263</v>
      </c>
      <c r="K3178" t="s">
        <v>1026</v>
      </c>
      <c r="L3178" s="12" t="s">
        <v>108</v>
      </c>
      <c r="M3178" s="12" t="s">
        <v>89</v>
      </c>
      <c r="N3178" s="12" t="s">
        <v>25</v>
      </c>
      <c r="O3178" s="12" t="s">
        <v>133</v>
      </c>
      <c r="P3178" s="12" t="s">
        <v>192</v>
      </c>
      <c r="Q3178" s="7" t="str">
        <f t="shared" si="148"/>
        <v>(2018,3,'2018.01.20',1,5,34,45,46,0),</v>
      </c>
      <c r="R3178" s="7" t="str">
        <f t="shared" si="150"/>
        <v>(2018,3,'2018.01.20',1,5,34,45,46),</v>
      </c>
    </row>
    <row r="3179" spans="1:18" x14ac:dyDescent="0.25">
      <c r="A3179" s="7" t="s">
        <v>633</v>
      </c>
      <c r="B3179" s="8" t="s">
        <v>168</v>
      </c>
      <c r="C3179" s="10">
        <f t="shared" si="149"/>
        <v>43127</v>
      </c>
      <c r="D3179" t="s">
        <v>11</v>
      </c>
      <c r="E3179" t="s">
        <v>12</v>
      </c>
      <c r="F3179" t="s">
        <v>65</v>
      </c>
      <c r="G3179" t="s">
        <v>1255</v>
      </c>
      <c r="H3179" t="s">
        <v>1256</v>
      </c>
      <c r="I3179" t="s">
        <v>1257</v>
      </c>
      <c r="J3179" t="s">
        <v>1258</v>
      </c>
      <c r="K3179" t="s">
        <v>1259</v>
      </c>
      <c r="L3179" s="12" t="s">
        <v>24</v>
      </c>
      <c r="M3179" s="12" t="s">
        <v>10</v>
      </c>
      <c r="N3179" s="12" t="s">
        <v>92</v>
      </c>
      <c r="O3179" s="12" t="s">
        <v>201</v>
      </c>
      <c r="P3179" s="12" t="s">
        <v>239</v>
      </c>
      <c r="Q3179" s="7" t="str">
        <f t="shared" si="148"/>
        <v>(2018,4,'2018.01.27',39,40,68,72,73,0),</v>
      </c>
      <c r="R3179" s="7" t="str">
        <f t="shared" si="150"/>
        <v>(2018,4,'2018.01.27',39,40,68,72,73),</v>
      </c>
    </row>
    <row r="3180" spans="1:18" x14ac:dyDescent="0.25">
      <c r="A3180" s="7" t="s">
        <v>633</v>
      </c>
      <c r="B3180" s="8" t="s">
        <v>89</v>
      </c>
      <c r="C3180" s="10">
        <f t="shared" si="149"/>
        <v>43134</v>
      </c>
      <c r="D3180" t="s">
        <v>11</v>
      </c>
      <c r="E3180" t="s">
        <v>12</v>
      </c>
      <c r="F3180" t="s">
        <v>71</v>
      </c>
      <c r="G3180" t="s">
        <v>1251</v>
      </c>
      <c r="H3180" t="s">
        <v>1252</v>
      </c>
      <c r="I3180" t="s">
        <v>1253</v>
      </c>
      <c r="J3180" t="s">
        <v>1254</v>
      </c>
      <c r="K3180" t="s">
        <v>61</v>
      </c>
      <c r="L3180" s="12" t="s">
        <v>42</v>
      </c>
      <c r="M3180" s="12" t="s">
        <v>115</v>
      </c>
      <c r="N3180" s="12" t="s">
        <v>199</v>
      </c>
      <c r="O3180" s="12" t="s">
        <v>151</v>
      </c>
      <c r="P3180" s="12" t="s">
        <v>208</v>
      </c>
      <c r="Q3180" s="7" t="str">
        <f t="shared" si="148"/>
        <v>(2018,5,'2018.02.03',3,20,53,79,88,0),</v>
      </c>
      <c r="R3180" s="7" t="str">
        <f t="shared" si="150"/>
        <v>(2018,5,'2018.02.03',3,20,53,79,88),</v>
      </c>
    </row>
    <row r="3181" spans="1:18" x14ac:dyDescent="0.25">
      <c r="A3181" s="7" t="s">
        <v>633</v>
      </c>
      <c r="B3181" s="8" t="s">
        <v>270</v>
      </c>
      <c r="C3181" s="10">
        <f t="shared" si="149"/>
        <v>43141</v>
      </c>
      <c r="D3181" t="s">
        <v>11</v>
      </c>
      <c r="E3181" t="s">
        <v>12</v>
      </c>
      <c r="F3181" t="s">
        <v>83</v>
      </c>
      <c r="G3181" t="s">
        <v>1247</v>
      </c>
      <c r="H3181" t="s">
        <v>1248</v>
      </c>
      <c r="I3181" t="s">
        <v>1249</v>
      </c>
      <c r="J3181" t="s">
        <v>1250</v>
      </c>
      <c r="K3181" t="s">
        <v>403</v>
      </c>
      <c r="L3181" s="12" t="s">
        <v>82</v>
      </c>
      <c r="M3181" s="12" t="s">
        <v>214</v>
      </c>
      <c r="N3181" s="12" t="s">
        <v>72</v>
      </c>
      <c r="O3181" s="12" t="s">
        <v>239</v>
      </c>
      <c r="P3181" s="12" t="s">
        <v>245</v>
      </c>
      <c r="Q3181" s="7" t="str">
        <f t="shared" si="148"/>
        <v>(2018,6,'2018.02.10',59,64,67,73,74,0),</v>
      </c>
      <c r="R3181" s="7" t="str">
        <f t="shared" si="150"/>
        <v>(2018,6,'2018.02.10',59,64,67,73,74),</v>
      </c>
    </row>
    <row r="3182" spans="1:18" x14ac:dyDescent="0.25">
      <c r="A3182" s="7" t="s">
        <v>633</v>
      </c>
      <c r="B3182" s="8" t="s">
        <v>53</v>
      </c>
      <c r="C3182" s="10">
        <f t="shared" si="149"/>
        <v>43148</v>
      </c>
      <c r="D3182" t="s">
        <v>11</v>
      </c>
      <c r="E3182" t="s">
        <v>12</v>
      </c>
      <c r="F3182" t="s">
        <v>83</v>
      </c>
      <c r="G3182" t="s">
        <v>1243</v>
      </c>
      <c r="H3182" t="s">
        <v>1244</v>
      </c>
      <c r="I3182" t="s">
        <v>1245</v>
      </c>
      <c r="J3182" t="s">
        <v>1246</v>
      </c>
      <c r="K3182" t="s">
        <v>554</v>
      </c>
      <c r="L3182" s="12" t="s">
        <v>62</v>
      </c>
      <c r="M3182" s="12" t="s">
        <v>80</v>
      </c>
      <c r="N3182" s="12" t="s">
        <v>98</v>
      </c>
      <c r="O3182" s="12" t="s">
        <v>45</v>
      </c>
      <c r="P3182" s="12" t="s">
        <v>192</v>
      </c>
      <c r="Q3182" s="7" t="str">
        <f t="shared" si="148"/>
        <v>(2018,7,'2018.02.17',10,32,42,43,46,0),</v>
      </c>
      <c r="R3182" s="7" t="str">
        <f t="shared" si="150"/>
        <v>(2018,7,'2018.02.17',10,32,42,43,46),</v>
      </c>
    </row>
    <row r="3183" spans="1:18" x14ac:dyDescent="0.25">
      <c r="A3183" s="7" t="s">
        <v>633</v>
      </c>
      <c r="B3183" s="8" t="s">
        <v>232</v>
      </c>
      <c r="C3183" s="10">
        <f t="shared" si="149"/>
        <v>43155</v>
      </c>
      <c r="D3183" t="s">
        <v>108</v>
      </c>
      <c r="E3183" t="s">
        <v>1238</v>
      </c>
      <c r="F3183" t="s">
        <v>126</v>
      </c>
      <c r="G3183" t="s">
        <v>1239</v>
      </c>
      <c r="H3183" t="s">
        <v>1240</v>
      </c>
      <c r="I3183" t="s">
        <v>1241</v>
      </c>
      <c r="J3183" t="s">
        <v>1140</v>
      </c>
      <c r="K3183" t="s">
        <v>1242</v>
      </c>
      <c r="L3183" s="12" t="s">
        <v>198</v>
      </c>
      <c r="M3183" s="12" t="s">
        <v>83</v>
      </c>
      <c r="N3183" s="12" t="s">
        <v>80</v>
      </c>
      <c r="O3183" s="12" t="s">
        <v>10</v>
      </c>
      <c r="P3183" s="12" t="s">
        <v>175</v>
      </c>
      <c r="Q3183" s="7" t="str">
        <f t="shared" si="148"/>
        <v>(2018,8,'2018.02.24',9,11,32,40,55,0),</v>
      </c>
      <c r="R3183" s="7" t="str">
        <f t="shared" si="150"/>
        <v>(2018,8,'2018.02.24',9,11,32,40,55),</v>
      </c>
    </row>
    <row r="3184" spans="1:18" x14ac:dyDescent="0.25">
      <c r="A3184" s="7" t="s">
        <v>633</v>
      </c>
      <c r="B3184" s="8" t="s">
        <v>198</v>
      </c>
      <c r="C3184" s="10">
        <f t="shared" si="149"/>
        <v>43162</v>
      </c>
      <c r="D3184" t="s">
        <v>11</v>
      </c>
      <c r="E3184" t="s">
        <v>12</v>
      </c>
      <c r="F3184" t="s">
        <v>43</v>
      </c>
      <c r="G3184" t="s">
        <v>1233</v>
      </c>
      <c r="H3184" t="s">
        <v>1234</v>
      </c>
      <c r="I3184" t="s">
        <v>1235</v>
      </c>
      <c r="J3184" t="s">
        <v>1236</v>
      </c>
      <c r="K3184" t="s">
        <v>1237</v>
      </c>
      <c r="L3184" s="12" t="s">
        <v>126</v>
      </c>
      <c r="M3184" s="12" t="s">
        <v>105</v>
      </c>
      <c r="N3184" s="12" t="s">
        <v>143</v>
      </c>
      <c r="O3184" s="12" t="s">
        <v>63</v>
      </c>
      <c r="P3184" s="12" t="s">
        <v>468</v>
      </c>
      <c r="Q3184" s="7" t="str">
        <f t="shared" si="148"/>
        <v>(2018,9,'2018.03.03',28,50,77,78,85,0),</v>
      </c>
      <c r="R3184" s="7" t="str">
        <f t="shared" si="150"/>
        <v>(2018,9,'2018.03.03',28,50,77,78,85),</v>
      </c>
    </row>
    <row r="3185" spans="1:18" x14ac:dyDescent="0.25">
      <c r="A3185" s="7" t="s">
        <v>633</v>
      </c>
      <c r="B3185" s="8" t="s">
        <v>62</v>
      </c>
      <c r="C3185" s="10">
        <f t="shared" si="149"/>
        <v>43169</v>
      </c>
      <c r="D3185" t="s">
        <v>11</v>
      </c>
      <c r="E3185" t="s">
        <v>12</v>
      </c>
      <c r="F3185" t="s">
        <v>62</v>
      </c>
      <c r="G3185" t="s">
        <v>1229</v>
      </c>
      <c r="H3185" t="s">
        <v>1230</v>
      </c>
      <c r="I3185" t="s">
        <v>1231</v>
      </c>
      <c r="J3185" t="s">
        <v>1232</v>
      </c>
      <c r="K3185" t="s">
        <v>360</v>
      </c>
      <c r="L3185" s="12" t="s">
        <v>31</v>
      </c>
      <c r="M3185" s="12" t="s">
        <v>23</v>
      </c>
      <c r="N3185" s="12" t="s">
        <v>72</v>
      </c>
      <c r="O3185" s="12" t="s">
        <v>200</v>
      </c>
      <c r="P3185" s="12" t="s">
        <v>468</v>
      </c>
      <c r="Q3185" s="7" t="str">
        <f t="shared" si="148"/>
        <v>(2018,10,'2018.03.10',12,60,67,70,85,0),</v>
      </c>
      <c r="R3185" s="7" t="str">
        <f t="shared" si="150"/>
        <v>(2018,10,'2018.03.10',12,60,67,70,85),</v>
      </c>
    </row>
    <row r="3186" spans="1:18" x14ac:dyDescent="0.25">
      <c r="A3186" s="7" t="s">
        <v>633</v>
      </c>
      <c r="B3186" s="8" t="s">
        <v>83</v>
      </c>
      <c r="C3186" s="10">
        <f t="shared" si="149"/>
        <v>43176</v>
      </c>
      <c r="D3186" t="s">
        <v>11</v>
      </c>
      <c r="E3186" t="s">
        <v>12</v>
      </c>
      <c r="F3186" t="s">
        <v>126</v>
      </c>
      <c r="G3186" t="s">
        <v>1224</v>
      </c>
      <c r="H3186" t="s">
        <v>1225</v>
      </c>
      <c r="I3186" t="s">
        <v>1226</v>
      </c>
      <c r="J3186" t="s">
        <v>1227</v>
      </c>
      <c r="K3186" t="s">
        <v>1228</v>
      </c>
      <c r="L3186" s="12" t="s">
        <v>108</v>
      </c>
      <c r="M3186" s="12" t="s">
        <v>163</v>
      </c>
      <c r="N3186" s="12" t="s">
        <v>98</v>
      </c>
      <c r="O3186" s="12" t="s">
        <v>124</v>
      </c>
      <c r="P3186" s="12" t="s">
        <v>56</v>
      </c>
      <c r="Q3186" s="7" t="str">
        <f t="shared" si="148"/>
        <v>(2018,11,'2018.03.17',1,23,42,62,71,0),</v>
      </c>
      <c r="R3186" s="7" t="str">
        <f t="shared" si="150"/>
        <v>(2018,11,'2018.03.17',1,23,42,62,71),</v>
      </c>
    </row>
    <row r="3187" spans="1:18" x14ac:dyDescent="0.25">
      <c r="A3187" s="7" t="s">
        <v>633</v>
      </c>
      <c r="B3187" s="8" t="s">
        <v>31</v>
      </c>
      <c r="C3187" s="10">
        <f t="shared" si="149"/>
        <v>43183</v>
      </c>
      <c r="D3187" t="s">
        <v>11</v>
      </c>
      <c r="E3187" t="s">
        <v>12</v>
      </c>
      <c r="F3187" t="s">
        <v>74</v>
      </c>
      <c r="G3187" t="s">
        <v>1220</v>
      </c>
      <c r="H3187" t="s">
        <v>1221</v>
      </c>
      <c r="I3187" t="s">
        <v>976</v>
      </c>
      <c r="J3187" t="s">
        <v>1222</v>
      </c>
      <c r="K3187" t="s">
        <v>1223</v>
      </c>
      <c r="L3187" s="12" t="s">
        <v>32</v>
      </c>
      <c r="M3187" s="12" t="s">
        <v>126</v>
      </c>
      <c r="N3187" s="12" t="s">
        <v>71</v>
      </c>
      <c r="O3187" s="12" t="s">
        <v>34</v>
      </c>
      <c r="P3187" s="12" t="s">
        <v>63</v>
      </c>
      <c r="Q3187" s="7" t="str">
        <f t="shared" si="148"/>
        <v>(2018,12,'2018.03.24',22,28,31,49,78,0),</v>
      </c>
      <c r="R3187" s="7" t="str">
        <f t="shared" si="150"/>
        <v>(2018,12,'2018.03.24',22,28,31,49,78),</v>
      </c>
    </row>
    <row r="3188" spans="1:18" x14ac:dyDescent="0.25">
      <c r="A3188" s="7" t="s">
        <v>633</v>
      </c>
      <c r="B3188" s="8" t="s">
        <v>65</v>
      </c>
      <c r="C3188" s="10">
        <f t="shared" si="149"/>
        <v>43190</v>
      </c>
      <c r="D3188" t="s">
        <v>11</v>
      </c>
      <c r="E3188" t="s">
        <v>12</v>
      </c>
      <c r="F3188" t="s">
        <v>107</v>
      </c>
      <c r="G3188" t="s">
        <v>1216</v>
      </c>
      <c r="H3188" t="s">
        <v>1217</v>
      </c>
      <c r="I3188" t="s">
        <v>1218</v>
      </c>
      <c r="J3188" t="s">
        <v>1219</v>
      </c>
      <c r="K3188" t="s">
        <v>857</v>
      </c>
      <c r="L3188" s="12" t="s">
        <v>65</v>
      </c>
      <c r="M3188" s="12" t="s">
        <v>127</v>
      </c>
      <c r="N3188" s="12" t="s">
        <v>43</v>
      </c>
      <c r="O3188" s="12" t="s">
        <v>116</v>
      </c>
      <c r="P3188" s="12" t="s">
        <v>45</v>
      </c>
      <c r="Q3188" s="7" t="str">
        <f t="shared" si="148"/>
        <v>(2018,13,'2018.03.31',13,14,16,29,43,0),</v>
      </c>
      <c r="R3188" s="7" t="str">
        <f t="shared" si="150"/>
        <v>(2018,13,'2018.03.31',13,14,16,29,43),</v>
      </c>
    </row>
    <row r="3189" spans="1:18" x14ac:dyDescent="0.25">
      <c r="A3189" s="7" t="s">
        <v>633</v>
      </c>
      <c r="B3189" s="8" t="s">
        <v>127</v>
      </c>
      <c r="C3189" s="10">
        <f t="shared" si="149"/>
        <v>43197</v>
      </c>
      <c r="D3189" t="s">
        <v>11</v>
      </c>
      <c r="E3189" t="s">
        <v>12</v>
      </c>
      <c r="F3189" t="s">
        <v>19</v>
      </c>
      <c r="G3189" t="s">
        <v>1211</v>
      </c>
      <c r="H3189" t="s">
        <v>1212</v>
      </c>
      <c r="I3189" t="s">
        <v>1213</v>
      </c>
      <c r="J3189" t="s">
        <v>1214</v>
      </c>
      <c r="K3189" t="s">
        <v>1215</v>
      </c>
      <c r="L3189" s="12" t="s">
        <v>152</v>
      </c>
      <c r="M3189" s="12" t="s">
        <v>21</v>
      </c>
      <c r="N3189" s="12" t="s">
        <v>36</v>
      </c>
      <c r="O3189" s="12" t="s">
        <v>151</v>
      </c>
      <c r="P3189" s="12" t="s">
        <v>246</v>
      </c>
      <c r="Q3189" s="7" t="str">
        <f t="shared" si="148"/>
        <v>(2018,14,'2018.04.07',25,36,38,79,84,0),</v>
      </c>
      <c r="R3189" s="7" t="str">
        <f t="shared" si="150"/>
        <v>(2018,14,'2018.04.07',25,36,38,79,84),</v>
      </c>
    </row>
    <row r="3190" spans="1:18" x14ac:dyDescent="0.25">
      <c r="A3190" s="7" t="s">
        <v>633</v>
      </c>
      <c r="B3190" s="8" t="s">
        <v>54</v>
      </c>
      <c r="C3190" s="10">
        <f t="shared" si="149"/>
        <v>43204</v>
      </c>
      <c r="D3190" t="s">
        <v>11</v>
      </c>
      <c r="E3190" t="s">
        <v>12</v>
      </c>
      <c r="F3190" t="s">
        <v>99</v>
      </c>
      <c r="G3190" t="s">
        <v>1207</v>
      </c>
      <c r="H3190" t="s">
        <v>1208</v>
      </c>
      <c r="I3190" t="s">
        <v>1209</v>
      </c>
      <c r="J3190" t="s">
        <v>1210</v>
      </c>
      <c r="K3190" t="s">
        <v>894</v>
      </c>
      <c r="L3190" s="12" t="s">
        <v>55</v>
      </c>
      <c r="M3190" s="12" t="s">
        <v>135</v>
      </c>
      <c r="N3190" s="12" t="s">
        <v>71</v>
      </c>
      <c r="O3190" s="12" t="s">
        <v>46</v>
      </c>
      <c r="P3190" s="12" t="s">
        <v>215</v>
      </c>
      <c r="Q3190" s="7" t="str">
        <f t="shared" si="148"/>
        <v>(2018,15,'2018.04.14',19,27,31,37,81,0),</v>
      </c>
      <c r="R3190" s="7" t="str">
        <f t="shared" si="150"/>
        <v>(2018,15,'2018.04.14',19,27,31,37,81),</v>
      </c>
    </row>
    <row r="3191" spans="1:18" x14ac:dyDescent="0.25">
      <c r="A3191" s="7" t="s">
        <v>633</v>
      </c>
      <c r="B3191" s="8" t="s">
        <v>43</v>
      </c>
      <c r="C3191" s="10">
        <f t="shared" si="149"/>
        <v>43211</v>
      </c>
      <c r="D3191" t="s">
        <v>11</v>
      </c>
      <c r="E3191" t="s">
        <v>12</v>
      </c>
      <c r="F3191" t="s">
        <v>46</v>
      </c>
      <c r="G3191" t="s">
        <v>1202</v>
      </c>
      <c r="H3191" t="s">
        <v>1203</v>
      </c>
      <c r="I3191" t="s">
        <v>1204</v>
      </c>
      <c r="J3191" t="s">
        <v>1205</v>
      </c>
      <c r="K3191" t="s">
        <v>1206</v>
      </c>
      <c r="L3191" s="12" t="s">
        <v>168</v>
      </c>
      <c r="M3191" s="12" t="s">
        <v>127</v>
      </c>
      <c r="N3191" s="12" t="s">
        <v>135</v>
      </c>
      <c r="O3191" s="12" t="s">
        <v>248</v>
      </c>
      <c r="P3191" s="12" t="s">
        <v>35</v>
      </c>
      <c r="Q3191" s="7" t="str">
        <f t="shared" si="148"/>
        <v>(2018,16,'2018.04.21',4,14,27,63,65,0),</v>
      </c>
      <c r="R3191" s="7" t="str">
        <f t="shared" si="150"/>
        <v>(2018,16,'2018.04.21',4,14,27,63,65),</v>
      </c>
    </row>
    <row r="3192" spans="1:18" x14ac:dyDescent="0.25">
      <c r="A3192" s="7" t="s">
        <v>633</v>
      </c>
      <c r="B3192" s="8" t="s">
        <v>90</v>
      </c>
      <c r="C3192" s="10">
        <f t="shared" si="149"/>
        <v>43218</v>
      </c>
      <c r="D3192" t="s">
        <v>11</v>
      </c>
      <c r="E3192" t="s">
        <v>12</v>
      </c>
      <c r="F3192" t="s">
        <v>201</v>
      </c>
      <c r="G3192" t="s">
        <v>1199</v>
      </c>
      <c r="H3192" t="s">
        <v>546</v>
      </c>
      <c r="I3192" t="s">
        <v>573</v>
      </c>
      <c r="J3192" t="s">
        <v>1200</v>
      </c>
      <c r="K3192" t="s">
        <v>1201</v>
      </c>
      <c r="L3192" s="12" t="s">
        <v>83</v>
      </c>
      <c r="M3192" s="12" t="s">
        <v>163</v>
      </c>
      <c r="N3192" s="12" t="s">
        <v>46</v>
      </c>
      <c r="O3192" s="12" t="s">
        <v>175</v>
      </c>
      <c r="P3192" s="12" t="s">
        <v>201</v>
      </c>
      <c r="Q3192" s="7" t="str">
        <f t="shared" si="148"/>
        <v>(2018,17,'2018.04.28',11,23,37,55,72,0),</v>
      </c>
      <c r="R3192" s="7" t="str">
        <f t="shared" si="150"/>
        <v>(2018,17,'2018.04.28',11,23,37,55,72),</v>
      </c>
    </row>
    <row r="3193" spans="1:18" x14ac:dyDescent="0.25">
      <c r="A3193" s="7" t="s">
        <v>633</v>
      </c>
      <c r="B3193" s="8" t="s">
        <v>19</v>
      </c>
      <c r="C3193" s="10">
        <f t="shared" si="149"/>
        <v>43225</v>
      </c>
      <c r="D3193" t="s">
        <v>11</v>
      </c>
      <c r="E3193" t="s">
        <v>12</v>
      </c>
      <c r="F3193" t="s">
        <v>150</v>
      </c>
      <c r="G3193" t="s">
        <v>1195</v>
      </c>
      <c r="H3193" t="s">
        <v>1196</v>
      </c>
      <c r="I3193" t="s">
        <v>1197</v>
      </c>
      <c r="J3193" t="s">
        <v>1198</v>
      </c>
      <c r="K3193" t="s">
        <v>1003</v>
      </c>
      <c r="L3193" s="12" t="s">
        <v>89</v>
      </c>
      <c r="M3193" s="12" t="s">
        <v>83</v>
      </c>
      <c r="N3193" s="12" t="s">
        <v>19</v>
      </c>
      <c r="O3193" s="12" t="s">
        <v>72</v>
      </c>
      <c r="P3193" s="12" t="s">
        <v>379</v>
      </c>
      <c r="Q3193" s="7" t="str">
        <f t="shared" si="148"/>
        <v>(2018,18,'2018.05.05',5,11,18,67,89,0),</v>
      </c>
      <c r="R3193" s="7" t="str">
        <f t="shared" si="150"/>
        <v>(2018,18,'2018.05.05',5,11,18,67,89),</v>
      </c>
    </row>
    <row r="3194" spans="1:18" x14ac:dyDescent="0.25">
      <c r="A3194" s="7" t="s">
        <v>633</v>
      </c>
      <c r="B3194" s="8" t="s">
        <v>55</v>
      </c>
      <c r="C3194" s="10">
        <f t="shared" si="149"/>
        <v>43232</v>
      </c>
      <c r="D3194" t="s">
        <v>11</v>
      </c>
      <c r="E3194" t="s">
        <v>12</v>
      </c>
      <c r="F3194" t="s">
        <v>116</v>
      </c>
      <c r="G3194" t="s">
        <v>1190</v>
      </c>
      <c r="H3194" t="s">
        <v>1191</v>
      </c>
      <c r="I3194" t="s">
        <v>1192</v>
      </c>
      <c r="J3194" t="s">
        <v>1193</v>
      </c>
      <c r="K3194" t="s">
        <v>1194</v>
      </c>
      <c r="L3194" s="12" t="s">
        <v>168</v>
      </c>
      <c r="M3194" s="12" t="s">
        <v>19</v>
      </c>
      <c r="N3194" s="12" t="s">
        <v>134</v>
      </c>
      <c r="O3194" s="12" t="s">
        <v>56</v>
      </c>
      <c r="P3194" s="12" t="s">
        <v>301</v>
      </c>
      <c r="Q3194" s="7" t="str">
        <f t="shared" si="148"/>
        <v>(2018,19,'2018.05.12',4,18,56,71,80,0),</v>
      </c>
      <c r="R3194" s="7" t="str">
        <f t="shared" si="150"/>
        <v>(2018,19,'2018.05.12',4,18,56,71,80),</v>
      </c>
    </row>
    <row r="3195" spans="1:18" x14ac:dyDescent="0.25">
      <c r="A3195" s="7" t="s">
        <v>633</v>
      </c>
      <c r="B3195" s="8" t="s">
        <v>115</v>
      </c>
      <c r="C3195" s="10">
        <f t="shared" si="149"/>
        <v>43239</v>
      </c>
      <c r="D3195" t="s">
        <v>11</v>
      </c>
      <c r="E3195" t="s">
        <v>12</v>
      </c>
      <c r="F3195" t="s">
        <v>90</v>
      </c>
      <c r="G3195" t="s">
        <v>1185</v>
      </c>
      <c r="H3195" t="s">
        <v>1186</v>
      </c>
      <c r="I3195" t="s">
        <v>1187</v>
      </c>
      <c r="J3195" t="s">
        <v>1188</v>
      </c>
      <c r="K3195" t="s">
        <v>1189</v>
      </c>
      <c r="L3195" s="12" t="s">
        <v>42</v>
      </c>
      <c r="M3195" s="12" t="s">
        <v>45</v>
      </c>
      <c r="N3195" s="12" t="s">
        <v>82</v>
      </c>
      <c r="O3195" s="12" t="s">
        <v>124</v>
      </c>
      <c r="P3195" s="12" t="s">
        <v>47</v>
      </c>
      <c r="Q3195" s="7" t="str">
        <f t="shared" si="148"/>
        <v>(2018,20,'2018.05.19',3,43,59,62,69,0),</v>
      </c>
      <c r="R3195" s="7" t="str">
        <f t="shared" si="150"/>
        <v>(2018,20,'2018.05.19',3,43,59,62,69),</v>
      </c>
    </row>
    <row r="3196" spans="1:18" x14ac:dyDescent="0.25">
      <c r="A3196" s="7" t="s">
        <v>633</v>
      </c>
      <c r="B3196" s="8" t="s">
        <v>44</v>
      </c>
      <c r="C3196" s="10">
        <f t="shared" si="149"/>
        <v>43246</v>
      </c>
      <c r="D3196" t="s">
        <v>11</v>
      </c>
      <c r="E3196" t="s">
        <v>12</v>
      </c>
      <c r="F3196" t="s">
        <v>44</v>
      </c>
      <c r="G3196" t="s">
        <v>1181</v>
      </c>
      <c r="H3196" t="s">
        <v>1182</v>
      </c>
      <c r="I3196" t="s">
        <v>1183</v>
      </c>
      <c r="J3196" t="s">
        <v>1184</v>
      </c>
      <c r="K3196" t="s">
        <v>599</v>
      </c>
      <c r="L3196" s="12" t="s">
        <v>54</v>
      </c>
      <c r="M3196" s="12" t="s">
        <v>74</v>
      </c>
      <c r="N3196" s="12" t="s">
        <v>122</v>
      </c>
      <c r="O3196" s="12" t="s">
        <v>245</v>
      </c>
      <c r="P3196" s="12" t="s">
        <v>379</v>
      </c>
      <c r="Q3196" s="7" t="str">
        <f t="shared" si="148"/>
        <v>(2018,21,'2018.05.26',15,26,51,74,89,0),</v>
      </c>
      <c r="R3196" s="7" t="str">
        <f t="shared" si="150"/>
        <v>(2018,21,'2018.05.26',15,26,51,74,89),</v>
      </c>
    </row>
    <row r="3197" spans="1:18" x14ac:dyDescent="0.25">
      <c r="A3197" s="7" t="s">
        <v>633</v>
      </c>
      <c r="B3197" s="8" t="s">
        <v>32</v>
      </c>
      <c r="C3197" s="10">
        <f t="shared" si="149"/>
        <v>43253</v>
      </c>
      <c r="D3197" t="s">
        <v>108</v>
      </c>
      <c r="E3197" t="s">
        <v>1176</v>
      </c>
      <c r="F3197" t="s">
        <v>150</v>
      </c>
      <c r="G3197" t="s">
        <v>1177</v>
      </c>
      <c r="H3197" t="s">
        <v>1178</v>
      </c>
      <c r="I3197" t="s">
        <v>1179</v>
      </c>
      <c r="J3197" t="s">
        <v>1180</v>
      </c>
      <c r="K3197" t="s">
        <v>1003</v>
      </c>
      <c r="L3197" s="12" t="s">
        <v>62</v>
      </c>
      <c r="M3197" s="12" t="s">
        <v>65</v>
      </c>
      <c r="N3197" s="12" t="s">
        <v>74</v>
      </c>
      <c r="O3197" s="12" t="s">
        <v>214</v>
      </c>
      <c r="P3197" s="12" t="s">
        <v>72</v>
      </c>
      <c r="Q3197" s="7" t="str">
        <f t="shared" si="148"/>
        <v>(2018,22,'2018.06.02',10,13,26,64,67,0),</v>
      </c>
      <c r="R3197" s="7" t="str">
        <f t="shared" si="150"/>
        <v>(2018,22,'2018.06.02',10,13,26,64,67),</v>
      </c>
    </row>
    <row r="3198" spans="1:18" x14ac:dyDescent="0.25">
      <c r="A3198" s="7" t="s">
        <v>633</v>
      </c>
      <c r="B3198" s="8" t="s">
        <v>163</v>
      </c>
      <c r="C3198" s="10">
        <f t="shared" si="149"/>
        <v>43260</v>
      </c>
      <c r="D3198" t="s">
        <v>11</v>
      </c>
      <c r="E3198" t="s">
        <v>12</v>
      </c>
      <c r="F3198" t="s">
        <v>152</v>
      </c>
      <c r="G3198" t="s">
        <v>1172</v>
      </c>
      <c r="H3198" t="s">
        <v>1173</v>
      </c>
      <c r="I3198" t="s">
        <v>1174</v>
      </c>
      <c r="J3198" t="s">
        <v>1175</v>
      </c>
      <c r="K3198" t="s">
        <v>61</v>
      </c>
      <c r="L3198" s="12" t="s">
        <v>115</v>
      </c>
      <c r="M3198" s="12" t="s">
        <v>44</v>
      </c>
      <c r="N3198" s="12" t="s">
        <v>152</v>
      </c>
      <c r="O3198" s="12" t="s">
        <v>24</v>
      </c>
      <c r="P3198" s="12" t="s">
        <v>150</v>
      </c>
      <c r="Q3198" s="7" t="str">
        <f t="shared" si="148"/>
        <v>(2018,23,'2018.06.09',20,21,25,39,57,0),</v>
      </c>
      <c r="R3198" s="7" t="str">
        <f t="shared" si="150"/>
        <v>(2018,23,'2018.06.09',20,21,25,39,57),</v>
      </c>
    </row>
    <row r="3199" spans="1:18" x14ac:dyDescent="0.25">
      <c r="A3199" s="7" t="s">
        <v>633</v>
      </c>
      <c r="B3199" s="8" t="s">
        <v>33</v>
      </c>
      <c r="C3199" s="10">
        <f t="shared" si="149"/>
        <v>43267</v>
      </c>
      <c r="D3199" t="s">
        <v>11</v>
      </c>
      <c r="E3199" t="s">
        <v>12</v>
      </c>
      <c r="F3199" t="s">
        <v>198</v>
      </c>
      <c r="G3199" t="s">
        <v>1167</v>
      </c>
      <c r="H3199" t="s">
        <v>1168</v>
      </c>
      <c r="I3199" t="s">
        <v>1169</v>
      </c>
      <c r="J3199" t="s">
        <v>1170</v>
      </c>
      <c r="K3199" t="s">
        <v>1171</v>
      </c>
      <c r="L3199" s="12" t="s">
        <v>36</v>
      </c>
      <c r="M3199" s="12" t="s">
        <v>24</v>
      </c>
      <c r="N3199" s="12" t="s">
        <v>10</v>
      </c>
      <c r="O3199" s="12" t="s">
        <v>239</v>
      </c>
      <c r="P3199" s="12" t="s">
        <v>125</v>
      </c>
      <c r="Q3199" s="7" t="str">
        <f t="shared" si="148"/>
        <v>(2018,24,'2018.06.16',38,39,40,73,83,0),</v>
      </c>
      <c r="R3199" s="7" t="str">
        <f t="shared" si="150"/>
        <v>(2018,24,'2018.06.16',38,39,40,73,83),</v>
      </c>
    </row>
    <row r="3200" spans="1:18" x14ac:dyDescent="0.25">
      <c r="A3200" s="7" t="s">
        <v>633</v>
      </c>
      <c r="B3200" s="8" t="s">
        <v>152</v>
      </c>
      <c r="C3200" s="10">
        <f t="shared" si="149"/>
        <v>43274</v>
      </c>
      <c r="D3200" t="s">
        <v>11</v>
      </c>
      <c r="E3200" t="s">
        <v>12</v>
      </c>
      <c r="F3200" t="s">
        <v>19</v>
      </c>
      <c r="G3200" t="s">
        <v>1164</v>
      </c>
      <c r="H3200" t="s">
        <v>464</v>
      </c>
      <c r="I3200" t="s">
        <v>1165</v>
      </c>
      <c r="J3200" t="s">
        <v>1166</v>
      </c>
      <c r="K3200" t="s">
        <v>1132</v>
      </c>
      <c r="L3200" s="12" t="s">
        <v>44</v>
      </c>
      <c r="M3200" s="12" t="s">
        <v>80</v>
      </c>
      <c r="N3200" s="12" t="s">
        <v>91</v>
      </c>
      <c r="O3200" s="12" t="s">
        <v>35</v>
      </c>
      <c r="P3200" s="12" t="s">
        <v>143</v>
      </c>
      <c r="Q3200" s="7" t="str">
        <f t="shared" si="148"/>
        <v>(2018,25,'2018.06.23',21,32,61,65,77,0),</v>
      </c>
      <c r="R3200" s="7" t="str">
        <f t="shared" si="150"/>
        <v>(2018,25,'2018.06.23',21,32,61,65,77),</v>
      </c>
    </row>
    <row r="3201" spans="1:18" x14ac:dyDescent="0.25">
      <c r="A3201" s="7" t="s">
        <v>633</v>
      </c>
      <c r="B3201" s="8" t="s">
        <v>74</v>
      </c>
      <c r="C3201" s="10">
        <f t="shared" si="149"/>
        <v>43281</v>
      </c>
      <c r="D3201" t="s">
        <v>11</v>
      </c>
      <c r="E3201" t="s">
        <v>12</v>
      </c>
      <c r="F3201" t="s">
        <v>126</v>
      </c>
      <c r="G3201" t="s">
        <v>1160</v>
      </c>
      <c r="H3201" t="s">
        <v>1161</v>
      </c>
      <c r="I3201" t="s">
        <v>1162</v>
      </c>
      <c r="J3201" t="s">
        <v>1163</v>
      </c>
      <c r="K3201" t="s">
        <v>954</v>
      </c>
      <c r="L3201" s="12" t="s">
        <v>55</v>
      </c>
      <c r="M3201" s="12" t="s">
        <v>13</v>
      </c>
      <c r="N3201" s="12" t="s">
        <v>45</v>
      </c>
      <c r="O3201" s="12" t="s">
        <v>91</v>
      </c>
      <c r="P3201" s="12" t="s">
        <v>106</v>
      </c>
      <c r="Q3201" s="7" t="str">
        <f t="shared" si="148"/>
        <v>(2018,26,'2018.06.30',19,41,43,61,75,0),</v>
      </c>
      <c r="R3201" s="7" t="str">
        <f t="shared" si="150"/>
        <v>(2018,26,'2018.06.30',19,41,43,61,75),</v>
      </c>
    </row>
    <row r="3202" spans="1:18" x14ac:dyDescent="0.25">
      <c r="A3202" s="7" t="s">
        <v>633</v>
      </c>
      <c r="B3202" s="8" t="s">
        <v>135</v>
      </c>
      <c r="C3202" s="10">
        <f t="shared" si="149"/>
        <v>43288</v>
      </c>
      <c r="D3202" t="s">
        <v>11</v>
      </c>
      <c r="E3202" t="s">
        <v>12</v>
      </c>
      <c r="F3202" t="s">
        <v>45</v>
      </c>
      <c r="G3202" t="s">
        <v>1156</v>
      </c>
      <c r="H3202" t="s">
        <v>1157</v>
      </c>
      <c r="I3202" t="s">
        <v>1158</v>
      </c>
      <c r="J3202" t="s">
        <v>1159</v>
      </c>
      <c r="K3202" t="s">
        <v>1068</v>
      </c>
      <c r="L3202" s="12" t="s">
        <v>168</v>
      </c>
      <c r="M3202" s="12" t="s">
        <v>90</v>
      </c>
      <c r="N3202" s="12" t="s">
        <v>192</v>
      </c>
      <c r="O3202" s="12" t="s">
        <v>63</v>
      </c>
      <c r="P3202" s="12" t="s">
        <v>125</v>
      </c>
      <c r="Q3202" s="7" t="str">
        <f t="shared" ref="Q3202:Q3265" si="151">"("&amp;A3202&amp;","&amp;B3202&amp;",'"&amp;TEXT(C3202,"éééé.hh.nn")&amp;"',"&amp;L3202&amp;","&amp;M3202&amp;","&amp;N3202&amp;","&amp;O3202&amp;","&amp;P3202&amp;",0)"&amp;IF(P3203&lt;&gt;0,",","")</f>
        <v>(2018,27,'2018.07.07',4,17,46,78,83,0),</v>
      </c>
      <c r="R3202" s="7" t="str">
        <f t="shared" si="150"/>
        <v>(2018,27,'2018.07.07',4,17,46,78,83),</v>
      </c>
    </row>
    <row r="3203" spans="1:18" x14ac:dyDescent="0.25">
      <c r="A3203" s="7" t="s">
        <v>633</v>
      </c>
      <c r="B3203" s="8" t="s">
        <v>126</v>
      </c>
      <c r="C3203" s="10">
        <f t="shared" ref="C3203:C3266" si="152">+C3202+7</f>
        <v>43295</v>
      </c>
      <c r="D3203" t="s">
        <v>11</v>
      </c>
      <c r="E3203" t="s">
        <v>12</v>
      </c>
      <c r="F3203" t="s">
        <v>233</v>
      </c>
      <c r="G3203" t="s">
        <v>1152</v>
      </c>
      <c r="H3203" t="s">
        <v>1153</v>
      </c>
      <c r="I3203" t="s">
        <v>1154</v>
      </c>
      <c r="J3203" t="s">
        <v>1155</v>
      </c>
      <c r="K3203" t="s">
        <v>1044</v>
      </c>
      <c r="L3203" s="12" t="s">
        <v>168</v>
      </c>
      <c r="M3203" s="12" t="s">
        <v>31</v>
      </c>
      <c r="N3203" s="12" t="s">
        <v>33</v>
      </c>
      <c r="O3203" s="12" t="s">
        <v>92</v>
      </c>
      <c r="P3203" s="12" t="s">
        <v>246</v>
      </c>
      <c r="Q3203" s="7" t="str">
        <f t="shared" si="151"/>
        <v>(2018,28,'2018.07.14',4,12,24,68,84,0),</v>
      </c>
      <c r="R3203" s="7" t="str">
        <f t="shared" ref="R3203:R3266" si="153">IF(TRIM(P3203)="","","("&amp;A3203&amp;","&amp;B3203&amp;",'"&amp;TEXT(C3203,"éééé.hh.nn")&amp;"',"&amp;L3203&amp;","&amp;M3203&amp;","&amp;N3203&amp;","&amp;O3203&amp;","&amp;P3203&amp;")"&amp;IF(P3204=0,";",","))</f>
        <v>(2018,28,'2018.07.14',4,12,24,68,84),</v>
      </c>
    </row>
    <row r="3204" spans="1:18" x14ac:dyDescent="0.25">
      <c r="A3204" s="7" t="s">
        <v>633</v>
      </c>
      <c r="B3204" s="8" t="s">
        <v>116</v>
      </c>
      <c r="C3204" s="10">
        <f t="shared" si="152"/>
        <v>43302</v>
      </c>
      <c r="D3204" t="s">
        <v>11</v>
      </c>
      <c r="E3204" t="s">
        <v>12</v>
      </c>
      <c r="F3204" t="s">
        <v>74</v>
      </c>
      <c r="G3204" t="s">
        <v>1148</v>
      </c>
      <c r="H3204" t="s">
        <v>1149</v>
      </c>
      <c r="I3204" t="s">
        <v>1150</v>
      </c>
      <c r="J3204" t="s">
        <v>1151</v>
      </c>
      <c r="K3204" t="s">
        <v>1044</v>
      </c>
      <c r="L3204" s="12" t="s">
        <v>62</v>
      </c>
      <c r="M3204" s="12" t="s">
        <v>65</v>
      </c>
      <c r="N3204" s="12" t="s">
        <v>54</v>
      </c>
      <c r="O3204" s="12" t="s">
        <v>71</v>
      </c>
      <c r="P3204" s="12" t="s">
        <v>36</v>
      </c>
      <c r="Q3204" s="7" t="str">
        <f t="shared" si="151"/>
        <v>(2018,29,'2018.07.21',10,13,15,31,38,0),</v>
      </c>
      <c r="R3204" s="7" t="str">
        <f t="shared" si="153"/>
        <v>(2018,29,'2018.07.21',10,13,15,31,38),</v>
      </c>
    </row>
    <row r="3205" spans="1:18" x14ac:dyDescent="0.25">
      <c r="A3205" s="7" t="s">
        <v>633</v>
      </c>
      <c r="B3205" s="8" t="s">
        <v>107</v>
      </c>
      <c r="C3205" s="10">
        <f t="shared" si="152"/>
        <v>43309</v>
      </c>
      <c r="D3205" t="s">
        <v>11</v>
      </c>
      <c r="E3205" t="s">
        <v>12</v>
      </c>
      <c r="F3205" t="s">
        <v>127</v>
      </c>
      <c r="G3205" t="s">
        <v>1144</v>
      </c>
      <c r="H3205" t="s">
        <v>1145</v>
      </c>
      <c r="I3205" t="s">
        <v>1146</v>
      </c>
      <c r="J3205" t="s">
        <v>1147</v>
      </c>
      <c r="K3205" t="s">
        <v>360</v>
      </c>
      <c r="L3205" s="12" t="s">
        <v>108</v>
      </c>
      <c r="M3205" s="12" t="s">
        <v>98</v>
      </c>
      <c r="N3205" s="12" t="s">
        <v>22</v>
      </c>
      <c r="O3205" s="12" t="s">
        <v>308</v>
      </c>
      <c r="P3205" s="12" t="s">
        <v>208</v>
      </c>
      <c r="Q3205" s="7" t="str">
        <f t="shared" si="151"/>
        <v>(2018,30,'2018.07.28',1,42,48,86,88,0),</v>
      </c>
      <c r="R3205" s="7" t="str">
        <f t="shared" si="153"/>
        <v>(2018,30,'2018.07.28',1,42,48,86,88),</v>
      </c>
    </row>
    <row r="3206" spans="1:18" x14ac:dyDescent="0.25">
      <c r="A3206" s="7" t="s">
        <v>633</v>
      </c>
      <c r="B3206" s="8" t="s">
        <v>71</v>
      </c>
      <c r="C3206" s="10">
        <f t="shared" si="152"/>
        <v>43316</v>
      </c>
      <c r="D3206" t="s">
        <v>11</v>
      </c>
      <c r="E3206" t="s">
        <v>12</v>
      </c>
      <c r="F3206" t="s">
        <v>134</v>
      </c>
      <c r="G3206" t="s">
        <v>1141</v>
      </c>
      <c r="H3206" t="s">
        <v>1134</v>
      </c>
      <c r="I3206" t="s">
        <v>1142</v>
      </c>
      <c r="J3206" t="s">
        <v>1143</v>
      </c>
      <c r="K3206" t="s">
        <v>433</v>
      </c>
      <c r="L3206" s="12" t="s">
        <v>168</v>
      </c>
      <c r="M3206" s="12" t="s">
        <v>135</v>
      </c>
      <c r="N3206" s="12" t="s">
        <v>107</v>
      </c>
      <c r="O3206" s="12" t="s">
        <v>13</v>
      </c>
      <c r="P3206" s="12" t="s">
        <v>134</v>
      </c>
      <c r="Q3206" s="7" t="str">
        <f t="shared" si="151"/>
        <v>(2018,31,'2018.08.04',4,27,30,41,56,0),</v>
      </c>
      <c r="R3206" s="7" t="str">
        <f t="shared" si="153"/>
        <v>(2018,31,'2018.08.04',4,27,30,41,56),</v>
      </c>
    </row>
    <row r="3207" spans="1:18" x14ac:dyDescent="0.25">
      <c r="A3207" s="7" t="s">
        <v>633</v>
      </c>
      <c r="B3207" s="8" t="s">
        <v>80</v>
      </c>
      <c r="C3207" s="10">
        <f t="shared" si="152"/>
        <v>43323</v>
      </c>
      <c r="D3207" t="s">
        <v>11</v>
      </c>
      <c r="E3207" t="s">
        <v>12</v>
      </c>
      <c r="F3207" t="s">
        <v>91</v>
      </c>
      <c r="G3207" t="s">
        <v>1137</v>
      </c>
      <c r="H3207" t="s">
        <v>1138</v>
      </c>
      <c r="I3207" t="s">
        <v>1139</v>
      </c>
      <c r="J3207" t="s">
        <v>1140</v>
      </c>
      <c r="K3207" t="s">
        <v>497</v>
      </c>
      <c r="L3207" s="12" t="s">
        <v>90</v>
      </c>
      <c r="M3207" s="12" t="s">
        <v>46</v>
      </c>
      <c r="N3207" s="12" t="s">
        <v>45</v>
      </c>
      <c r="O3207" s="12" t="s">
        <v>233</v>
      </c>
      <c r="P3207" s="12" t="s">
        <v>92</v>
      </c>
      <c r="Q3207" s="7" t="str">
        <f t="shared" si="151"/>
        <v>(2018,32,'2018.08.11',17,37,43,66,68,0),</v>
      </c>
      <c r="R3207" s="7" t="str">
        <f t="shared" si="153"/>
        <v>(2018,32,'2018.08.11',17,37,43,66,68),</v>
      </c>
    </row>
    <row r="3208" spans="1:18" x14ac:dyDescent="0.25">
      <c r="A3208" s="7" t="s">
        <v>633</v>
      </c>
      <c r="B3208" s="8" t="s">
        <v>20</v>
      </c>
      <c r="C3208" s="10">
        <f t="shared" si="152"/>
        <v>43330</v>
      </c>
      <c r="D3208" t="s">
        <v>11</v>
      </c>
      <c r="E3208" t="s">
        <v>12</v>
      </c>
      <c r="F3208" t="s">
        <v>64</v>
      </c>
      <c r="G3208" t="s">
        <v>1133</v>
      </c>
      <c r="H3208" t="s">
        <v>1134</v>
      </c>
      <c r="I3208" t="s">
        <v>1135</v>
      </c>
      <c r="J3208" t="s">
        <v>1136</v>
      </c>
      <c r="K3208" t="s">
        <v>575</v>
      </c>
      <c r="L3208" s="12" t="s">
        <v>53</v>
      </c>
      <c r="M3208" s="12" t="s">
        <v>135</v>
      </c>
      <c r="N3208" s="12" t="s">
        <v>98</v>
      </c>
      <c r="O3208" s="12" t="s">
        <v>233</v>
      </c>
      <c r="P3208" s="12" t="s">
        <v>301</v>
      </c>
      <c r="Q3208" s="7" t="str">
        <f t="shared" si="151"/>
        <v>(2018,33,'2018.08.18',7,27,42,66,80,0),</v>
      </c>
      <c r="R3208" s="7" t="str">
        <f t="shared" si="153"/>
        <v>(2018,33,'2018.08.18',7,27,42,66,80),</v>
      </c>
    </row>
    <row r="3209" spans="1:18" x14ac:dyDescent="0.25">
      <c r="A3209" s="7" t="s">
        <v>633</v>
      </c>
      <c r="B3209" s="8" t="s">
        <v>25</v>
      </c>
      <c r="C3209" s="10">
        <f t="shared" si="152"/>
        <v>43337</v>
      </c>
      <c r="D3209" t="s">
        <v>11</v>
      </c>
      <c r="E3209" t="s">
        <v>12</v>
      </c>
      <c r="F3209" t="s">
        <v>54</v>
      </c>
      <c r="G3209" t="s">
        <v>1128</v>
      </c>
      <c r="H3209" t="s">
        <v>1129</v>
      </c>
      <c r="I3209" t="s">
        <v>1130</v>
      </c>
      <c r="J3209" t="s">
        <v>1131</v>
      </c>
      <c r="K3209" t="s">
        <v>1132</v>
      </c>
      <c r="L3209" s="12" t="s">
        <v>126</v>
      </c>
      <c r="M3209" s="12" t="s">
        <v>116</v>
      </c>
      <c r="N3209" s="12" t="s">
        <v>22</v>
      </c>
      <c r="O3209" s="12" t="s">
        <v>35</v>
      </c>
      <c r="P3209" s="12" t="s">
        <v>308</v>
      </c>
      <c r="Q3209" s="7" t="str">
        <f t="shared" si="151"/>
        <v>(2018,34,'2018.08.25',28,29,48,65,86,0),</v>
      </c>
      <c r="R3209" s="7" t="str">
        <f t="shared" si="153"/>
        <v>(2018,34,'2018.08.25',28,29,48,65,86),</v>
      </c>
    </row>
    <row r="3210" spans="1:18" x14ac:dyDescent="0.25">
      <c r="A3210" s="7" t="s">
        <v>633</v>
      </c>
      <c r="B3210" s="8" t="s">
        <v>64</v>
      </c>
      <c r="C3210" s="10">
        <f t="shared" si="152"/>
        <v>43344</v>
      </c>
      <c r="D3210" t="s">
        <v>11</v>
      </c>
      <c r="E3210" t="s">
        <v>12</v>
      </c>
      <c r="F3210" t="s">
        <v>36</v>
      </c>
      <c r="G3210" t="s">
        <v>1124</v>
      </c>
      <c r="H3210" t="s">
        <v>1125</v>
      </c>
      <c r="I3210" t="s">
        <v>1126</v>
      </c>
      <c r="J3210" t="s">
        <v>1127</v>
      </c>
      <c r="K3210" t="s">
        <v>61</v>
      </c>
      <c r="L3210" s="12" t="s">
        <v>168</v>
      </c>
      <c r="M3210" s="12" t="s">
        <v>31</v>
      </c>
      <c r="N3210" s="12" t="s">
        <v>71</v>
      </c>
      <c r="O3210" s="12" t="s">
        <v>82</v>
      </c>
      <c r="P3210" s="12" t="s">
        <v>91</v>
      </c>
      <c r="Q3210" s="7" t="str">
        <f t="shared" si="151"/>
        <v>(2018,35,'2018.09.01',4,12,31,59,61,0),</v>
      </c>
      <c r="R3210" s="7" t="str">
        <f t="shared" si="153"/>
        <v>(2018,35,'2018.09.01',4,12,31,59,61),</v>
      </c>
    </row>
    <row r="3211" spans="1:18" x14ac:dyDescent="0.25">
      <c r="A3211" s="7" t="s">
        <v>633</v>
      </c>
      <c r="B3211" s="8" t="s">
        <v>21</v>
      </c>
      <c r="C3211" s="10">
        <f t="shared" si="152"/>
        <v>43351</v>
      </c>
      <c r="D3211" t="s">
        <v>11</v>
      </c>
      <c r="E3211" t="s">
        <v>12</v>
      </c>
      <c r="F3211" t="s">
        <v>175</v>
      </c>
      <c r="G3211" t="s">
        <v>1119</v>
      </c>
      <c r="H3211" t="s">
        <v>1120</v>
      </c>
      <c r="I3211" t="s">
        <v>1121</v>
      </c>
      <c r="J3211" t="s">
        <v>1122</v>
      </c>
      <c r="K3211" t="s">
        <v>1123</v>
      </c>
      <c r="L3211" s="12" t="s">
        <v>108</v>
      </c>
      <c r="M3211" s="12" t="s">
        <v>42</v>
      </c>
      <c r="N3211" s="12" t="s">
        <v>45</v>
      </c>
      <c r="O3211" s="12" t="s">
        <v>72</v>
      </c>
      <c r="P3211" s="12" t="s">
        <v>92</v>
      </c>
      <c r="Q3211" s="7" t="str">
        <f t="shared" si="151"/>
        <v>(2018,36,'2018.09.08',1,3,43,67,68,0),</v>
      </c>
      <c r="R3211" s="7" t="str">
        <f t="shared" si="153"/>
        <v>(2018,36,'2018.09.08',1,3,43,67,68),</v>
      </c>
    </row>
    <row r="3212" spans="1:18" x14ac:dyDescent="0.25">
      <c r="A3212" s="7" t="s">
        <v>633</v>
      </c>
      <c r="B3212" s="8" t="s">
        <v>46</v>
      </c>
      <c r="C3212" s="10">
        <f t="shared" si="152"/>
        <v>43358</v>
      </c>
      <c r="D3212" t="s">
        <v>11</v>
      </c>
      <c r="E3212" t="s">
        <v>12</v>
      </c>
      <c r="F3212" t="s">
        <v>25</v>
      </c>
      <c r="G3212" t="s">
        <v>1114</v>
      </c>
      <c r="H3212" t="s">
        <v>1115</v>
      </c>
      <c r="I3212" t="s">
        <v>1116</v>
      </c>
      <c r="J3212" t="s">
        <v>1117</v>
      </c>
      <c r="K3212" t="s">
        <v>1118</v>
      </c>
      <c r="L3212" s="12" t="s">
        <v>127</v>
      </c>
      <c r="M3212" s="12" t="s">
        <v>126</v>
      </c>
      <c r="N3212" s="12" t="s">
        <v>107</v>
      </c>
      <c r="O3212" s="12" t="s">
        <v>99</v>
      </c>
      <c r="P3212" s="12" t="s">
        <v>246</v>
      </c>
      <c r="Q3212" s="7" t="str">
        <f t="shared" si="151"/>
        <v>(2018,37,'2018.09.15',14,28,30,52,84,0),</v>
      </c>
      <c r="R3212" s="7" t="str">
        <f t="shared" si="153"/>
        <v>(2018,37,'2018.09.15',14,28,30,52,84),</v>
      </c>
    </row>
    <row r="3213" spans="1:18" x14ac:dyDescent="0.25">
      <c r="A3213" s="7" t="s">
        <v>633</v>
      </c>
      <c r="B3213" s="8" t="s">
        <v>36</v>
      </c>
      <c r="C3213" s="10">
        <f t="shared" si="152"/>
        <v>43365</v>
      </c>
      <c r="D3213" t="s">
        <v>108</v>
      </c>
      <c r="E3213" t="s">
        <v>1108</v>
      </c>
      <c r="F3213" t="s">
        <v>152</v>
      </c>
      <c r="G3213" t="s">
        <v>1109</v>
      </c>
      <c r="H3213" t="s">
        <v>1110</v>
      </c>
      <c r="I3213" t="s">
        <v>1111</v>
      </c>
      <c r="J3213" t="s">
        <v>1112</v>
      </c>
      <c r="K3213" t="s">
        <v>1113</v>
      </c>
      <c r="L3213" s="12" t="s">
        <v>36</v>
      </c>
      <c r="M3213" s="12" t="s">
        <v>45</v>
      </c>
      <c r="N3213" s="12" t="s">
        <v>22</v>
      </c>
      <c r="O3213" s="12" t="s">
        <v>199</v>
      </c>
      <c r="P3213" s="12" t="s">
        <v>47</v>
      </c>
      <c r="Q3213" s="7" t="str">
        <f t="shared" si="151"/>
        <v>(2018,38,'2018.09.22',38,43,48,53,69,0),</v>
      </c>
      <c r="R3213" s="7" t="str">
        <f t="shared" si="153"/>
        <v>(2018,38,'2018.09.22',38,43,48,53,69),</v>
      </c>
    </row>
    <row r="3214" spans="1:18" x14ac:dyDescent="0.25">
      <c r="A3214" s="7" t="s">
        <v>633</v>
      </c>
      <c r="B3214" s="8" t="s">
        <v>24</v>
      </c>
      <c r="C3214" s="10">
        <f t="shared" si="152"/>
        <v>43372</v>
      </c>
      <c r="D3214" t="s">
        <v>11</v>
      </c>
      <c r="E3214" t="s">
        <v>12</v>
      </c>
      <c r="F3214" t="s">
        <v>34</v>
      </c>
      <c r="G3214" t="s">
        <v>1105</v>
      </c>
      <c r="H3214" t="s">
        <v>1106</v>
      </c>
      <c r="I3214" t="s">
        <v>1103</v>
      </c>
      <c r="J3214" t="s">
        <v>1107</v>
      </c>
      <c r="K3214" t="s">
        <v>1044</v>
      </c>
      <c r="L3214" s="12" t="s">
        <v>65</v>
      </c>
      <c r="M3214" s="12" t="s">
        <v>152</v>
      </c>
      <c r="N3214" s="12" t="s">
        <v>64</v>
      </c>
      <c r="O3214" s="12" t="s">
        <v>24</v>
      </c>
      <c r="P3214" s="12" t="s">
        <v>142</v>
      </c>
      <c r="Q3214" s="7" t="str">
        <f t="shared" si="151"/>
        <v>(2018,39,'2018.09.29',13,25,35,39,44,0),</v>
      </c>
      <c r="R3214" s="7" t="str">
        <f t="shared" si="153"/>
        <v>(2018,39,'2018.09.29',13,25,35,39,44),</v>
      </c>
    </row>
    <row r="3215" spans="1:18" x14ac:dyDescent="0.25">
      <c r="A3215" s="7" t="s">
        <v>633</v>
      </c>
      <c r="B3215" s="8" t="s">
        <v>10</v>
      </c>
      <c r="C3215" s="10">
        <f t="shared" si="152"/>
        <v>43379</v>
      </c>
      <c r="D3215" t="s">
        <v>11</v>
      </c>
      <c r="E3215" t="s">
        <v>12</v>
      </c>
      <c r="F3215" t="s">
        <v>21</v>
      </c>
      <c r="G3215" t="s">
        <v>1101</v>
      </c>
      <c r="H3215" t="s">
        <v>1102</v>
      </c>
      <c r="I3215" t="s">
        <v>1103</v>
      </c>
      <c r="J3215" t="s">
        <v>1104</v>
      </c>
      <c r="K3215" t="s">
        <v>1039</v>
      </c>
      <c r="L3215" s="12" t="s">
        <v>270</v>
      </c>
      <c r="M3215" s="12" t="s">
        <v>32</v>
      </c>
      <c r="N3215" s="12" t="s">
        <v>126</v>
      </c>
      <c r="O3215" s="12" t="s">
        <v>98</v>
      </c>
      <c r="P3215" s="12" t="s">
        <v>34</v>
      </c>
      <c r="Q3215" s="7" t="str">
        <f t="shared" si="151"/>
        <v>(2018,40,'2018.10.06',6,22,28,42,49,0),</v>
      </c>
      <c r="R3215" s="7" t="str">
        <f t="shared" si="153"/>
        <v>(2018,40,'2018.10.06',6,22,28,42,49),</v>
      </c>
    </row>
    <row r="3216" spans="1:18" x14ac:dyDescent="0.25">
      <c r="A3216" s="7" t="s">
        <v>633</v>
      </c>
      <c r="B3216" s="8" t="s">
        <v>13</v>
      </c>
      <c r="C3216" s="10">
        <f t="shared" si="152"/>
        <v>43386</v>
      </c>
      <c r="D3216" t="s">
        <v>11</v>
      </c>
      <c r="E3216" t="s">
        <v>12</v>
      </c>
      <c r="F3216" t="s">
        <v>98</v>
      </c>
      <c r="G3216" t="s">
        <v>1096</v>
      </c>
      <c r="H3216" t="s">
        <v>1097</v>
      </c>
      <c r="I3216" t="s">
        <v>1098</v>
      </c>
      <c r="J3216" t="s">
        <v>1099</v>
      </c>
      <c r="K3216" t="s">
        <v>1100</v>
      </c>
      <c r="L3216" s="12" t="s">
        <v>198</v>
      </c>
      <c r="M3216" s="12" t="s">
        <v>115</v>
      </c>
      <c r="N3216" s="12" t="s">
        <v>142</v>
      </c>
      <c r="O3216" s="12" t="s">
        <v>105</v>
      </c>
      <c r="P3216" s="12" t="s">
        <v>200</v>
      </c>
      <c r="Q3216" s="7" t="str">
        <f t="shared" si="151"/>
        <v>(2018,41,'2018.10.13',9,20,44,50,70,0),</v>
      </c>
      <c r="R3216" s="7" t="str">
        <f t="shared" si="153"/>
        <v>(2018,41,'2018.10.13',9,20,44,50,70),</v>
      </c>
    </row>
    <row r="3217" spans="1:18" x14ac:dyDescent="0.25">
      <c r="A3217" s="7" t="s">
        <v>633</v>
      </c>
      <c r="B3217" s="8" t="s">
        <v>98</v>
      </c>
      <c r="C3217" s="10">
        <f t="shared" si="152"/>
        <v>43393</v>
      </c>
      <c r="D3217" t="s">
        <v>11</v>
      </c>
      <c r="E3217" t="s">
        <v>12</v>
      </c>
      <c r="F3217" t="s">
        <v>208</v>
      </c>
      <c r="G3217" t="s">
        <v>1091</v>
      </c>
      <c r="H3217" t="s">
        <v>1092</v>
      </c>
      <c r="I3217" t="s">
        <v>1093</v>
      </c>
      <c r="J3217" t="s">
        <v>1094</v>
      </c>
      <c r="K3217" t="s">
        <v>1095</v>
      </c>
      <c r="L3217" s="12" t="s">
        <v>198</v>
      </c>
      <c r="M3217" s="12" t="s">
        <v>65</v>
      </c>
      <c r="N3217" s="12" t="s">
        <v>135</v>
      </c>
      <c r="O3217" s="12" t="s">
        <v>215</v>
      </c>
      <c r="P3217" s="12" t="s">
        <v>269</v>
      </c>
      <c r="Q3217" s="7" t="str">
        <f t="shared" si="151"/>
        <v>(2018,42,'2018.10.20',9,13,27,81,87,0),</v>
      </c>
      <c r="R3217" s="7" t="str">
        <f t="shared" si="153"/>
        <v>(2018,42,'2018.10.20',9,13,27,81,87),</v>
      </c>
    </row>
    <row r="3218" spans="1:18" x14ac:dyDescent="0.25">
      <c r="A3218" s="7" t="s">
        <v>633</v>
      </c>
      <c r="B3218" s="8" t="s">
        <v>45</v>
      </c>
      <c r="C3218" s="10">
        <f t="shared" si="152"/>
        <v>43400</v>
      </c>
      <c r="D3218" t="s">
        <v>11</v>
      </c>
      <c r="E3218" t="s">
        <v>12</v>
      </c>
      <c r="F3218" t="s">
        <v>13</v>
      </c>
      <c r="G3218" t="s">
        <v>1086</v>
      </c>
      <c r="H3218" t="s">
        <v>1087</v>
      </c>
      <c r="I3218" t="s">
        <v>1088</v>
      </c>
      <c r="J3218" t="s">
        <v>1089</v>
      </c>
      <c r="K3218" t="s">
        <v>1090</v>
      </c>
      <c r="L3218" s="12" t="s">
        <v>42</v>
      </c>
      <c r="M3218" s="12" t="s">
        <v>232</v>
      </c>
      <c r="N3218" s="12" t="s">
        <v>34</v>
      </c>
      <c r="O3218" s="12" t="s">
        <v>92</v>
      </c>
      <c r="P3218" s="12" t="s">
        <v>73</v>
      </c>
      <c r="Q3218" s="7" t="str">
        <f t="shared" si="151"/>
        <v>(2018,43,'2018.10.27',3,8,49,68,76,0),</v>
      </c>
      <c r="R3218" s="7" t="str">
        <f t="shared" si="153"/>
        <v>(2018,43,'2018.10.27',3,8,49,68,76),</v>
      </c>
    </row>
    <row r="3219" spans="1:18" x14ac:dyDescent="0.25">
      <c r="A3219" s="7" t="s">
        <v>633</v>
      </c>
      <c r="B3219" s="8" t="s">
        <v>142</v>
      </c>
      <c r="C3219" s="10">
        <f t="shared" si="152"/>
        <v>43407</v>
      </c>
      <c r="D3219" t="s">
        <v>11</v>
      </c>
      <c r="E3219" t="s">
        <v>12</v>
      </c>
      <c r="F3219" t="s">
        <v>53</v>
      </c>
      <c r="G3219" t="s">
        <v>1082</v>
      </c>
      <c r="H3219" t="s">
        <v>1083</v>
      </c>
      <c r="I3219" t="s">
        <v>1084</v>
      </c>
      <c r="J3219" t="s">
        <v>1085</v>
      </c>
      <c r="K3219" t="s">
        <v>811</v>
      </c>
      <c r="L3219" s="12" t="s">
        <v>54</v>
      </c>
      <c r="M3219" s="12" t="s">
        <v>200</v>
      </c>
      <c r="N3219" s="12" t="s">
        <v>73</v>
      </c>
      <c r="O3219" s="12" t="s">
        <v>143</v>
      </c>
      <c r="P3219" s="12" t="s">
        <v>269</v>
      </c>
      <c r="Q3219" s="7" t="str">
        <f t="shared" si="151"/>
        <v>(2018,44,'2018.11.03',15,70,76,77,87,0),</v>
      </c>
      <c r="R3219" s="7" t="str">
        <f t="shared" si="153"/>
        <v>(2018,44,'2018.11.03',15,70,76,77,87),</v>
      </c>
    </row>
    <row r="3220" spans="1:18" x14ac:dyDescent="0.25">
      <c r="A3220" s="7" t="s">
        <v>633</v>
      </c>
      <c r="B3220" s="8" t="s">
        <v>133</v>
      </c>
      <c r="C3220" s="10">
        <f t="shared" si="152"/>
        <v>43414</v>
      </c>
      <c r="D3220" t="s">
        <v>11</v>
      </c>
      <c r="E3220" t="s">
        <v>12</v>
      </c>
      <c r="F3220" t="s">
        <v>33</v>
      </c>
      <c r="G3220" t="s">
        <v>1077</v>
      </c>
      <c r="H3220" t="s">
        <v>1078</v>
      </c>
      <c r="I3220" t="s">
        <v>1079</v>
      </c>
      <c r="J3220" t="s">
        <v>1080</v>
      </c>
      <c r="K3220" t="s">
        <v>1081</v>
      </c>
      <c r="L3220" s="12" t="s">
        <v>54</v>
      </c>
      <c r="M3220" s="12" t="s">
        <v>19</v>
      </c>
      <c r="N3220" s="12" t="s">
        <v>32</v>
      </c>
      <c r="O3220" s="12" t="s">
        <v>20</v>
      </c>
      <c r="P3220" s="12" t="s">
        <v>186</v>
      </c>
      <c r="Q3220" s="7" t="str">
        <f t="shared" si="151"/>
        <v>(2018,45,'2018.11.10',15,18,22,33,90,0),</v>
      </c>
      <c r="R3220" s="7" t="str">
        <f t="shared" si="153"/>
        <v>(2018,45,'2018.11.10',15,18,22,33,90),</v>
      </c>
    </row>
    <row r="3221" spans="1:18" x14ac:dyDescent="0.25">
      <c r="A3221" s="7" t="s">
        <v>633</v>
      </c>
      <c r="B3221" s="8" t="s">
        <v>192</v>
      </c>
      <c r="C3221" s="10">
        <f t="shared" si="152"/>
        <v>43421</v>
      </c>
      <c r="D3221" t="s">
        <v>11</v>
      </c>
      <c r="E3221" t="s">
        <v>12</v>
      </c>
      <c r="F3221" t="s">
        <v>44</v>
      </c>
      <c r="G3221" t="s">
        <v>1073</v>
      </c>
      <c r="H3221" t="s">
        <v>1074</v>
      </c>
      <c r="I3221" t="s">
        <v>1075</v>
      </c>
      <c r="J3221" t="s">
        <v>1076</v>
      </c>
      <c r="K3221" t="s">
        <v>253</v>
      </c>
      <c r="L3221" s="12" t="s">
        <v>42</v>
      </c>
      <c r="M3221" s="12" t="s">
        <v>214</v>
      </c>
      <c r="N3221" s="12" t="s">
        <v>239</v>
      </c>
      <c r="O3221" s="12" t="s">
        <v>63</v>
      </c>
      <c r="P3221" s="12" t="s">
        <v>246</v>
      </c>
      <c r="Q3221" s="7" t="str">
        <f t="shared" si="151"/>
        <v>(2018,46,'2018.11.17',3,64,73,78,84,0),</v>
      </c>
      <c r="R3221" s="7" t="str">
        <f t="shared" si="153"/>
        <v>(2018,46,'2018.11.17',3,64,73,78,84),</v>
      </c>
    </row>
    <row r="3222" spans="1:18" x14ac:dyDescent="0.25">
      <c r="A3222" s="7" t="s">
        <v>633</v>
      </c>
      <c r="B3222" s="8" t="s">
        <v>81</v>
      </c>
      <c r="C3222" s="10">
        <f t="shared" si="152"/>
        <v>43428</v>
      </c>
      <c r="D3222" t="s">
        <v>11</v>
      </c>
      <c r="E3222" t="s">
        <v>12</v>
      </c>
      <c r="F3222" t="s">
        <v>192</v>
      </c>
      <c r="G3222" t="s">
        <v>1069</v>
      </c>
      <c r="H3222" t="s">
        <v>1070</v>
      </c>
      <c r="I3222" t="s">
        <v>1071</v>
      </c>
      <c r="J3222" t="s">
        <v>1072</v>
      </c>
      <c r="K3222" t="s">
        <v>789</v>
      </c>
      <c r="L3222" s="12" t="s">
        <v>31</v>
      </c>
      <c r="M3222" s="12" t="s">
        <v>55</v>
      </c>
      <c r="N3222" s="12" t="s">
        <v>115</v>
      </c>
      <c r="O3222" s="12" t="s">
        <v>45</v>
      </c>
      <c r="P3222" s="12" t="s">
        <v>91</v>
      </c>
      <c r="Q3222" s="7" t="str">
        <f t="shared" si="151"/>
        <v>(2018,47,'2018.11.24',12,19,20,43,61,0),</v>
      </c>
      <c r="R3222" s="7" t="str">
        <f t="shared" si="153"/>
        <v>(2018,47,'2018.11.24',12,19,20,43,61),</v>
      </c>
    </row>
    <row r="3223" spans="1:18" x14ac:dyDescent="0.25">
      <c r="A3223" s="7" t="s">
        <v>633</v>
      </c>
      <c r="B3223" s="8" t="s">
        <v>22</v>
      </c>
      <c r="C3223" s="10">
        <f t="shared" si="152"/>
        <v>43435</v>
      </c>
      <c r="D3223" t="s">
        <v>11</v>
      </c>
      <c r="E3223" t="s">
        <v>12</v>
      </c>
      <c r="F3223" t="s">
        <v>46</v>
      </c>
      <c r="G3223" t="s">
        <v>1064</v>
      </c>
      <c r="H3223" t="s">
        <v>1065</v>
      </c>
      <c r="I3223" t="s">
        <v>1066</v>
      </c>
      <c r="J3223" t="s">
        <v>1067</v>
      </c>
      <c r="K3223" t="s">
        <v>1068</v>
      </c>
      <c r="L3223" s="12" t="s">
        <v>33</v>
      </c>
      <c r="M3223" s="12" t="s">
        <v>133</v>
      </c>
      <c r="N3223" s="12" t="s">
        <v>123</v>
      </c>
      <c r="O3223" s="12" t="s">
        <v>35</v>
      </c>
      <c r="P3223" s="12" t="s">
        <v>73</v>
      </c>
      <c r="Q3223" s="7" t="str">
        <f t="shared" si="151"/>
        <v>(2018,48,'2018.12.01',24,45,54,65,76,0),</v>
      </c>
      <c r="R3223" s="7" t="str">
        <f t="shared" si="153"/>
        <v>(2018,48,'2018.12.01',24,45,54,65,76),</v>
      </c>
    </row>
    <row r="3224" spans="1:18" x14ac:dyDescent="0.25">
      <c r="A3224" s="7" t="s">
        <v>633</v>
      </c>
      <c r="B3224" s="8" t="s">
        <v>34</v>
      </c>
      <c r="C3224" s="10">
        <f t="shared" si="152"/>
        <v>43442</v>
      </c>
      <c r="D3224" t="s">
        <v>11</v>
      </c>
      <c r="E3224" t="s">
        <v>12</v>
      </c>
      <c r="F3224" t="s">
        <v>107</v>
      </c>
      <c r="G3224" t="s">
        <v>1059</v>
      </c>
      <c r="H3224" t="s">
        <v>1060</v>
      </c>
      <c r="I3224" t="s">
        <v>1061</v>
      </c>
      <c r="J3224" t="s">
        <v>1062</v>
      </c>
      <c r="K3224" t="s">
        <v>1063</v>
      </c>
      <c r="L3224" s="12" t="s">
        <v>108</v>
      </c>
      <c r="M3224" s="12" t="s">
        <v>152</v>
      </c>
      <c r="N3224" s="12" t="s">
        <v>74</v>
      </c>
      <c r="O3224" s="12" t="s">
        <v>105</v>
      </c>
      <c r="P3224" s="12" t="s">
        <v>233</v>
      </c>
      <c r="Q3224" s="7" t="str">
        <f t="shared" si="151"/>
        <v>(2018,49,'2018.12.08',1,25,26,50,66,0),</v>
      </c>
      <c r="R3224" s="7" t="str">
        <f t="shared" si="153"/>
        <v>(2018,49,'2018.12.08',1,25,26,50,66),</v>
      </c>
    </row>
    <row r="3225" spans="1:18" x14ac:dyDescent="0.25">
      <c r="A3225" s="7" t="s">
        <v>633</v>
      </c>
      <c r="B3225" s="8" t="s">
        <v>105</v>
      </c>
      <c r="C3225" s="10">
        <f t="shared" si="152"/>
        <v>43449</v>
      </c>
      <c r="D3225" t="s">
        <v>11</v>
      </c>
      <c r="E3225" t="s">
        <v>12</v>
      </c>
      <c r="F3225" t="s">
        <v>215</v>
      </c>
      <c r="G3225" t="s">
        <v>1054</v>
      </c>
      <c r="H3225" t="s">
        <v>1055</v>
      </c>
      <c r="I3225" t="s">
        <v>1056</v>
      </c>
      <c r="J3225" t="s">
        <v>1057</v>
      </c>
      <c r="K3225" t="s">
        <v>1058</v>
      </c>
      <c r="L3225" s="12" t="s">
        <v>168</v>
      </c>
      <c r="M3225" s="12" t="s">
        <v>53</v>
      </c>
      <c r="N3225" s="12" t="s">
        <v>81</v>
      </c>
      <c r="O3225" s="12" t="s">
        <v>199</v>
      </c>
      <c r="P3225" s="12" t="s">
        <v>106</v>
      </c>
      <c r="Q3225" s="7" t="str">
        <f t="shared" si="151"/>
        <v>(2018,50,'2018.12.15',4,7,47,53,75,0),</v>
      </c>
      <c r="R3225" s="7" t="str">
        <f t="shared" si="153"/>
        <v>(2018,50,'2018.12.15',4,7,47,53,75),</v>
      </c>
    </row>
    <row r="3226" spans="1:18" x14ac:dyDescent="0.25">
      <c r="A3226" s="7" t="s">
        <v>633</v>
      </c>
      <c r="B3226" s="8" t="s">
        <v>122</v>
      </c>
      <c r="C3226" s="10">
        <f t="shared" si="152"/>
        <v>43456</v>
      </c>
      <c r="D3226" t="s">
        <v>11</v>
      </c>
      <c r="E3226" t="s">
        <v>12</v>
      </c>
      <c r="F3226" t="s">
        <v>135</v>
      </c>
      <c r="G3226" t="s">
        <v>1050</v>
      </c>
      <c r="H3226" t="s">
        <v>1051</v>
      </c>
      <c r="I3226" t="s">
        <v>1052</v>
      </c>
      <c r="J3226" t="s">
        <v>78</v>
      </c>
      <c r="K3226" t="s">
        <v>1053</v>
      </c>
      <c r="L3226" s="12" t="s">
        <v>43</v>
      </c>
      <c r="M3226" s="12" t="s">
        <v>74</v>
      </c>
      <c r="N3226" s="12" t="s">
        <v>126</v>
      </c>
      <c r="O3226" s="12" t="s">
        <v>192</v>
      </c>
      <c r="P3226" s="12" t="s">
        <v>34</v>
      </c>
      <c r="Q3226" s="7" t="str">
        <f t="shared" si="151"/>
        <v>(2018,51,'2018.12.22',16,26,28,46,49,0),</v>
      </c>
      <c r="R3226" s="7" t="str">
        <f t="shared" si="153"/>
        <v>(2018,51,'2018.12.22',16,26,28,46,49),</v>
      </c>
    </row>
    <row r="3227" spans="1:18" x14ac:dyDescent="0.25">
      <c r="A3227" s="7" t="s">
        <v>633</v>
      </c>
      <c r="B3227" s="8" t="s">
        <v>99</v>
      </c>
      <c r="C3227" s="10">
        <f t="shared" si="152"/>
        <v>43463</v>
      </c>
      <c r="D3227" t="s">
        <v>11</v>
      </c>
      <c r="E3227" t="s">
        <v>12</v>
      </c>
      <c r="F3227" t="s">
        <v>56</v>
      </c>
      <c r="G3227" t="s">
        <v>1045</v>
      </c>
      <c r="H3227" t="s">
        <v>1046</v>
      </c>
      <c r="I3227" t="s">
        <v>1047</v>
      </c>
      <c r="J3227" t="s">
        <v>1048</v>
      </c>
      <c r="K3227" t="s">
        <v>1049</v>
      </c>
      <c r="L3227" s="12" t="s">
        <v>42</v>
      </c>
      <c r="M3227" s="12" t="s">
        <v>19</v>
      </c>
      <c r="N3227" s="12" t="s">
        <v>45</v>
      </c>
      <c r="O3227" s="12" t="s">
        <v>175</v>
      </c>
      <c r="P3227" s="12" t="s">
        <v>245</v>
      </c>
      <c r="Q3227" s="7" t="str">
        <f t="shared" si="151"/>
        <v>(2018,52,'2018.12.29',3,18,43,55,74,0),</v>
      </c>
      <c r="R3227" s="7" t="str">
        <f t="shared" si="153"/>
        <v>(2018,52,'2018.12.29',3,18,43,55,74),</v>
      </c>
    </row>
    <row r="3228" spans="1:18" x14ac:dyDescent="0.25">
      <c r="A3228" s="7" t="s">
        <v>806</v>
      </c>
      <c r="B3228" s="8" t="s">
        <v>108</v>
      </c>
      <c r="C3228" s="10">
        <f t="shared" si="152"/>
        <v>43470</v>
      </c>
      <c r="D3228" t="s">
        <v>11</v>
      </c>
      <c r="E3228" t="s">
        <v>12</v>
      </c>
      <c r="F3228" t="s">
        <v>199</v>
      </c>
      <c r="G3228" t="s">
        <v>1040</v>
      </c>
      <c r="H3228" t="s">
        <v>1041</v>
      </c>
      <c r="I3228" t="s">
        <v>1042</v>
      </c>
      <c r="J3228" t="s">
        <v>1043</v>
      </c>
      <c r="K3228" t="s">
        <v>1044</v>
      </c>
      <c r="L3228" s="12" t="s">
        <v>168</v>
      </c>
      <c r="M3228" s="12" t="s">
        <v>232</v>
      </c>
      <c r="N3228" s="12" t="s">
        <v>152</v>
      </c>
      <c r="O3228" s="12" t="s">
        <v>150</v>
      </c>
      <c r="P3228" s="12" t="s">
        <v>35</v>
      </c>
      <c r="Q3228" s="7" t="str">
        <f t="shared" si="151"/>
        <v>(2019,1,'2019.01.05',4,8,25,57,65,0),</v>
      </c>
      <c r="R3228" s="7" t="str">
        <f t="shared" si="153"/>
        <v>(2019,1,'2019.01.05',4,8,25,57,65),</v>
      </c>
    </row>
    <row r="3229" spans="1:18" x14ac:dyDescent="0.25">
      <c r="A3229" s="7" t="s">
        <v>806</v>
      </c>
      <c r="B3229" s="8" t="s">
        <v>207</v>
      </c>
      <c r="C3229" s="10">
        <f t="shared" si="152"/>
        <v>43477</v>
      </c>
      <c r="D3229" t="s">
        <v>11</v>
      </c>
      <c r="E3229" t="s">
        <v>12</v>
      </c>
      <c r="F3229" t="s">
        <v>122</v>
      </c>
      <c r="G3229" t="s">
        <v>1035</v>
      </c>
      <c r="H3229" t="s">
        <v>1036</v>
      </c>
      <c r="I3229" t="s">
        <v>1037</v>
      </c>
      <c r="J3229" t="s">
        <v>1038</v>
      </c>
      <c r="K3229" t="s">
        <v>1039</v>
      </c>
      <c r="L3229" s="12" t="s">
        <v>89</v>
      </c>
      <c r="M3229" s="12" t="s">
        <v>53</v>
      </c>
      <c r="N3229" s="12" t="s">
        <v>21</v>
      </c>
      <c r="O3229" s="12" t="s">
        <v>73</v>
      </c>
      <c r="P3229" s="12" t="s">
        <v>622</v>
      </c>
      <c r="Q3229" s="7" t="str">
        <f t="shared" si="151"/>
        <v>(2019,2,'2019.01.12',5,7,36,76,82,0),</v>
      </c>
      <c r="R3229" s="7" t="str">
        <f t="shared" si="153"/>
        <v>(2019,2,'2019.01.12',5,7,36,76,82),</v>
      </c>
    </row>
    <row r="3230" spans="1:18" x14ac:dyDescent="0.25">
      <c r="A3230" s="7" t="s">
        <v>806</v>
      </c>
      <c r="B3230" s="8" t="s">
        <v>42</v>
      </c>
      <c r="C3230" s="10">
        <f t="shared" si="152"/>
        <v>43484</v>
      </c>
      <c r="D3230" t="s">
        <v>11</v>
      </c>
      <c r="E3230" t="s">
        <v>12</v>
      </c>
      <c r="F3230" t="s">
        <v>46</v>
      </c>
      <c r="G3230" t="s">
        <v>1030</v>
      </c>
      <c r="H3230" t="s">
        <v>1031</v>
      </c>
      <c r="I3230" t="s">
        <v>1032</v>
      </c>
      <c r="J3230" t="s">
        <v>1033</v>
      </c>
      <c r="K3230" t="s">
        <v>1034</v>
      </c>
      <c r="L3230" s="12" t="s">
        <v>42</v>
      </c>
      <c r="M3230" s="12" t="s">
        <v>90</v>
      </c>
      <c r="N3230" s="12" t="s">
        <v>25</v>
      </c>
      <c r="O3230" s="12" t="s">
        <v>105</v>
      </c>
      <c r="P3230" s="12" t="s">
        <v>379</v>
      </c>
      <c r="Q3230" s="7" t="str">
        <f t="shared" si="151"/>
        <v>(2019,3,'2019.01.19',3,17,34,50,89,0),</v>
      </c>
      <c r="R3230" s="7" t="str">
        <f t="shared" si="153"/>
        <v>(2019,3,'2019.01.19',3,17,34,50,89),</v>
      </c>
    </row>
    <row r="3231" spans="1:18" x14ac:dyDescent="0.25">
      <c r="A3231" s="7" t="s">
        <v>806</v>
      </c>
      <c r="B3231" s="8" t="s">
        <v>168</v>
      </c>
      <c r="C3231" s="10">
        <f t="shared" si="152"/>
        <v>43491</v>
      </c>
      <c r="D3231" t="s">
        <v>11</v>
      </c>
      <c r="E3231" t="s">
        <v>12</v>
      </c>
      <c r="F3231" t="s">
        <v>98</v>
      </c>
      <c r="G3231" t="s">
        <v>1027</v>
      </c>
      <c r="H3231" t="s">
        <v>694</v>
      </c>
      <c r="I3231" t="s">
        <v>1028</v>
      </c>
      <c r="J3231" t="s">
        <v>1029</v>
      </c>
      <c r="K3231" t="s">
        <v>360</v>
      </c>
      <c r="L3231" s="12" t="s">
        <v>133</v>
      </c>
      <c r="M3231" s="12" t="s">
        <v>72</v>
      </c>
      <c r="N3231" s="12" t="s">
        <v>151</v>
      </c>
      <c r="O3231" s="12" t="s">
        <v>308</v>
      </c>
      <c r="P3231" s="12" t="s">
        <v>208</v>
      </c>
      <c r="Q3231" s="7" t="str">
        <f t="shared" si="151"/>
        <v>(2019,4,'2019.01.26',45,67,79,86,88,0),</v>
      </c>
      <c r="R3231" s="7" t="str">
        <f t="shared" si="153"/>
        <v>(2019,4,'2019.01.26',45,67,79,86,88),</v>
      </c>
    </row>
    <row r="3232" spans="1:18" x14ac:dyDescent="0.25">
      <c r="A3232" s="7" t="s">
        <v>806</v>
      </c>
      <c r="B3232" s="8" t="s">
        <v>89</v>
      </c>
      <c r="C3232" s="10">
        <f t="shared" si="152"/>
        <v>43498</v>
      </c>
      <c r="D3232" t="s">
        <v>11</v>
      </c>
      <c r="E3232" t="s">
        <v>12</v>
      </c>
      <c r="F3232" t="s">
        <v>92</v>
      </c>
      <c r="G3232" t="s">
        <v>1022</v>
      </c>
      <c r="H3232" t="s">
        <v>1023</v>
      </c>
      <c r="I3232" t="s">
        <v>1024</v>
      </c>
      <c r="J3232" t="s">
        <v>1025</v>
      </c>
      <c r="K3232" t="s">
        <v>1026</v>
      </c>
      <c r="L3232" s="12" t="s">
        <v>232</v>
      </c>
      <c r="M3232" s="12" t="s">
        <v>33</v>
      </c>
      <c r="N3232" s="12" t="s">
        <v>36</v>
      </c>
      <c r="O3232" s="12" t="s">
        <v>92</v>
      </c>
      <c r="P3232" s="12" t="s">
        <v>63</v>
      </c>
      <c r="Q3232" s="7" t="str">
        <f t="shared" si="151"/>
        <v>(2019,5,'2019.02.02',8,24,38,68,78,0),</v>
      </c>
      <c r="R3232" s="7" t="str">
        <f t="shared" si="153"/>
        <v>(2019,5,'2019.02.02',8,24,38,68,78),</v>
      </c>
    </row>
    <row r="3233" spans="1:18" x14ac:dyDescent="0.25">
      <c r="A3233" s="7" t="s">
        <v>806</v>
      </c>
      <c r="B3233" s="8" t="s">
        <v>270</v>
      </c>
      <c r="C3233" s="10">
        <f t="shared" si="152"/>
        <v>43505</v>
      </c>
      <c r="D3233" t="s">
        <v>11</v>
      </c>
      <c r="E3233" t="s">
        <v>12</v>
      </c>
      <c r="F3233" t="s">
        <v>1016</v>
      </c>
      <c r="G3233" t="s">
        <v>1017</v>
      </c>
      <c r="H3233" t="s">
        <v>1018</v>
      </c>
      <c r="I3233" t="s">
        <v>1019</v>
      </c>
      <c r="J3233" t="s">
        <v>1020</v>
      </c>
      <c r="K3233" t="s">
        <v>1021</v>
      </c>
      <c r="L3233" s="12" t="s">
        <v>207</v>
      </c>
      <c r="M3233" s="12" t="s">
        <v>232</v>
      </c>
      <c r="N3233" s="12" t="s">
        <v>19</v>
      </c>
      <c r="O3233" s="12" t="s">
        <v>152</v>
      </c>
      <c r="P3233" s="12" t="s">
        <v>35</v>
      </c>
      <c r="Q3233" s="7" t="str">
        <f t="shared" si="151"/>
        <v>(2019,6,'2019.02.09',2,8,18,25,65,0),</v>
      </c>
      <c r="R3233" s="7" t="str">
        <f t="shared" si="153"/>
        <v>(2019,6,'2019.02.09',2,8,18,25,65),</v>
      </c>
    </row>
    <row r="3234" spans="1:18" x14ac:dyDescent="0.25">
      <c r="A3234" s="7" t="s">
        <v>806</v>
      </c>
      <c r="B3234" s="8" t="s">
        <v>53</v>
      </c>
      <c r="C3234" s="10">
        <f t="shared" si="152"/>
        <v>43512</v>
      </c>
      <c r="D3234" t="s">
        <v>11</v>
      </c>
      <c r="E3234" t="s">
        <v>12</v>
      </c>
      <c r="F3234" t="s">
        <v>74</v>
      </c>
      <c r="G3234" t="s">
        <v>1012</v>
      </c>
      <c r="H3234" t="s">
        <v>1013</v>
      </c>
      <c r="I3234" t="s">
        <v>1014</v>
      </c>
      <c r="J3234" t="s">
        <v>1015</v>
      </c>
      <c r="K3234" t="s">
        <v>852</v>
      </c>
      <c r="L3234" s="12" t="s">
        <v>46</v>
      </c>
      <c r="M3234" s="12" t="s">
        <v>36</v>
      </c>
      <c r="N3234" s="12" t="s">
        <v>169</v>
      </c>
      <c r="O3234" s="12" t="s">
        <v>82</v>
      </c>
      <c r="P3234" s="12" t="s">
        <v>92</v>
      </c>
      <c r="Q3234" s="7" t="str">
        <f t="shared" si="151"/>
        <v>(2019,7,'2019.02.16',37,38,58,59,68,0),</v>
      </c>
      <c r="R3234" s="7" t="str">
        <f t="shared" si="153"/>
        <v>(2019,7,'2019.02.16',37,38,58,59,68),</v>
      </c>
    </row>
    <row r="3235" spans="1:18" x14ac:dyDescent="0.25">
      <c r="A3235" s="7" t="s">
        <v>806</v>
      </c>
      <c r="B3235" s="8" t="s">
        <v>232</v>
      </c>
      <c r="C3235" s="10">
        <f t="shared" si="152"/>
        <v>43519</v>
      </c>
      <c r="D3235" t="s">
        <v>11</v>
      </c>
      <c r="E3235" t="s">
        <v>12</v>
      </c>
      <c r="F3235" t="s">
        <v>122</v>
      </c>
      <c r="G3235" t="s">
        <v>1008</v>
      </c>
      <c r="H3235" t="s">
        <v>1009</v>
      </c>
      <c r="I3235" t="s">
        <v>1010</v>
      </c>
      <c r="J3235" t="s">
        <v>1011</v>
      </c>
      <c r="K3235" t="s">
        <v>61</v>
      </c>
      <c r="L3235" s="12" t="s">
        <v>83</v>
      </c>
      <c r="M3235" s="12" t="s">
        <v>135</v>
      </c>
      <c r="N3235" s="12" t="s">
        <v>192</v>
      </c>
      <c r="O3235" s="12" t="s">
        <v>22</v>
      </c>
      <c r="P3235" s="12" t="s">
        <v>269</v>
      </c>
      <c r="Q3235" s="7" t="str">
        <f t="shared" si="151"/>
        <v>(2019,8,'2019.02.23',11,27,46,48,87,0),</v>
      </c>
      <c r="R3235" s="7" t="str">
        <f t="shared" si="153"/>
        <v>(2019,8,'2019.02.23',11,27,46,48,87),</v>
      </c>
    </row>
    <row r="3236" spans="1:18" x14ac:dyDescent="0.25">
      <c r="A3236" s="7" t="s">
        <v>806</v>
      </c>
      <c r="B3236" s="8" t="s">
        <v>198</v>
      </c>
      <c r="C3236" s="10">
        <f t="shared" si="152"/>
        <v>43526</v>
      </c>
      <c r="D3236" t="s">
        <v>11</v>
      </c>
      <c r="E3236" t="s">
        <v>12</v>
      </c>
      <c r="F3236" t="s">
        <v>81</v>
      </c>
      <c r="G3236" t="s">
        <v>1004</v>
      </c>
      <c r="H3236" t="s">
        <v>1005</v>
      </c>
      <c r="I3236" t="s">
        <v>1006</v>
      </c>
      <c r="J3236" t="s">
        <v>1007</v>
      </c>
      <c r="K3236" t="s">
        <v>295</v>
      </c>
      <c r="L3236" s="12" t="s">
        <v>80</v>
      </c>
      <c r="M3236" s="12" t="s">
        <v>175</v>
      </c>
      <c r="N3236" s="12" t="s">
        <v>91</v>
      </c>
      <c r="O3236" s="12" t="s">
        <v>239</v>
      </c>
      <c r="P3236" s="12" t="s">
        <v>208</v>
      </c>
      <c r="Q3236" s="7" t="str">
        <f t="shared" si="151"/>
        <v>(2019,9,'2019.03.02',32,55,61,73,88,0),</v>
      </c>
      <c r="R3236" s="7" t="str">
        <f t="shared" si="153"/>
        <v>(2019,9,'2019.03.02',32,55,61,73,88),</v>
      </c>
    </row>
    <row r="3237" spans="1:18" x14ac:dyDescent="0.25">
      <c r="A3237" s="7" t="s">
        <v>806</v>
      </c>
      <c r="B3237" s="8" t="s">
        <v>62</v>
      </c>
      <c r="C3237" s="10">
        <f t="shared" si="152"/>
        <v>43533</v>
      </c>
      <c r="D3237" t="s">
        <v>11</v>
      </c>
      <c r="E3237" t="s">
        <v>12</v>
      </c>
      <c r="F3237" t="s">
        <v>122</v>
      </c>
      <c r="G3237" t="s">
        <v>999</v>
      </c>
      <c r="H3237" t="s">
        <v>1000</v>
      </c>
      <c r="I3237" t="s">
        <v>1001</v>
      </c>
      <c r="J3237" t="s">
        <v>1002</v>
      </c>
      <c r="K3237" t="s">
        <v>1003</v>
      </c>
      <c r="L3237" s="12" t="s">
        <v>42</v>
      </c>
      <c r="M3237" s="12" t="s">
        <v>135</v>
      </c>
      <c r="N3237" s="12" t="s">
        <v>201</v>
      </c>
      <c r="O3237" s="12" t="s">
        <v>106</v>
      </c>
      <c r="P3237" s="12" t="s">
        <v>63</v>
      </c>
      <c r="Q3237" s="7" t="str">
        <f t="shared" si="151"/>
        <v>(2019,10,'2019.03.09',3,27,72,75,78,0),</v>
      </c>
      <c r="R3237" s="7" t="str">
        <f t="shared" si="153"/>
        <v>(2019,10,'2019.03.09',3,27,72,75,78),</v>
      </c>
    </row>
    <row r="3238" spans="1:18" x14ac:dyDescent="0.25">
      <c r="A3238" s="7" t="s">
        <v>806</v>
      </c>
      <c r="B3238" s="8" t="s">
        <v>83</v>
      </c>
      <c r="C3238" s="10">
        <f t="shared" si="152"/>
        <v>43540</v>
      </c>
      <c r="D3238" t="s">
        <v>11</v>
      </c>
      <c r="E3238" t="s">
        <v>12</v>
      </c>
      <c r="F3238" t="s">
        <v>169</v>
      </c>
      <c r="G3238" t="s">
        <v>994</v>
      </c>
      <c r="H3238" t="s">
        <v>995</v>
      </c>
      <c r="I3238" t="s">
        <v>996</v>
      </c>
      <c r="J3238" t="s">
        <v>997</v>
      </c>
      <c r="K3238" t="s">
        <v>998</v>
      </c>
      <c r="L3238" s="12" t="s">
        <v>168</v>
      </c>
      <c r="M3238" s="12" t="s">
        <v>65</v>
      </c>
      <c r="N3238" s="12" t="s">
        <v>169</v>
      </c>
      <c r="O3238" s="12" t="s">
        <v>245</v>
      </c>
      <c r="P3238" s="12" t="s">
        <v>151</v>
      </c>
      <c r="Q3238" s="7" t="str">
        <f t="shared" si="151"/>
        <v>(2019,11,'2019.03.16',4,13,58,74,79,0),</v>
      </c>
      <c r="R3238" s="7" t="str">
        <f t="shared" si="153"/>
        <v>(2019,11,'2019.03.16',4,13,58,74,79),</v>
      </c>
    </row>
    <row r="3239" spans="1:18" x14ac:dyDescent="0.25">
      <c r="A3239" s="7" t="s">
        <v>806</v>
      </c>
      <c r="B3239" s="8" t="s">
        <v>31</v>
      </c>
      <c r="C3239" s="10">
        <f t="shared" si="152"/>
        <v>43547</v>
      </c>
      <c r="D3239" t="s">
        <v>11</v>
      </c>
      <c r="E3239" t="s">
        <v>12</v>
      </c>
      <c r="F3239" t="s">
        <v>208</v>
      </c>
      <c r="G3239" t="s">
        <v>989</v>
      </c>
      <c r="H3239" t="s">
        <v>990</v>
      </c>
      <c r="I3239" t="s">
        <v>991</v>
      </c>
      <c r="J3239" t="s">
        <v>992</v>
      </c>
      <c r="K3239" t="s">
        <v>993</v>
      </c>
      <c r="L3239" s="12" t="s">
        <v>53</v>
      </c>
      <c r="M3239" s="12" t="s">
        <v>90</v>
      </c>
      <c r="N3239" s="12" t="s">
        <v>98</v>
      </c>
      <c r="O3239" s="12" t="s">
        <v>199</v>
      </c>
      <c r="P3239" s="12" t="s">
        <v>73</v>
      </c>
      <c r="Q3239" s="7" t="str">
        <f t="shared" si="151"/>
        <v>(2019,12,'2019.03.23',7,17,42,53,76,0),</v>
      </c>
      <c r="R3239" s="7" t="str">
        <f t="shared" si="153"/>
        <v>(2019,12,'2019.03.23',7,17,42,53,76),</v>
      </c>
    </row>
    <row r="3240" spans="1:18" x14ac:dyDescent="0.25">
      <c r="A3240" s="7" t="s">
        <v>806</v>
      </c>
      <c r="B3240" s="8" t="s">
        <v>65</v>
      </c>
      <c r="C3240" s="10">
        <f t="shared" si="152"/>
        <v>43554</v>
      </c>
      <c r="D3240" t="s">
        <v>11</v>
      </c>
      <c r="E3240" t="s">
        <v>12</v>
      </c>
      <c r="F3240" t="s">
        <v>248</v>
      </c>
      <c r="G3240" t="s">
        <v>984</v>
      </c>
      <c r="H3240" t="s">
        <v>985</v>
      </c>
      <c r="I3240" t="s">
        <v>986</v>
      </c>
      <c r="J3240" t="s">
        <v>987</v>
      </c>
      <c r="K3240" t="s">
        <v>988</v>
      </c>
      <c r="L3240" s="12" t="s">
        <v>54</v>
      </c>
      <c r="M3240" s="12" t="s">
        <v>115</v>
      </c>
      <c r="N3240" s="12" t="s">
        <v>32</v>
      </c>
      <c r="O3240" s="12" t="s">
        <v>126</v>
      </c>
      <c r="P3240" s="12" t="s">
        <v>35</v>
      </c>
      <c r="Q3240" s="7" t="str">
        <f t="shared" si="151"/>
        <v>(2019,13,'2019.03.30',15,20,22,28,65,0),</v>
      </c>
      <c r="R3240" s="7" t="str">
        <f t="shared" si="153"/>
        <v>(2019,13,'2019.03.30',15,20,22,28,65),</v>
      </c>
    </row>
    <row r="3241" spans="1:18" x14ac:dyDescent="0.25">
      <c r="A3241" s="7" t="s">
        <v>806</v>
      </c>
      <c r="B3241" s="8" t="s">
        <v>127</v>
      </c>
      <c r="C3241" s="10">
        <f t="shared" si="152"/>
        <v>43561</v>
      </c>
      <c r="D3241" t="s">
        <v>11</v>
      </c>
      <c r="E3241" t="s">
        <v>12</v>
      </c>
      <c r="F3241" t="s">
        <v>80</v>
      </c>
      <c r="G3241" t="s">
        <v>979</v>
      </c>
      <c r="H3241" t="s">
        <v>980</v>
      </c>
      <c r="I3241" t="s">
        <v>981</v>
      </c>
      <c r="J3241" t="s">
        <v>982</v>
      </c>
      <c r="K3241" t="s">
        <v>983</v>
      </c>
      <c r="L3241" s="12" t="s">
        <v>90</v>
      </c>
      <c r="M3241" s="12" t="s">
        <v>133</v>
      </c>
      <c r="N3241" s="12" t="s">
        <v>199</v>
      </c>
      <c r="O3241" s="12" t="s">
        <v>308</v>
      </c>
      <c r="P3241" s="12" t="s">
        <v>269</v>
      </c>
      <c r="Q3241" s="7" t="str">
        <f t="shared" si="151"/>
        <v>(2019,14,'2019.04.06',17,45,53,86,87,0),</v>
      </c>
      <c r="R3241" s="7" t="str">
        <f t="shared" si="153"/>
        <v>(2019,14,'2019.04.06',17,45,53,86,87),</v>
      </c>
    </row>
    <row r="3242" spans="1:18" x14ac:dyDescent="0.25">
      <c r="A3242" s="7" t="s">
        <v>806</v>
      </c>
      <c r="B3242" s="8" t="s">
        <v>54</v>
      </c>
      <c r="C3242" s="10">
        <f t="shared" si="152"/>
        <v>43568</v>
      </c>
      <c r="D3242" t="s">
        <v>11</v>
      </c>
      <c r="E3242" t="s">
        <v>12</v>
      </c>
      <c r="F3242" t="s">
        <v>81</v>
      </c>
      <c r="G3242" t="s">
        <v>974</v>
      </c>
      <c r="H3242" t="s">
        <v>975</v>
      </c>
      <c r="I3242" t="s">
        <v>976</v>
      </c>
      <c r="J3242" t="s">
        <v>977</v>
      </c>
      <c r="K3242" t="s">
        <v>978</v>
      </c>
      <c r="L3242" s="12" t="s">
        <v>270</v>
      </c>
      <c r="M3242" s="12" t="s">
        <v>135</v>
      </c>
      <c r="N3242" s="12" t="s">
        <v>71</v>
      </c>
      <c r="O3242" s="12" t="s">
        <v>81</v>
      </c>
      <c r="P3242" s="12" t="s">
        <v>246</v>
      </c>
      <c r="Q3242" s="7" t="str">
        <f t="shared" si="151"/>
        <v>(2019,15,'2019.04.13',6,27,31,47,84,0),</v>
      </c>
      <c r="R3242" s="7" t="str">
        <f t="shared" si="153"/>
        <v>(2019,15,'2019.04.13',6,27,31,47,84),</v>
      </c>
    </row>
    <row r="3243" spans="1:18" x14ac:dyDescent="0.25">
      <c r="A3243" s="7" t="s">
        <v>806</v>
      </c>
      <c r="B3243" s="8" t="s">
        <v>43</v>
      </c>
      <c r="C3243" s="10">
        <f t="shared" si="152"/>
        <v>43575</v>
      </c>
      <c r="D3243" t="s">
        <v>108</v>
      </c>
      <c r="E3243" t="s">
        <v>970</v>
      </c>
      <c r="F3243" t="s">
        <v>105</v>
      </c>
      <c r="G3243" t="s">
        <v>971</v>
      </c>
      <c r="H3243" t="s">
        <v>972</v>
      </c>
      <c r="I3243" t="s">
        <v>382</v>
      </c>
      <c r="J3243" t="s">
        <v>973</v>
      </c>
      <c r="K3243" t="s">
        <v>594</v>
      </c>
      <c r="L3243" s="12" t="s">
        <v>127</v>
      </c>
      <c r="M3243" s="12" t="s">
        <v>44</v>
      </c>
      <c r="N3243" s="12" t="s">
        <v>199</v>
      </c>
      <c r="O3243" s="12" t="s">
        <v>23</v>
      </c>
      <c r="P3243" s="12" t="s">
        <v>186</v>
      </c>
      <c r="Q3243" s="7" t="str">
        <f t="shared" si="151"/>
        <v>(2019,16,'2019.04.20',14,21,53,60,90,0),</v>
      </c>
      <c r="R3243" s="7" t="str">
        <f t="shared" si="153"/>
        <v>(2019,16,'2019.04.20',14,21,53,60,90),</v>
      </c>
    </row>
    <row r="3244" spans="1:18" x14ac:dyDescent="0.25">
      <c r="A3244" s="7" t="s">
        <v>806</v>
      </c>
      <c r="B3244" s="8" t="s">
        <v>90</v>
      </c>
      <c r="C3244" s="10">
        <f t="shared" si="152"/>
        <v>43582</v>
      </c>
      <c r="D3244" t="s">
        <v>11</v>
      </c>
      <c r="E3244" t="s">
        <v>12</v>
      </c>
      <c r="F3244" t="s">
        <v>90</v>
      </c>
      <c r="G3244" t="s">
        <v>966</v>
      </c>
      <c r="H3244" t="s">
        <v>967</v>
      </c>
      <c r="I3244" t="s">
        <v>968</v>
      </c>
      <c r="J3244" t="s">
        <v>969</v>
      </c>
      <c r="K3244" t="s">
        <v>820</v>
      </c>
      <c r="L3244" s="12" t="s">
        <v>108</v>
      </c>
      <c r="M3244" s="12" t="s">
        <v>127</v>
      </c>
      <c r="N3244" s="12" t="s">
        <v>92</v>
      </c>
      <c r="O3244" s="12" t="s">
        <v>106</v>
      </c>
      <c r="P3244" s="12" t="s">
        <v>73</v>
      </c>
      <c r="Q3244" s="7" t="str">
        <f t="shared" si="151"/>
        <v>(2019,17,'2019.04.27',1,14,68,75,76,0),</v>
      </c>
      <c r="R3244" s="7" t="str">
        <f t="shared" si="153"/>
        <v>(2019,17,'2019.04.27',1,14,68,75,76),</v>
      </c>
    </row>
    <row r="3245" spans="1:18" x14ac:dyDescent="0.25">
      <c r="A3245" s="7" t="s">
        <v>806</v>
      </c>
      <c r="B3245" s="8" t="s">
        <v>19</v>
      </c>
      <c r="C3245" s="10">
        <f t="shared" si="152"/>
        <v>43589</v>
      </c>
      <c r="D3245" t="s">
        <v>11</v>
      </c>
      <c r="E3245" t="s">
        <v>12</v>
      </c>
      <c r="F3245" t="s">
        <v>135</v>
      </c>
      <c r="G3245" t="s">
        <v>963</v>
      </c>
      <c r="H3245" t="s">
        <v>924</v>
      </c>
      <c r="I3245" t="s">
        <v>964</v>
      </c>
      <c r="J3245" t="s">
        <v>965</v>
      </c>
      <c r="K3245" t="s">
        <v>285</v>
      </c>
      <c r="L3245" s="12" t="s">
        <v>83</v>
      </c>
      <c r="M3245" s="12" t="s">
        <v>107</v>
      </c>
      <c r="N3245" s="12" t="s">
        <v>21</v>
      </c>
      <c r="O3245" s="12" t="s">
        <v>72</v>
      </c>
      <c r="P3245" s="12" t="s">
        <v>125</v>
      </c>
      <c r="Q3245" s="7" t="str">
        <f t="shared" si="151"/>
        <v>(2019,18,'2019.05.04',11,30,36,67,83,0),</v>
      </c>
      <c r="R3245" s="7" t="str">
        <f t="shared" si="153"/>
        <v>(2019,18,'2019.05.04',11,30,36,67,83),</v>
      </c>
    </row>
    <row r="3246" spans="1:18" x14ac:dyDescent="0.25">
      <c r="A3246" s="7" t="s">
        <v>806</v>
      </c>
      <c r="B3246" s="8" t="s">
        <v>55</v>
      </c>
      <c r="C3246" s="10">
        <f t="shared" si="152"/>
        <v>43596</v>
      </c>
      <c r="D3246" t="s">
        <v>11</v>
      </c>
      <c r="E3246" t="s">
        <v>12</v>
      </c>
      <c r="F3246" t="s">
        <v>163</v>
      </c>
      <c r="G3246" t="s">
        <v>959</v>
      </c>
      <c r="H3246" t="s">
        <v>960</v>
      </c>
      <c r="I3246" t="s">
        <v>961</v>
      </c>
      <c r="J3246" t="s">
        <v>962</v>
      </c>
      <c r="K3246" t="s">
        <v>889</v>
      </c>
      <c r="L3246" s="12" t="s">
        <v>270</v>
      </c>
      <c r="M3246" s="12" t="s">
        <v>32</v>
      </c>
      <c r="N3246" s="12" t="s">
        <v>56</v>
      </c>
      <c r="O3246" s="12" t="s">
        <v>208</v>
      </c>
      <c r="P3246" s="12" t="s">
        <v>186</v>
      </c>
      <c r="Q3246" s="7" t="str">
        <f t="shared" si="151"/>
        <v>(2019,19,'2019.05.11',6,22,71,88,90,0),</v>
      </c>
      <c r="R3246" s="7" t="str">
        <f t="shared" si="153"/>
        <v>(2019,19,'2019.05.11',6,22,71,88,90),</v>
      </c>
    </row>
    <row r="3247" spans="1:18" x14ac:dyDescent="0.25">
      <c r="A3247" s="7" t="s">
        <v>806</v>
      </c>
      <c r="B3247" s="8" t="s">
        <v>115</v>
      </c>
      <c r="C3247" s="10">
        <f t="shared" si="152"/>
        <v>43603</v>
      </c>
      <c r="D3247" t="s">
        <v>11</v>
      </c>
      <c r="E3247" t="s">
        <v>12</v>
      </c>
      <c r="F3247" t="s">
        <v>64</v>
      </c>
      <c r="G3247" t="s">
        <v>955</v>
      </c>
      <c r="H3247" t="s">
        <v>956</v>
      </c>
      <c r="I3247" t="s">
        <v>957</v>
      </c>
      <c r="J3247" t="s">
        <v>958</v>
      </c>
      <c r="K3247" t="s">
        <v>41</v>
      </c>
      <c r="L3247" s="12" t="s">
        <v>108</v>
      </c>
      <c r="M3247" s="12" t="s">
        <v>54</v>
      </c>
      <c r="N3247" s="12" t="s">
        <v>152</v>
      </c>
      <c r="O3247" s="12" t="s">
        <v>192</v>
      </c>
      <c r="P3247" s="12" t="s">
        <v>248</v>
      </c>
      <c r="Q3247" s="7" t="str">
        <f t="shared" si="151"/>
        <v>(2019,20,'2019.05.18',1,15,25,46,63,0),</v>
      </c>
      <c r="R3247" s="7" t="str">
        <f t="shared" si="153"/>
        <v>(2019,20,'2019.05.18',1,15,25,46,63),</v>
      </c>
    </row>
    <row r="3248" spans="1:18" x14ac:dyDescent="0.25">
      <c r="A3248" s="7" t="s">
        <v>806</v>
      </c>
      <c r="B3248" s="8" t="s">
        <v>44</v>
      </c>
      <c r="C3248" s="10">
        <f t="shared" si="152"/>
        <v>43610</v>
      </c>
      <c r="D3248" t="s">
        <v>11</v>
      </c>
      <c r="E3248" t="s">
        <v>12</v>
      </c>
      <c r="F3248" t="s">
        <v>80</v>
      </c>
      <c r="G3248" t="s">
        <v>950</v>
      </c>
      <c r="H3248" t="s">
        <v>951</v>
      </c>
      <c r="I3248" t="s">
        <v>952</v>
      </c>
      <c r="J3248" t="s">
        <v>953</v>
      </c>
      <c r="K3248" t="s">
        <v>954</v>
      </c>
      <c r="L3248" s="12" t="s">
        <v>32</v>
      </c>
      <c r="M3248" s="12" t="s">
        <v>20</v>
      </c>
      <c r="N3248" s="12" t="s">
        <v>81</v>
      </c>
      <c r="O3248" s="12" t="s">
        <v>122</v>
      </c>
      <c r="P3248" s="12" t="s">
        <v>233</v>
      </c>
      <c r="Q3248" s="7" t="str">
        <f t="shared" si="151"/>
        <v>(2019,21,'2019.05.25',22,33,47,51,66,0),</v>
      </c>
      <c r="R3248" s="7" t="str">
        <f t="shared" si="153"/>
        <v>(2019,21,'2019.05.25',22,33,47,51,66),</v>
      </c>
    </row>
    <row r="3249" spans="1:18" x14ac:dyDescent="0.25">
      <c r="A3249" s="7" t="s">
        <v>806</v>
      </c>
      <c r="B3249" s="8" t="s">
        <v>32</v>
      </c>
      <c r="C3249" s="10">
        <f t="shared" si="152"/>
        <v>43617</v>
      </c>
      <c r="D3249" t="s">
        <v>11</v>
      </c>
      <c r="E3249" t="s">
        <v>12</v>
      </c>
      <c r="F3249" t="s">
        <v>135</v>
      </c>
      <c r="G3249" t="s">
        <v>946</v>
      </c>
      <c r="H3249" t="s">
        <v>947</v>
      </c>
      <c r="I3249" t="s">
        <v>948</v>
      </c>
      <c r="J3249" t="s">
        <v>949</v>
      </c>
      <c r="K3249" t="s">
        <v>61</v>
      </c>
      <c r="L3249" s="12" t="s">
        <v>108</v>
      </c>
      <c r="M3249" s="12" t="s">
        <v>163</v>
      </c>
      <c r="N3249" s="12" t="s">
        <v>116</v>
      </c>
      <c r="O3249" s="12" t="s">
        <v>169</v>
      </c>
      <c r="P3249" s="12" t="s">
        <v>246</v>
      </c>
      <c r="Q3249" s="7" t="str">
        <f t="shared" si="151"/>
        <v>(2019,22,'2019.06.01',1,23,29,58,84,0),</v>
      </c>
      <c r="R3249" s="7" t="str">
        <f t="shared" si="153"/>
        <v>(2019,22,'2019.06.01',1,23,29,58,84),</v>
      </c>
    </row>
    <row r="3250" spans="1:18" x14ac:dyDescent="0.25">
      <c r="A3250" s="7" t="s">
        <v>806</v>
      </c>
      <c r="B3250" s="8" t="s">
        <v>163</v>
      </c>
      <c r="C3250" s="10">
        <f t="shared" si="152"/>
        <v>43624</v>
      </c>
      <c r="D3250" t="s">
        <v>11</v>
      </c>
      <c r="E3250" t="s">
        <v>12</v>
      </c>
      <c r="F3250" t="s">
        <v>55</v>
      </c>
      <c r="G3250" t="s">
        <v>941</v>
      </c>
      <c r="H3250" t="s">
        <v>942</v>
      </c>
      <c r="I3250" t="s">
        <v>943</v>
      </c>
      <c r="J3250" t="s">
        <v>944</v>
      </c>
      <c r="K3250" t="s">
        <v>945</v>
      </c>
      <c r="L3250" s="12" t="s">
        <v>74</v>
      </c>
      <c r="M3250" s="12" t="s">
        <v>71</v>
      </c>
      <c r="N3250" s="12" t="s">
        <v>64</v>
      </c>
      <c r="O3250" s="12" t="s">
        <v>35</v>
      </c>
      <c r="P3250" s="12" t="s">
        <v>269</v>
      </c>
      <c r="Q3250" s="7" t="str">
        <f t="shared" si="151"/>
        <v>(2019,23,'2019.06.08',26,31,35,65,87,0),</v>
      </c>
      <c r="R3250" s="7" t="str">
        <f t="shared" si="153"/>
        <v>(2019,23,'2019.06.08',26,31,35,65,87),</v>
      </c>
    </row>
    <row r="3251" spans="1:18" x14ac:dyDescent="0.25">
      <c r="A3251" s="7" t="s">
        <v>806</v>
      </c>
      <c r="B3251" s="8" t="s">
        <v>33</v>
      </c>
      <c r="C3251" s="10">
        <f t="shared" si="152"/>
        <v>43631</v>
      </c>
      <c r="D3251" t="s">
        <v>11</v>
      </c>
      <c r="E3251" t="s">
        <v>12</v>
      </c>
      <c r="F3251" t="s">
        <v>71</v>
      </c>
      <c r="G3251" t="s">
        <v>936</v>
      </c>
      <c r="H3251" t="s">
        <v>937</v>
      </c>
      <c r="I3251" t="s">
        <v>938</v>
      </c>
      <c r="J3251" t="s">
        <v>939</v>
      </c>
      <c r="K3251" t="s">
        <v>940</v>
      </c>
      <c r="L3251" s="12" t="s">
        <v>32</v>
      </c>
      <c r="M3251" s="12" t="s">
        <v>126</v>
      </c>
      <c r="N3251" s="12" t="s">
        <v>82</v>
      </c>
      <c r="O3251" s="12" t="s">
        <v>201</v>
      </c>
      <c r="P3251" s="12" t="s">
        <v>379</v>
      </c>
      <c r="Q3251" s="7" t="str">
        <f t="shared" si="151"/>
        <v>(2019,24,'2019.06.15',22,28,59,72,89,0),</v>
      </c>
      <c r="R3251" s="7" t="str">
        <f t="shared" si="153"/>
        <v>(2019,24,'2019.06.15',22,28,59,72,89),</v>
      </c>
    </row>
    <row r="3252" spans="1:18" x14ac:dyDescent="0.25">
      <c r="A3252" s="7" t="s">
        <v>806</v>
      </c>
      <c r="B3252" s="8" t="s">
        <v>152</v>
      </c>
      <c r="C3252" s="10">
        <f t="shared" si="152"/>
        <v>43638</v>
      </c>
      <c r="D3252" t="s">
        <v>11</v>
      </c>
      <c r="E3252" t="s">
        <v>12</v>
      </c>
      <c r="F3252" t="s">
        <v>24</v>
      </c>
      <c r="G3252" t="s">
        <v>932</v>
      </c>
      <c r="H3252" t="s">
        <v>933</v>
      </c>
      <c r="I3252" t="s">
        <v>934</v>
      </c>
      <c r="J3252" t="s">
        <v>935</v>
      </c>
      <c r="K3252" t="s">
        <v>617</v>
      </c>
      <c r="L3252" s="12" t="s">
        <v>108</v>
      </c>
      <c r="M3252" s="12" t="s">
        <v>31</v>
      </c>
      <c r="N3252" s="12" t="s">
        <v>43</v>
      </c>
      <c r="O3252" s="12" t="s">
        <v>45</v>
      </c>
      <c r="P3252" s="12" t="s">
        <v>134</v>
      </c>
      <c r="Q3252" s="7" t="str">
        <f t="shared" si="151"/>
        <v>(2019,25,'2019.06.22',1,12,16,43,56,0),</v>
      </c>
      <c r="R3252" s="7" t="str">
        <f t="shared" si="153"/>
        <v>(2019,25,'2019.06.22',1,12,16,43,56),</v>
      </c>
    </row>
    <row r="3253" spans="1:18" x14ac:dyDescent="0.25">
      <c r="A3253" s="7" t="s">
        <v>806</v>
      </c>
      <c r="B3253" s="8" t="s">
        <v>74</v>
      </c>
      <c r="C3253" s="10">
        <f t="shared" si="152"/>
        <v>43645</v>
      </c>
      <c r="D3253" t="s">
        <v>108</v>
      </c>
      <c r="E3253" t="s">
        <v>927</v>
      </c>
      <c r="F3253" t="s">
        <v>151</v>
      </c>
      <c r="G3253" t="s">
        <v>928</v>
      </c>
      <c r="H3253" t="s">
        <v>929</v>
      </c>
      <c r="I3253" t="s">
        <v>321</v>
      </c>
      <c r="J3253" t="s">
        <v>930</v>
      </c>
      <c r="K3253" t="s">
        <v>931</v>
      </c>
      <c r="L3253" s="12" t="s">
        <v>168</v>
      </c>
      <c r="M3253" s="12" t="s">
        <v>62</v>
      </c>
      <c r="N3253" s="12" t="s">
        <v>33</v>
      </c>
      <c r="O3253" s="12" t="s">
        <v>175</v>
      </c>
      <c r="P3253" s="12" t="s">
        <v>143</v>
      </c>
      <c r="Q3253" s="7" t="str">
        <f t="shared" si="151"/>
        <v>(2019,26,'2019.06.29',4,10,24,55,77,0),</v>
      </c>
      <c r="R3253" s="7" t="str">
        <f t="shared" si="153"/>
        <v>(2019,26,'2019.06.29',4,10,24,55,77),</v>
      </c>
    </row>
    <row r="3254" spans="1:18" x14ac:dyDescent="0.25">
      <c r="A3254" s="7" t="s">
        <v>806</v>
      </c>
      <c r="B3254" s="8" t="s">
        <v>135</v>
      </c>
      <c r="C3254" s="10">
        <f t="shared" si="152"/>
        <v>43652</v>
      </c>
      <c r="D3254" t="s">
        <v>11</v>
      </c>
      <c r="E3254" t="s">
        <v>12</v>
      </c>
      <c r="F3254" t="s">
        <v>32</v>
      </c>
      <c r="G3254" t="s">
        <v>923</v>
      </c>
      <c r="H3254" t="s">
        <v>924</v>
      </c>
      <c r="I3254" t="s">
        <v>925</v>
      </c>
      <c r="J3254" t="s">
        <v>926</v>
      </c>
      <c r="K3254" t="s">
        <v>820</v>
      </c>
      <c r="L3254" s="12" t="s">
        <v>135</v>
      </c>
      <c r="M3254" s="12" t="s">
        <v>80</v>
      </c>
      <c r="N3254" s="12" t="s">
        <v>46</v>
      </c>
      <c r="O3254" s="12" t="s">
        <v>239</v>
      </c>
      <c r="P3254" s="12" t="s">
        <v>468</v>
      </c>
      <c r="Q3254" s="7" t="str">
        <f t="shared" si="151"/>
        <v>(2019,27,'2019.07.06',27,32,37,73,85,0),</v>
      </c>
      <c r="R3254" s="7" t="str">
        <f t="shared" si="153"/>
        <v>(2019,27,'2019.07.06',27,32,37,73,85),</v>
      </c>
    </row>
    <row r="3255" spans="1:18" x14ac:dyDescent="0.25">
      <c r="A3255" s="7" t="s">
        <v>806</v>
      </c>
      <c r="B3255" s="8" t="s">
        <v>126</v>
      </c>
      <c r="C3255" s="10">
        <f t="shared" si="152"/>
        <v>43659</v>
      </c>
      <c r="D3255" t="s">
        <v>11</v>
      </c>
      <c r="E3255" t="s">
        <v>12</v>
      </c>
      <c r="F3255" t="s">
        <v>105</v>
      </c>
      <c r="G3255" t="s">
        <v>918</v>
      </c>
      <c r="H3255" t="s">
        <v>919</v>
      </c>
      <c r="I3255" t="s">
        <v>920</v>
      </c>
      <c r="J3255" t="s">
        <v>921</v>
      </c>
      <c r="K3255" t="s">
        <v>922</v>
      </c>
      <c r="L3255" s="12" t="s">
        <v>108</v>
      </c>
      <c r="M3255" s="12" t="s">
        <v>270</v>
      </c>
      <c r="N3255" s="12" t="s">
        <v>135</v>
      </c>
      <c r="O3255" s="12" t="s">
        <v>126</v>
      </c>
      <c r="P3255" s="12" t="s">
        <v>123</v>
      </c>
      <c r="Q3255" s="7" t="str">
        <f t="shared" si="151"/>
        <v>(2019,28,'2019.07.13',1,6,27,28,54,0),</v>
      </c>
      <c r="R3255" s="7" t="str">
        <f t="shared" si="153"/>
        <v>(2019,28,'2019.07.13',1,6,27,28,54),</v>
      </c>
    </row>
    <row r="3256" spans="1:18" x14ac:dyDescent="0.25">
      <c r="A3256" s="7" t="s">
        <v>806</v>
      </c>
      <c r="B3256" s="8" t="s">
        <v>116</v>
      </c>
      <c r="C3256" s="10">
        <f t="shared" si="152"/>
        <v>43666</v>
      </c>
      <c r="D3256" t="s">
        <v>11</v>
      </c>
      <c r="E3256" t="s">
        <v>12</v>
      </c>
      <c r="F3256" t="s">
        <v>71</v>
      </c>
      <c r="G3256" t="s">
        <v>914</v>
      </c>
      <c r="H3256" t="s">
        <v>915</v>
      </c>
      <c r="I3256" t="s">
        <v>916</v>
      </c>
      <c r="J3256" t="s">
        <v>917</v>
      </c>
      <c r="K3256" t="s">
        <v>617</v>
      </c>
      <c r="L3256" s="12" t="s">
        <v>31</v>
      </c>
      <c r="M3256" s="12" t="s">
        <v>44</v>
      </c>
      <c r="N3256" s="12" t="s">
        <v>33</v>
      </c>
      <c r="O3256" s="12" t="s">
        <v>20</v>
      </c>
      <c r="P3256" s="12" t="s">
        <v>208</v>
      </c>
      <c r="Q3256" s="7" t="str">
        <f t="shared" si="151"/>
        <v>(2019,29,'2019.07.20',12,21,24,33,88,0),</v>
      </c>
      <c r="R3256" s="7" t="str">
        <f t="shared" si="153"/>
        <v>(2019,29,'2019.07.20',12,21,24,33,88),</v>
      </c>
    </row>
    <row r="3257" spans="1:18" x14ac:dyDescent="0.25">
      <c r="A3257" s="7" t="s">
        <v>806</v>
      </c>
      <c r="B3257" s="8" t="s">
        <v>107</v>
      </c>
      <c r="C3257" s="10">
        <f t="shared" si="152"/>
        <v>43673</v>
      </c>
      <c r="D3257" t="s">
        <v>11</v>
      </c>
      <c r="E3257" t="s">
        <v>12</v>
      </c>
      <c r="F3257" t="s">
        <v>115</v>
      </c>
      <c r="G3257" t="s">
        <v>909</v>
      </c>
      <c r="H3257" t="s">
        <v>910</v>
      </c>
      <c r="I3257" t="s">
        <v>911</v>
      </c>
      <c r="J3257" t="s">
        <v>912</v>
      </c>
      <c r="K3257" t="s">
        <v>913</v>
      </c>
      <c r="L3257" s="12" t="s">
        <v>43</v>
      </c>
      <c r="M3257" s="12" t="s">
        <v>152</v>
      </c>
      <c r="N3257" s="12" t="s">
        <v>74</v>
      </c>
      <c r="O3257" s="12" t="s">
        <v>105</v>
      </c>
      <c r="P3257" s="12" t="s">
        <v>106</v>
      </c>
      <c r="Q3257" s="7" t="str">
        <f t="shared" si="151"/>
        <v>(2019,30,'2019.07.27',16,25,26,50,75,0),</v>
      </c>
      <c r="R3257" s="7" t="str">
        <f t="shared" si="153"/>
        <v>(2019,30,'2019.07.27',16,25,26,50,75),</v>
      </c>
    </row>
    <row r="3258" spans="1:18" x14ac:dyDescent="0.25">
      <c r="A3258" s="7" t="s">
        <v>806</v>
      </c>
      <c r="B3258" s="8" t="s">
        <v>71</v>
      </c>
      <c r="C3258" s="10">
        <f t="shared" si="152"/>
        <v>43680</v>
      </c>
      <c r="D3258" t="s">
        <v>11</v>
      </c>
      <c r="E3258" t="s">
        <v>12</v>
      </c>
      <c r="F3258" t="s">
        <v>163</v>
      </c>
      <c r="G3258" t="s">
        <v>904</v>
      </c>
      <c r="H3258" t="s">
        <v>905</v>
      </c>
      <c r="I3258" t="s">
        <v>906</v>
      </c>
      <c r="J3258" t="s">
        <v>907</v>
      </c>
      <c r="K3258" t="s">
        <v>908</v>
      </c>
      <c r="L3258" s="12" t="s">
        <v>54</v>
      </c>
      <c r="M3258" s="12" t="s">
        <v>44</v>
      </c>
      <c r="N3258" s="12" t="s">
        <v>72</v>
      </c>
      <c r="O3258" s="12" t="s">
        <v>106</v>
      </c>
      <c r="P3258" s="12" t="s">
        <v>215</v>
      </c>
      <c r="Q3258" s="7" t="str">
        <f t="shared" si="151"/>
        <v>(2019,31,'2019.08.03',15,21,67,75,81,0),</v>
      </c>
      <c r="R3258" s="7" t="str">
        <f t="shared" si="153"/>
        <v>(2019,31,'2019.08.03',15,21,67,75,81),</v>
      </c>
    </row>
    <row r="3259" spans="1:18" x14ac:dyDescent="0.25">
      <c r="A3259" s="7" t="s">
        <v>806</v>
      </c>
      <c r="B3259" s="8" t="s">
        <v>80</v>
      </c>
      <c r="C3259" s="10">
        <f t="shared" si="152"/>
        <v>43687</v>
      </c>
      <c r="D3259" t="s">
        <v>11</v>
      </c>
      <c r="E3259" t="s">
        <v>12</v>
      </c>
      <c r="F3259" t="s">
        <v>127</v>
      </c>
      <c r="G3259" t="s">
        <v>899</v>
      </c>
      <c r="H3259" t="s">
        <v>900</v>
      </c>
      <c r="I3259" t="s">
        <v>901</v>
      </c>
      <c r="J3259" t="s">
        <v>902</v>
      </c>
      <c r="K3259" t="s">
        <v>903</v>
      </c>
      <c r="L3259" s="12" t="s">
        <v>33</v>
      </c>
      <c r="M3259" s="12" t="s">
        <v>46</v>
      </c>
      <c r="N3259" s="12" t="s">
        <v>10</v>
      </c>
      <c r="O3259" s="12" t="s">
        <v>45</v>
      </c>
      <c r="P3259" s="12" t="s">
        <v>105</v>
      </c>
      <c r="Q3259" s="7" t="str">
        <f t="shared" si="151"/>
        <v>(2019,32,'2019.08.10',24,37,40,43,50,0),</v>
      </c>
      <c r="R3259" s="7" t="str">
        <f t="shared" si="153"/>
        <v>(2019,32,'2019.08.10',24,37,40,43,50),</v>
      </c>
    </row>
    <row r="3260" spans="1:18" x14ac:dyDescent="0.25">
      <c r="A3260" s="7" t="s">
        <v>806</v>
      </c>
      <c r="B3260" s="8" t="s">
        <v>20</v>
      </c>
      <c r="C3260" s="10">
        <f t="shared" si="152"/>
        <v>43694</v>
      </c>
      <c r="D3260" t="s">
        <v>11</v>
      </c>
      <c r="E3260" t="s">
        <v>12</v>
      </c>
      <c r="F3260" t="s">
        <v>198</v>
      </c>
      <c r="G3260" t="s">
        <v>895</v>
      </c>
      <c r="H3260" t="s">
        <v>896</v>
      </c>
      <c r="I3260" t="s">
        <v>897</v>
      </c>
      <c r="J3260" t="s">
        <v>898</v>
      </c>
      <c r="K3260" t="s">
        <v>295</v>
      </c>
      <c r="L3260" s="12" t="s">
        <v>108</v>
      </c>
      <c r="M3260" s="12" t="s">
        <v>54</v>
      </c>
      <c r="N3260" s="12" t="s">
        <v>91</v>
      </c>
      <c r="O3260" s="12" t="s">
        <v>151</v>
      </c>
      <c r="P3260" s="12" t="s">
        <v>269</v>
      </c>
      <c r="Q3260" s="7" t="str">
        <f t="shared" si="151"/>
        <v>(2019,33,'2019.08.17',1,15,61,79,87,0),</v>
      </c>
      <c r="R3260" s="7" t="str">
        <f t="shared" si="153"/>
        <v>(2019,33,'2019.08.17',1,15,61,79,87),</v>
      </c>
    </row>
    <row r="3261" spans="1:18" x14ac:dyDescent="0.25">
      <c r="A3261" s="7" t="s">
        <v>806</v>
      </c>
      <c r="B3261" s="8" t="s">
        <v>25</v>
      </c>
      <c r="C3261" s="10">
        <f t="shared" si="152"/>
        <v>43701</v>
      </c>
      <c r="D3261" t="s">
        <v>11</v>
      </c>
      <c r="E3261" t="s">
        <v>12</v>
      </c>
      <c r="F3261" t="s">
        <v>107</v>
      </c>
      <c r="G3261" t="s">
        <v>890</v>
      </c>
      <c r="H3261" t="s">
        <v>891</v>
      </c>
      <c r="I3261" t="s">
        <v>892</v>
      </c>
      <c r="J3261" t="s">
        <v>893</v>
      </c>
      <c r="K3261" t="s">
        <v>894</v>
      </c>
      <c r="L3261" s="12" t="s">
        <v>168</v>
      </c>
      <c r="M3261" s="12" t="s">
        <v>31</v>
      </c>
      <c r="N3261" s="12" t="s">
        <v>43</v>
      </c>
      <c r="O3261" s="12" t="s">
        <v>24</v>
      </c>
      <c r="P3261" s="12" t="s">
        <v>186</v>
      </c>
      <c r="Q3261" s="7" t="str">
        <f t="shared" si="151"/>
        <v>(2019,34,'2019.08.24',4,12,16,39,90,0),</v>
      </c>
      <c r="R3261" s="7" t="str">
        <f t="shared" si="153"/>
        <v>(2019,34,'2019.08.24',4,12,16,39,90),</v>
      </c>
    </row>
    <row r="3262" spans="1:18" x14ac:dyDescent="0.25">
      <c r="A3262" s="7" t="s">
        <v>806</v>
      </c>
      <c r="B3262" s="8" t="s">
        <v>64</v>
      </c>
      <c r="C3262" s="10">
        <f t="shared" si="152"/>
        <v>43708</v>
      </c>
      <c r="D3262" t="s">
        <v>11</v>
      </c>
      <c r="E3262" t="s">
        <v>12</v>
      </c>
      <c r="F3262" t="s">
        <v>198</v>
      </c>
      <c r="G3262" t="s">
        <v>885</v>
      </c>
      <c r="H3262" t="s">
        <v>886</v>
      </c>
      <c r="I3262" t="s">
        <v>887</v>
      </c>
      <c r="J3262" t="s">
        <v>888</v>
      </c>
      <c r="K3262" t="s">
        <v>889</v>
      </c>
      <c r="L3262" s="12" t="s">
        <v>126</v>
      </c>
      <c r="M3262" s="12" t="s">
        <v>13</v>
      </c>
      <c r="N3262" s="12" t="s">
        <v>45</v>
      </c>
      <c r="O3262" s="12" t="s">
        <v>142</v>
      </c>
      <c r="P3262" s="12" t="s">
        <v>192</v>
      </c>
      <c r="Q3262" s="7" t="str">
        <f t="shared" si="151"/>
        <v>(2019,35,'2019.08.31',28,41,43,44,46,0),</v>
      </c>
      <c r="R3262" s="7" t="str">
        <f t="shared" si="153"/>
        <v>(2019,35,'2019.08.31',28,41,43,44,46),</v>
      </c>
    </row>
    <row r="3263" spans="1:18" x14ac:dyDescent="0.25">
      <c r="A3263" s="7" t="s">
        <v>806</v>
      </c>
      <c r="B3263" s="8" t="s">
        <v>21</v>
      </c>
      <c r="C3263" s="10">
        <f t="shared" si="152"/>
        <v>43715</v>
      </c>
      <c r="D3263" t="s">
        <v>11</v>
      </c>
      <c r="E3263" t="s">
        <v>12</v>
      </c>
      <c r="F3263" t="s">
        <v>123</v>
      </c>
      <c r="G3263" t="s">
        <v>880</v>
      </c>
      <c r="H3263" t="s">
        <v>881</v>
      </c>
      <c r="I3263" t="s">
        <v>882</v>
      </c>
      <c r="J3263" t="s">
        <v>883</v>
      </c>
      <c r="K3263" t="s">
        <v>884</v>
      </c>
      <c r="L3263" s="12" t="s">
        <v>168</v>
      </c>
      <c r="M3263" s="12" t="s">
        <v>62</v>
      </c>
      <c r="N3263" s="12" t="s">
        <v>44</v>
      </c>
      <c r="O3263" s="12" t="s">
        <v>133</v>
      </c>
      <c r="P3263" s="12" t="s">
        <v>215</v>
      </c>
      <c r="Q3263" s="7" t="str">
        <f t="shared" si="151"/>
        <v>(2019,36,'2019.09.07',4,10,21,45,81,0),</v>
      </c>
      <c r="R3263" s="7" t="str">
        <f t="shared" si="153"/>
        <v>(2019,36,'2019.09.07',4,10,21,45,81),</v>
      </c>
    </row>
    <row r="3264" spans="1:18" x14ac:dyDescent="0.25">
      <c r="A3264" s="7" t="s">
        <v>806</v>
      </c>
      <c r="B3264" s="8" t="s">
        <v>46</v>
      </c>
      <c r="C3264" s="10">
        <f t="shared" si="152"/>
        <v>43722</v>
      </c>
      <c r="D3264" t="s">
        <v>11</v>
      </c>
      <c r="E3264" t="s">
        <v>12</v>
      </c>
      <c r="F3264" t="s">
        <v>44</v>
      </c>
      <c r="G3264" t="s">
        <v>875</v>
      </c>
      <c r="H3264" t="s">
        <v>876</v>
      </c>
      <c r="I3264" t="s">
        <v>877</v>
      </c>
      <c r="J3264" t="s">
        <v>878</v>
      </c>
      <c r="K3264" t="s">
        <v>879</v>
      </c>
      <c r="L3264" s="12" t="s">
        <v>10</v>
      </c>
      <c r="M3264" s="12" t="s">
        <v>124</v>
      </c>
      <c r="N3264" s="12" t="s">
        <v>248</v>
      </c>
      <c r="O3264" s="12" t="s">
        <v>106</v>
      </c>
      <c r="P3264" s="12" t="s">
        <v>125</v>
      </c>
      <c r="Q3264" s="7" t="str">
        <f t="shared" si="151"/>
        <v>(2019,37,'2019.09.14',40,62,63,75,83,0),</v>
      </c>
      <c r="R3264" s="7" t="str">
        <f t="shared" si="153"/>
        <v>(2019,37,'2019.09.14',40,62,63,75,83),</v>
      </c>
    </row>
    <row r="3265" spans="1:18" x14ac:dyDescent="0.25">
      <c r="A3265" s="7" t="s">
        <v>806</v>
      </c>
      <c r="B3265" s="8" t="s">
        <v>36</v>
      </c>
      <c r="C3265" s="10">
        <f t="shared" si="152"/>
        <v>43729</v>
      </c>
      <c r="D3265" t="s">
        <v>11</v>
      </c>
      <c r="E3265" t="s">
        <v>12</v>
      </c>
      <c r="F3265" t="s">
        <v>115</v>
      </c>
      <c r="G3265" t="s">
        <v>871</v>
      </c>
      <c r="H3265" t="s">
        <v>371</v>
      </c>
      <c r="I3265" t="s">
        <v>872</v>
      </c>
      <c r="J3265" t="s">
        <v>873</v>
      </c>
      <c r="K3265" t="s">
        <v>874</v>
      </c>
      <c r="L3265" s="12" t="s">
        <v>64</v>
      </c>
      <c r="M3265" s="12" t="s">
        <v>82</v>
      </c>
      <c r="N3265" s="12" t="s">
        <v>245</v>
      </c>
      <c r="O3265" s="12" t="s">
        <v>125</v>
      </c>
      <c r="P3265" s="12" t="s">
        <v>379</v>
      </c>
      <c r="Q3265" s="7" t="str">
        <f t="shared" si="151"/>
        <v>(2019,38,'2019.09.21',35,59,74,83,89,0),</v>
      </c>
      <c r="R3265" s="7" t="str">
        <f t="shared" si="153"/>
        <v>(2019,38,'2019.09.21',35,59,74,83,89),</v>
      </c>
    </row>
    <row r="3266" spans="1:18" x14ac:dyDescent="0.25">
      <c r="A3266" s="7" t="s">
        <v>806</v>
      </c>
      <c r="B3266" s="8" t="s">
        <v>24</v>
      </c>
      <c r="C3266" s="10">
        <f t="shared" si="152"/>
        <v>43736</v>
      </c>
      <c r="D3266" t="s">
        <v>11</v>
      </c>
      <c r="E3266" t="s">
        <v>12</v>
      </c>
      <c r="F3266" t="s">
        <v>127</v>
      </c>
      <c r="G3266" t="s">
        <v>867</v>
      </c>
      <c r="H3266" t="s">
        <v>868</v>
      </c>
      <c r="I3266" t="s">
        <v>869</v>
      </c>
      <c r="J3266" t="s">
        <v>870</v>
      </c>
      <c r="K3266" t="s">
        <v>174</v>
      </c>
      <c r="L3266" s="12" t="s">
        <v>127</v>
      </c>
      <c r="M3266" s="12" t="s">
        <v>71</v>
      </c>
      <c r="N3266" s="12" t="s">
        <v>24</v>
      </c>
      <c r="O3266" s="12" t="s">
        <v>13</v>
      </c>
      <c r="P3266" s="12" t="s">
        <v>56</v>
      </c>
      <c r="Q3266" s="7" t="str">
        <f t="shared" ref="Q3266:Q3329" si="154">"("&amp;A3266&amp;","&amp;B3266&amp;",'"&amp;TEXT(C3266,"éééé.hh.nn")&amp;"',"&amp;L3266&amp;","&amp;M3266&amp;","&amp;N3266&amp;","&amp;O3266&amp;","&amp;P3266&amp;",0)"&amp;IF(P3267&lt;&gt;0,",","")</f>
        <v>(2019,39,'2019.09.28',14,31,39,41,71,0),</v>
      </c>
      <c r="R3266" s="7" t="str">
        <f t="shared" si="153"/>
        <v>(2019,39,'2019.09.28',14,31,39,41,71),</v>
      </c>
    </row>
    <row r="3267" spans="1:18" x14ac:dyDescent="0.25">
      <c r="A3267" s="7" t="s">
        <v>806</v>
      </c>
      <c r="B3267" s="8" t="s">
        <v>10</v>
      </c>
      <c r="C3267" s="10">
        <f t="shared" ref="C3267:C3330" si="155">+C3266+7</f>
        <v>43743</v>
      </c>
      <c r="D3267" t="s">
        <v>11</v>
      </c>
      <c r="E3267" t="s">
        <v>12</v>
      </c>
      <c r="F3267" t="s">
        <v>107</v>
      </c>
      <c r="G3267" t="s">
        <v>862</v>
      </c>
      <c r="H3267" t="s">
        <v>863</v>
      </c>
      <c r="I3267" t="s">
        <v>864</v>
      </c>
      <c r="J3267" t="s">
        <v>865</v>
      </c>
      <c r="K3267" t="s">
        <v>866</v>
      </c>
      <c r="L3267" s="12" t="s">
        <v>127</v>
      </c>
      <c r="M3267" s="12" t="s">
        <v>20</v>
      </c>
      <c r="N3267" s="12" t="s">
        <v>23</v>
      </c>
      <c r="O3267" s="12" t="s">
        <v>63</v>
      </c>
      <c r="P3267" s="12" t="s">
        <v>125</v>
      </c>
      <c r="Q3267" s="7" t="str">
        <f t="shared" si="154"/>
        <v>(2019,40,'2019.10.05',14,33,60,78,83,0),</v>
      </c>
      <c r="R3267" s="7" t="str">
        <f t="shared" ref="R3267:R3330" si="156">IF(TRIM(P3267)="","","("&amp;A3267&amp;","&amp;B3267&amp;",'"&amp;TEXT(C3267,"éééé.hh.nn")&amp;"',"&amp;L3267&amp;","&amp;M3267&amp;","&amp;N3267&amp;","&amp;O3267&amp;","&amp;P3267&amp;")"&amp;IF(P3268=0,";",","))</f>
        <v>(2019,40,'2019.10.05',14,33,60,78,83),</v>
      </c>
    </row>
    <row r="3268" spans="1:18" x14ac:dyDescent="0.25">
      <c r="A3268" s="7" t="s">
        <v>806</v>
      </c>
      <c r="B3268" s="8" t="s">
        <v>13</v>
      </c>
      <c r="C3268" s="10">
        <f t="shared" si="155"/>
        <v>43750</v>
      </c>
      <c r="D3268" t="s">
        <v>11</v>
      </c>
      <c r="E3268" t="s">
        <v>12</v>
      </c>
      <c r="F3268" t="s">
        <v>74</v>
      </c>
      <c r="G3268" t="s">
        <v>858</v>
      </c>
      <c r="H3268" t="s">
        <v>859</v>
      </c>
      <c r="I3268" t="s">
        <v>860</v>
      </c>
      <c r="J3268" t="s">
        <v>861</v>
      </c>
      <c r="K3268" t="s">
        <v>438</v>
      </c>
      <c r="L3268" s="12" t="s">
        <v>198</v>
      </c>
      <c r="M3268" s="12" t="s">
        <v>116</v>
      </c>
      <c r="N3268" s="12" t="s">
        <v>134</v>
      </c>
      <c r="O3268" s="12" t="s">
        <v>200</v>
      </c>
      <c r="P3268" s="12" t="s">
        <v>622</v>
      </c>
      <c r="Q3268" s="7" t="str">
        <f t="shared" si="154"/>
        <v>(2019,41,'2019.10.12',9,29,56,70,82,0),</v>
      </c>
      <c r="R3268" s="7" t="str">
        <f t="shared" si="156"/>
        <v>(2019,41,'2019.10.12',9,29,56,70,82),</v>
      </c>
    </row>
    <row r="3269" spans="1:18" x14ac:dyDescent="0.25">
      <c r="A3269" s="7" t="s">
        <v>806</v>
      </c>
      <c r="B3269" s="8" t="s">
        <v>98</v>
      </c>
      <c r="C3269" s="10">
        <f t="shared" si="155"/>
        <v>43757</v>
      </c>
      <c r="D3269" t="s">
        <v>11</v>
      </c>
      <c r="E3269" t="s">
        <v>12</v>
      </c>
      <c r="F3269" t="s">
        <v>106</v>
      </c>
      <c r="G3269" t="s">
        <v>853</v>
      </c>
      <c r="H3269" t="s">
        <v>854</v>
      </c>
      <c r="I3269" t="s">
        <v>855</v>
      </c>
      <c r="J3269" t="s">
        <v>856</v>
      </c>
      <c r="K3269" t="s">
        <v>857</v>
      </c>
      <c r="L3269" s="12" t="s">
        <v>207</v>
      </c>
      <c r="M3269" s="12" t="s">
        <v>127</v>
      </c>
      <c r="N3269" s="12" t="s">
        <v>33</v>
      </c>
      <c r="O3269" s="12" t="s">
        <v>21</v>
      </c>
      <c r="P3269" s="12" t="s">
        <v>123</v>
      </c>
      <c r="Q3269" s="7" t="str">
        <f t="shared" si="154"/>
        <v>(2019,42,'2019.10.19',2,14,24,36,54,0),</v>
      </c>
      <c r="R3269" s="7" t="str">
        <f t="shared" si="156"/>
        <v>(2019,42,'2019.10.19',2,14,24,36,54),</v>
      </c>
    </row>
    <row r="3270" spans="1:18" x14ac:dyDescent="0.25">
      <c r="A3270" s="7" t="s">
        <v>806</v>
      </c>
      <c r="B3270" s="8" t="s">
        <v>45</v>
      </c>
      <c r="C3270" s="10">
        <f t="shared" si="155"/>
        <v>43764</v>
      </c>
      <c r="D3270" t="s">
        <v>11</v>
      </c>
      <c r="E3270" t="s">
        <v>12</v>
      </c>
      <c r="F3270" t="s">
        <v>116</v>
      </c>
      <c r="G3270" t="s">
        <v>848</v>
      </c>
      <c r="H3270" t="s">
        <v>849</v>
      </c>
      <c r="I3270" t="s">
        <v>850</v>
      </c>
      <c r="J3270" t="s">
        <v>851</v>
      </c>
      <c r="K3270" t="s">
        <v>852</v>
      </c>
      <c r="L3270" s="12" t="s">
        <v>90</v>
      </c>
      <c r="M3270" s="12" t="s">
        <v>115</v>
      </c>
      <c r="N3270" s="12" t="s">
        <v>13</v>
      </c>
      <c r="O3270" s="12" t="s">
        <v>133</v>
      </c>
      <c r="P3270" s="12" t="s">
        <v>468</v>
      </c>
      <c r="Q3270" s="7" t="str">
        <f t="shared" si="154"/>
        <v>(2019,43,'2019.10.26',17,20,41,45,85,0),</v>
      </c>
      <c r="R3270" s="7" t="str">
        <f t="shared" si="156"/>
        <v>(2019,43,'2019.10.26',17,20,41,45,85),</v>
      </c>
    </row>
    <row r="3271" spans="1:18" x14ac:dyDescent="0.25">
      <c r="A3271" s="7" t="s">
        <v>806</v>
      </c>
      <c r="B3271" s="8" t="s">
        <v>142</v>
      </c>
      <c r="C3271" s="10">
        <f t="shared" si="155"/>
        <v>43771</v>
      </c>
      <c r="D3271" t="s">
        <v>11</v>
      </c>
      <c r="E3271" t="s">
        <v>12</v>
      </c>
      <c r="F3271" t="s">
        <v>80</v>
      </c>
      <c r="G3271" t="s">
        <v>844</v>
      </c>
      <c r="H3271" t="s">
        <v>845</v>
      </c>
      <c r="I3271" t="s">
        <v>846</v>
      </c>
      <c r="J3271" t="s">
        <v>847</v>
      </c>
      <c r="K3271" t="s">
        <v>114</v>
      </c>
      <c r="L3271" s="12" t="s">
        <v>83</v>
      </c>
      <c r="M3271" s="12" t="s">
        <v>31</v>
      </c>
      <c r="N3271" s="12" t="s">
        <v>34</v>
      </c>
      <c r="O3271" s="12" t="s">
        <v>214</v>
      </c>
      <c r="P3271" s="12" t="s">
        <v>92</v>
      </c>
      <c r="Q3271" s="7" t="str">
        <f t="shared" si="154"/>
        <v>(2019,44,'2019.11.02',11,12,49,64,68,0),</v>
      </c>
      <c r="R3271" s="7" t="str">
        <f t="shared" si="156"/>
        <v>(2019,44,'2019.11.02',11,12,49,64,68),</v>
      </c>
    </row>
    <row r="3272" spans="1:18" x14ac:dyDescent="0.25">
      <c r="A3272" s="7" t="s">
        <v>806</v>
      </c>
      <c r="B3272" s="8" t="s">
        <v>133</v>
      </c>
      <c r="C3272" s="10">
        <f t="shared" si="155"/>
        <v>43778</v>
      </c>
      <c r="D3272" t="s">
        <v>11</v>
      </c>
      <c r="E3272" t="s">
        <v>12</v>
      </c>
      <c r="F3272" t="s">
        <v>122</v>
      </c>
      <c r="G3272" t="s">
        <v>839</v>
      </c>
      <c r="H3272" t="s">
        <v>840</v>
      </c>
      <c r="I3272" t="s">
        <v>841</v>
      </c>
      <c r="J3272" t="s">
        <v>842</v>
      </c>
      <c r="K3272" t="s">
        <v>843</v>
      </c>
      <c r="L3272" s="12" t="s">
        <v>168</v>
      </c>
      <c r="M3272" s="12" t="s">
        <v>270</v>
      </c>
      <c r="N3272" s="12" t="s">
        <v>62</v>
      </c>
      <c r="O3272" s="12" t="s">
        <v>133</v>
      </c>
      <c r="P3272" s="12" t="s">
        <v>82</v>
      </c>
      <c r="Q3272" s="7" t="str">
        <f t="shared" si="154"/>
        <v>(2019,45,'2019.11.09',4,6,10,45,59,0),</v>
      </c>
      <c r="R3272" s="7" t="str">
        <f t="shared" si="156"/>
        <v>(2019,45,'2019.11.09',4,6,10,45,59),</v>
      </c>
    </row>
    <row r="3273" spans="1:18" x14ac:dyDescent="0.25">
      <c r="A3273" s="7" t="s">
        <v>806</v>
      </c>
      <c r="B3273" s="8" t="s">
        <v>192</v>
      </c>
      <c r="C3273" s="10">
        <f t="shared" si="155"/>
        <v>43785</v>
      </c>
      <c r="D3273" t="s">
        <v>11</v>
      </c>
      <c r="E3273" t="s">
        <v>12</v>
      </c>
      <c r="F3273" t="s">
        <v>46</v>
      </c>
      <c r="G3273" t="s">
        <v>835</v>
      </c>
      <c r="H3273" t="s">
        <v>836</v>
      </c>
      <c r="I3273" t="s">
        <v>700</v>
      </c>
      <c r="J3273" t="s">
        <v>837</v>
      </c>
      <c r="K3273" t="s">
        <v>838</v>
      </c>
      <c r="L3273" s="12" t="s">
        <v>90</v>
      </c>
      <c r="M3273" s="12" t="s">
        <v>55</v>
      </c>
      <c r="N3273" s="12" t="s">
        <v>46</v>
      </c>
      <c r="O3273" s="12" t="s">
        <v>91</v>
      </c>
      <c r="P3273" s="12" t="s">
        <v>200</v>
      </c>
      <c r="Q3273" s="7" t="str">
        <f t="shared" si="154"/>
        <v>(2019,46,'2019.11.16',17,19,37,61,70,0),</v>
      </c>
      <c r="R3273" s="7" t="str">
        <f t="shared" si="156"/>
        <v>(2019,46,'2019.11.16',17,19,37,61,70),</v>
      </c>
    </row>
    <row r="3274" spans="1:18" x14ac:dyDescent="0.25">
      <c r="A3274" s="7" t="s">
        <v>806</v>
      </c>
      <c r="B3274" s="8" t="s">
        <v>81</v>
      </c>
      <c r="C3274" s="10">
        <f t="shared" si="155"/>
        <v>43792</v>
      </c>
      <c r="D3274" t="s">
        <v>11</v>
      </c>
      <c r="E3274" t="s">
        <v>12</v>
      </c>
      <c r="F3274" t="s">
        <v>64</v>
      </c>
      <c r="G3274" t="s">
        <v>831</v>
      </c>
      <c r="H3274" t="s">
        <v>832</v>
      </c>
      <c r="I3274" t="s">
        <v>833</v>
      </c>
      <c r="J3274" t="s">
        <v>834</v>
      </c>
      <c r="K3274" t="s">
        <v>575</v>
      </c>
      <c r="L3274" s="12" t="s">
        <v>89</v>
      </c>
      <c r="M3274" s="12" t="s">
        <v>115</v>
      </c>
      <c r="N3274" s="12" t="s">
        <v>72</v>
      </c>
      <c r="O3274" s="12" t="s">
        <v>56</v>
      </c>
      <c r="P3274" s="12" t="s">
        <v>125</v>
      </c>
      <c r="Q3274" s="7" t="str">
        <f t="shared" si="154"/>
        <v>(2019,47,'2019.11.23',5,20,67,71,83,0),</v>
      </c>
      <c r="R3274" s="7" t="str">
        <f t="shared" si="156"/>
        <v>(2019,47,'2019.11.23',5,20,67,71,83),</v>
      </c>
    </row>
    <row r="3275" spans="1:18" x14ac:dyDescent="0.25">
      <c r="A3275" s="7" t="s">
        <v>806</v>
      </c>
      <c r="B3275" s="8" t="s">
        <v>22</v>
      </c>
      <c r="C3275" s="10">
        <f t="shared" si="155"/>
        <v>43799</v>
      </c>
      <c r="D3275" t="s">
        <v>11</v>
      </c>
      <c r="E3275" t="s">
        <v>12</v>
      </c>
      <c r="F3275" t="s">
        <v>34</v>
      </c>
      <c r="G3275" t="s">
        <v>826</v>
      </c>
      <c r="H3275" t="s">
        <v>827</v>
      </c>
      <c r="I3275" t="s">
        <v>828</v>
      </c>
      <c r="J3275" t="s">
        <v>829</v>
      </c>
      <c r="K3275" t="s">
        <v>830</v>
      </c>
      <c r="L3275" s="12" t="s">
        <v>198</v>
      </c>
      <c r="M3275" s="12" t="s">
        <v>54</v>
      </c>
      <c r="N3275" s="12" t="s">
        <v>116</v>
      </c>
      <c r="O3275" s="12" t="s">
        <v>34</v>
      </c>
      <c r="P3275" s="12" t="s">
        <v>125</v>
      </c>
      <c r="Q3275" s="7" t="str">
        <f t="shared" si="154"/>
        <v>(2019,48,'2019.11.30',9,15,29,49,83,0),</v>
      </c>
      <c r="R3275" s="7" t="str">
        <f t="shared" si="156"/>
        <v>(2019,48,'2019.11.30',9,15,29,49,83),</v>
      </c>
    </row>
    <row r="3276" spans="1:18" x14ac:dyDescent="0.25">
      <c r="A3276" s="7" t="s">
        <v>806</v>
      </c>
      <c r="B3276" s="8" t="s">
        <v>34</v>
      </c>
      <c r="C3276" s="10">
        <f t="shared" si="155"/>
        <v>43806</v>
      </c>
      <c r="D3276" t="s">
        <v>11</v>
      </c>
      <c r="E3276" t="s">
        <v>12</v>
      </c>
      <c r="F3276" t="s">
        <v>33</v>
      </c>
      <c r="G3276" t="s">
        <v>821</v>
      </c>
      <c r="H3276" t="s">
        <v>822</v>
      </c>
      <c r="I3276" t="s">
        <v>823</v>
      </c>
      <c r="J3276" t="s">
        <v>824</v>
      </c>
      <c r="K3276" t="s">
        <v>825</v>
      </c>
      <c r="L3276" s="12" t="s">
        <v>54</v>
      </c>
      <c r="M3276" s="12" t="s">
        <v>90</v>
      </c>
      <c r="N3276" s="12" t="s">
        <v>248</v>
      </c>
      <c r="O3276" s="12" t="s">
        <v>201</v>
      </c>
      <c r="P3276" s="12" t="s">
        <v>186</v>
      </c>
      <c r="Q3276" s="7" t="str">
        <f t="shared" si="154"/>
        <v>(2019,49,'2019.12.07',15,17,63,72,90,0),</v>
      </c>
      <c r="R3276" s="7" t="str">
        <f t="shared" si="156"/>
        <v>(2019,49,'2019.12.07',15,17,63,72,90),</v>
      </c>
    </row>
    <row r="3277" spans="1:18" x14ac:dyDescent="0.25">
      <c r="A3277" s="7" t="s">
        <v>806</v>
      </c>
      <c r="B3277" s="8" t="s">
        <v>105</v>
      </c>
      <c r="C3277" s="10">
        <f t="shared" si="155"/>
        <v>43813</v>
      </c>
      <c r="D3277" t="s">
        <v>11</v>
      </c>
      <c r="E3277" t="s">
        <v>12</v>
      </c>
      <c r="F3277" t="s">
        <v>214</v>
      </c>
      <c r="G3277" t="s">
        <v>816</v>
      </c>
      <c r="H3277" t="s">
        <v>817</v>
      </c>
      <c r="I3277" t="s">
        <v>818</v>
      </c>
      <c r="J3277" t="s">
        <v>819</v>
      </c>
      <c r="K3277" t="s">
        <v>820</v>
      </c>
      <c r="L3277" s="12" t="s">
        <v>126</v>
      </c>
      <c r="M3277" s="12" t="s">
        <v>25</v>
      </c>
      <c r="N3277" s="12" t="s">
        <v>123</v>
      </c>
      <c r="O3277" s="12" t="s">
        <v>124</v>
      </c>
      <c r="P3277" s="12" t="s">
        <v>246</v>
      </c>
      <c r="Q3277" s="7" t="str">
        <f t="shared" si="154"/>
        <v>(2019,50,'2019.12.14',28,34,54,62,84,0),</v>
      </c>
      <c r="R3277" s="7" t="str">
        <f t="shared" si="156"/>
        <v>(2019,50,'2019.12.14',28,34,54,62,84),</v>
      </c>
    </row>
    <row r="3278" spans="1:18" x14ac:dyDescent="0.25">
      <c r="A3278" s="7" t="s">
        <v>806</v>
      </c>
      <c r="B3278" s="8" t="s">
        <v>122</v>
      </c>
      <c r="C3278" s="10">
        <f t="shared" si="155"/>
        <v>43820</v>
      </c>
      <c r="D3278" t="s">
        <v>11</v>
      </c>
      <c r="E3278" t="s">
        <v>12</v>
      </c>
      <c r="F3278" t="s">
        <v>116</v>
      </c>
      <c r="G3278" t="s">
        <v>812</v>
      </c>
      <c r="H3278" t="s">
        <v>813</v>
      </c>
      <c r="I3278" t="s">
        <v>814</v>
      </c>
      <c r="J3278" t="s">
        <v>815</v>
      </c>
      <c r="K3278" t="s">
        <v>307</v>
      </c>
      <c r="L3278" s="12" t="s">
        <v>207</v>
      </c>
      <c r="M3278" s="12" t="s">
        <v>116</v>
      </c>
      <c r="N3278" s="12" t="s">
        <v>199</v>
      </c>
      <c r="O3278" s="12" t="s">
        <v>200</v>
      </c>
      <c r="P3278" s="12" t="s">
        <v>622</v>
      </c>
      <c r="Q3278" s="7" t="str">
        <f t="shared" si="154"/>
        <v>(2019,51,'2019.12.21',2,29,53,70,82,0),</v>
      </c>
      <c r="R3278" s="7" t="str">
        <f t="shared" si="156"/>
        <v>(2019,51,'2019.12.21',2,29,53,70,82),</v>
      </c>
    </row>
    <row r="3279" spans="1:18" x14ac:dyDescent="0.25">
      <c r="A3279" s="7" t="s">
        <v>806</v>
      </c>
      <c r="B3279" s="8" t="s">
        <v>99</v>
      </c>
      <c r="C3279" s="10">
        <f t="shared" si="155"/>
        <v>43827</v>
      </c>
      <c r="D3279" t="s">
        <v>11</v>
      </c>
      <c r="E3279" t="s">
        <v>12</v>
      </c>
      <c r="F3279" t="s">
        <v>33</v>
      </c>
      <c r="G3279" t="s">
        <v>807</v>
      </c>
      <c r="H3279" t="s">
        <v>808</v>
      </c>
      <c r="I3279" t="s">
        <v>809</v>
      </c>
      <c r="J3279" t="s">
        <v>810</v>
      </c>
      <c r="K3279" t="s">
        <v>811</v>
      </c>
      <c r="L3279" s="12" t="s">
        <v>71</v>
      </c>
      <c r="M3279" s="12" t="s">
        <v>142</v>
      </c>
      <c r="N3279" s="12" t="s">
        <v>192</v>
      </c>
      <c r="O3279" s="12" t="s">
        <v>56</v>
      </c>
      <c r="P3279" s="12" t="s">
        <v>246</v>
      </c>
      <c r="Q3279" s="7" t="str">
        <f t="shared" si="154"/>
        <v>(2019,52,'2019.12.28',31,44,46,71,84,0),</v>
      </c>
      <c r="R3279" s="7" t="str">
        <f t="shared" si="156"/>
        <v>(2019,52,'2019.12.28',31,44,46,71,84),</v>
      </c>
    </row>
    <row r="3280" spans="1:18" x14ac:dyDescent="0.25">
      <c r="A3280" s="7" t="s">
        <v>555</v>
      </c>
      <c r="B3280" s="8" t="s">
        <v>108</v>
      </c>
      <c r="C3280" s="10">
        <f t="shared" si="155"/>
        <v>43834</v>
      </c>
      <c r="D3280" t="s">
        <v>11</v>
      </c>
      <c r="E3280" t="s">
        <v>12</v>
      </c>
      <c r="F3280" t="s">
        <v>246</v>
      </c>
      <c r="G3280" t="s">
        <v>801</v>
      </c>
      <c r="H3280" t="s">
        <v>802</v>
      </c>
      <c r="I3280" t="s">
        <v>803</v>
      </c>
      <c r="J3280" t="s">
        <v>804</v>
      </c>
      <c r="K3280" t="s">
        <v>805</v>
      </c>
      <c r="L3280" s="12" t="s">
        <v>168</v>
      </c>
      <c r="M3280" s="12" t="s">
        <v>135</v>
      </c>
      <c r="N3280" s="12" t="s">
        <v>199</v>
      </c>
      <c r="O3280" s="12" t="s">
        <v>72</v>
      </c>
      <c r="P3280" s="12" t="s">
        <v>92</v>
      </c>
      <c r="Q3280" s="7" t="str">
        <f t="shared" si="154"/>
        <v>(2020,1,'2020.01.04',4,27,53,67,68,0),</v>
      </c>
      <c r="R3280" s="7" t="str">
        <f t="shared" si="156"/>
        <v>(2020,1,'2020.01.04',4,27,53,67,68),</v>
      </c>
    </row>
    <row r="3281" spans="1:18" x14ac:dyDescent="0.25">
      <c r="A3281" s="7" t="s">
        <v>555</v>
      </c>
      <c r="B3281" s="8" t="s">
        <v>207</v>
      </c>
      <c r="C3281" s="10">
        <f t="shared" si="155"/>
        <v>43841</v>
      </c>
      <c r="D3281" t="s">
        <v>11</v>
      </c>
      <c r="E3281" t="s">
        <v>12</v>
      </c>
      <c r="F3281" t="s">
        <v>45</v>
      </c>
      <c r="G3281" t="s">
        <v>796</v>
      </c>
      <c r="H3281" t="s">
        <v>797</v>
      </c>
      <c r="I3281" t="s">
        <v>798</v>
      </c>
      <c r="J3281" t="s">
        <v>799</v>
      </c>
      <c r="K3281" t="s">
        <v>800</v>
      </c>
      <c r="L3281" s="12" t="s">
        <v>22</v>
      </c>
      <c r="M3281" s="12" t="s">
        <v>123</v>
      </c>
      <c r="N3281" s="12" t="s">
        <v>248</v>
      </c>
      <c r="O3281" s="12" t="s">
        <v>622</v>
      </c>
      <c r="P3281" s="12" t="s">
        <v>208</v>
      </c>
      <c r="Q3281" s="7" t="str">
        <f t="shared" si="154"/>
        <v>(2020,2,'2020.01.11',48,54,63,82,88,0),</v>
      </c>
      <c r="R3281" s="7" t="str">
        <f t="shared" si="156"/>
        <v>(2020,2,'2020.01.11',48,54,63,82,88),</v>
      </c>
    </row>
    <row r="3282" spans="1:18" x14ac:dyDescent="0.25">
      <c r="A3282" s="7" t="s">
        <v>555</v>
      </c>
      <c r="B3282" s="8" t="s">
        <v>42</v>
      </c>
      <c r="C3282" s="10">
        <f t="shared" si="155"/>
        <v>43848</v>
      </c>
      <c r="D3282" t="s">
        <v>11</v>
      </c>
      <c r="E3282" t="s">
        <v>12</v>
      </c>
      <c r="F3282" t="s">
        <v>790</v>
      </c>
      <c r="G3282" t="s">
        <v>791</v>
      </c>
      <c r="H3282" t="s">
        <v>792</v>
      </c>
      <c r="I3282" t="s">
        <v>793</v>
      </c>
      <c r="J3282" t="s">
        <v>794</v>
      </c>
      <c r="K3282" t="s">
        <v>795</v>
      </c>
      <c r="L3282" s="12" t="s">
        <v>19</v>
      </c>
      <c r="M3282" s="12" t="s">
        <v>163</v>
      </c>
      <c r="N3282" s="12" t="s">
        <v>134</v>
      </c>
      <c r="O3282" s="12" t="s">
        <v>150</v>
      </c>
      <c r="P3282" s="12" t="s">
        <v>239</v>
      </c>
      <c r="Q3282" s="7" t="str">
        <f t="shared" si="154"/>
        <v>(2020,3,'2020.01.18',18,23,56,57,73,0),</v>
      </c>
      <c r="R3282" s="7" t="str">
        <f t="shared" si="156"/>
        <v>(2020,3,'2020.01.18',18,23,56,57,73),</v>
      </c>
    </row>
    <row r="3283" spans="1:18" x14ac:dyDescent="0.25">
      <c r="A3283" s="7" t="s">
        <v>555</v>
      </c>
      <c r="B3283" s="8" t="s">
        <v>168</v>
      </c>
      <c r="C3283" s="10">
        <f t="shared" si="155"/>
        <v>43855</v>
      </c>
      <c r="D3283" t="s">
        <v>11</v>
      </c>
      <c r="E3283" t="s">
        <v>12</v>
      </c>
      <c r="F3283" t="s">
        <v>762</v>
      </c>
      <c r="G3283" t="s">
        <v>785</v>
      </c>
      <c r="H3283" t="s">
        <v>786</v>
      </c>
      <c r="I3283" t="s">
        <v>787</v>
      </c>
      <c r="J3283" t="s">
        <v>788</v>
      </c>
      <c r="K3283" t="s">
        <v>789</v>
      </c>
      <c r="L3283" s="12" t="s">
        <v>42</v>
      </c>
      <c r="M3283" s="12" t="s">
        <v>232</v>
      </c>
      <c r="N3283" s="12" t="s">
        <v>163</v>
      </c>
      <c r="O3283" s="12" t="s">
        <v>122</v>
      </c>
      <c r="P3283" s="12" t="s">
        <v>134</v>
      </c>
      <c r="Q3283" s="7" t="str">
        <f t="shared" si="154"/>
        <v>(2020,4,'2020.01.25',3,8,23,51,56,0),</v>
      </c>
      <c r="R3283" s="7" t="str">
        <f t="shared" si="156"/>
        <v>(2020,4,'2020.01.25',3,8,23,51,56),</v>
      </c>
    </row>
    <row r="3284" spans="1:18" x14ac:dyDescent="0.25">
      <c r="A3284" s="7" t="s">
        <v>555</v>
      </c>
      <c r="B3284" s="8" t="s">
        <v>89</v>
      </c>
      <c r="C3284" s="10">
        <f t="shared" si="155"/>
        <v>43862</v>
      </c>
      <c r="D3284" t="s">
        <v>11</v>
      </c>
      <c r="E3284" t="s">
        <v>12</v>
      </c>
      <c r="F3284" t="s">
        <v>21</v>
      </c>
      <c r="G3284" t="s">
        <v>781</v>
      </c>
      <c r="H3284" t="s">
        <v>782</v>
      </c>
      <c r="I3284" t="s">
        <v>783</v>
      </c>
      <c r="J3284" t="s">
        <v>784</v>
      </c>
      <c r="K3284" t="s">
        <v>307</v>
      </c>
      <c r="L3284" s="12" t="s">
        <v>89</v>
      </c>
      <c r="M3284" s="12" t="s">
        <v>19</v>
      </c>
      <c r="N3284" s="12" t="s">
        <v>248</v>
      </c>
      <c r="O3284" s="12" t="s">
        <v>73</v>
      </c>
      <c r="P3284" s="12" t="s">
        <v>301</v>
      </c>
      <c r="Q3284" s="7" t="str">
        <f t="shared" si="154"/>
        <v>(2020,5,'2020.02.01',5,18,63,76,80,0),</v>
      </c>
      <c r="R3284" s="7" t="str">
        <f t="shared" si="156"/>
        <v>(2020,5,'2020.02.01',5,18,63,76,80),</v>
      </c>
    </row>
    <row r="3285" spans="1:18" x14ac:dyDescent="0.25">
      <c r="A3285" s="7" t="s">
        <v>555</v>
      </c>
      <c r="B3285" s="8" t="s">
        <v>270</v>
      </c>
      <c r="C3285" s="10">
        <f t="shared" si="155"/>
        <v>43869</v>
      </c>
      <c r="D3285" t="s">
        <v>11</v>
      </c>
      <c r="E3285" t="s">
        <v>12</v>
      </c>
      <c r="F3285" t="s">
        <v>199</v>
      </c>
      <c r="G3285" t="s">
        <v>776</v>
      </c>
      <c r="H3285" t="s">
        <v>777</v>
      </c>
      <c r="I3285" t="s">
        <v>778</v>
      </c>
      <c r="J3285" t="s">
        <v>779</v>
      </c>
      <c r="K3285" t="s">
        <v>780</v>
      </c>
      <c r="L3285" s="12" t="s">
        <v>270</v>
      </c>
      <c r="M3285" s="12" t="s">
        <v>32</v>
      </c>
      <c r="N3285" s="12" t="s">
        <v>34</v>
      </c>
      <c r="O3285" s="12" t="s">
        <v>214</v>
      </c>
      <c r="P3285" s="12" t="s">
        <v>35</v>
      </c>
      <c r="Q3285" s="7" t="str">
        <f t="shared" si="154"/>
        <v>(2020,6,'2020.02.08',6,22,49,64,65,0),</v>
      </c>
      <c r="R3285" s="7" t="str">
        <f t="shared" si="156"/>
        <v>(2020,6,'2020.02.08',6,22,49,64,65),</v>
      </c>
    </row>
    <row r="3286" spans="1:18" x14ac:dyDescent="0.25">
      <c r="A3286" s="7" t="s">
        <v>555</v>
      </c>
      <c r="B3286" s="8" t="s">
        <v>53</v>
      </c>
      <c r="C3286" s="10">
        <f t="shared" si="155"/>
        <v>43876</v>
      </c>
      <c r="D3286" t="s">
        <v>11</v>
      </c>
      <c r="E3286" t="s">
        <v>12</v>
      </c>
      <c r="F3286" t="s">
        <v>13</v>
      </c>
      <c r="G3286" t="s">
        <v>772</v>
      </c>
      <c r="H3286" t="s">
        <v>773</v>
      </c>
      <c r="I3286" t="s">
        <v>774</v>
      </c>
      <c r="J3286" t="s">
        <v>775</v>
      </c>
      <c r="K3286" t="s">
        <v>414</v>
      </c>
      <c r="L3286" s="12" t="s">
        <v>126</v>
      </c>
      <c r="M3286" s="12" t="s">
        <v>13</v>
      </c>
      <c r="N3286" s="12" t="s">
        <v>99</v>
      </c>
      <c r="O3286" s="12" t="s">
        <v>150</v>
      </c>
      <c r="P3286" s="12" t="s">
        <v>308</v>
      </c>
      <c r="Q3286" s="7" t="str">
        <f t="shared" si="154"/>
        <v>(2020,7,'2020.02.15',28,41,52,57,86,0),</v>
      </c>
      <c r="R3286" s="7" t="str">
        <f t="shared" si="156"/>
        <v>(2020,7,'2020.02.15',28,41,52,57,86),</v>
      </c>
    </row>
    <row r="3287" spans="1:18" x14ac:dyDescent="0.25">
      <c r="A3287" s="7" t="s">
        <v>555</v>
      </c>
      <c r="B3287" s="8" t="s">
        <v>232</v>
      </c>
      <c r="C3287" s="10">
        <f t="shared" si="155"/>
        <v>43883</v>
      </c>
      <c r="D3287" t="s">
        <v>11</v>
      </c>
      <c r="E3287" t="s">
        <v>12</v>
      </c>
      <c r="F3287" t="s">
        <v>64</v>
      </c>
      <c r="G3287" t="s">
        <v>767</v>
      </c>
      <c r="H3287" t="s">
        <v>768</v>
      </c>
      <c r="I3287" t="s">
        <v>769</v>
      </c>
      <c r="J3287" t="s">
        <v>770</v>
      </c>
      <c r="K3287" t="s">
        <v>771</v>
      </c>
      <c r="L3287" s="12" t="s">
        <v>43</v>
      </c>
      <c r="M3287" s="12" t="s">
        <v>71</v>
      </c>
      <c r="N3287" s="12" t="s">
        <v>169</v>
      </c>
      <c r="O3287" s="12" t="s">
        <v>106</v>
      </c>
      <c r="P3287" s="12" t="s">
        <v>143</v>
      </c>
      <c r="Q3287" s="7" t="str">
        <f t="shared" si="154"/>
        <v>(2020,8,'2020.02.22',16,31,58,75,77,0),</v>
      </c>
      <c r="R3287" s="7" t="str">
        <f t="shared" si="156"/>
        <v>(2020,8,'2020.02.22',16,31,58,75,77),</v>
      </c>
    </row>
    <row r="3288" spans="1:18" x14ac:dyDescent="0.25">
      <c r="A3288" s="7" t="s">
        <v>555</v>
      </c>
      <c r="B3288" s="8" t="s">
        <v>198</v>
      </c>
      <c r="C3288" s="10">
        <f t="shared" si="155"/>
        <v>43890</v>
      </c>
      <c r="D3288" t="s">
        <v>11</v>
      </c>
      <c r="E3288" t="s">
        <v>12</v>
      </c>
      <c r="F3288" t="s">
        <v>762</v>
      </c>
      <c r="G3288" t="s">
        <v>763</v>
      </c>
      <c r="H3288" t="s">
        <v>764</v>
      </c>
      <c r="I3288" t="s">
        <v>765</v>
      </c>
      <c r="J3288" t="s">
        <v>766</v>
      </c>
      <c r="K3288" t="s">
        <v>393</v>
      </c>
      <c r="L3288" s="12" t="s">
        <v>65</v>
      </c>
      <c r="M3288" s="12" t="s">
        <v>54</v>
      </c>
      <c r="N3288" s="12" t="s">
        <v>90</v>
      </c>
      <c r="O3288" s="12" t="s">
        <v>163</v>
      </c>
      <c r="P3288" s="12" t="s">
        <v>46</v>
      </c>
      <c r="Q3288" s="7" t="str">
        <f t="shared" si="154"/>
        <v>(2020,9,'2020.02.29',13,15,17,23,37,0),</v>
      </c>
      <c r="R3288" s="7" t="str">
        <f t="shared" si="156"/>
        <v>(2020,9,'2020.02.29',13,15,17,23,37),</v>
      </c>
    </row>
    <row r="3289" spans="1:18" x14ac:dyDescent="0.25">
      <c r="A3289" s="7" t="s">
        <v>555</v>
      </c>
      <c r="B3289" s="8" t="s">
        <v>62</v>
      </c>
      <c r="C3289" s="10">
        <f t="shared" si="155"/>
        <v>43897</v>
      </c>
      <c r="D3289" t="s">
        <v>11</v>
      </c>
      <c r="E3289" t="s">
        <v>12</v>
      </c>
      <c r="F3289" t="s">
        <v>135</v>
      </c>
      <c r="G3289" t="s">
        <v>757</v>
      </c>
      <c r="H3289" t="s">
        <v>758</v>
      </c>
      <c r="I3289" t="s">
        <v>759</v>
      </c>
      <c r="J3289" t="s">
        <v>760</v>
      </c>
      <c r="K3289" t="s">
        <v>761</v>
      </c>
      <c r="L3289" s="12" t="s">
        <v>46</v>
      </c>
      <c r="M3289" s="12" t="s">
        <v>99</v>
      </c>
      <c r="N3289" s="12" t="s">
        <v>123</v>
      </c>
      <c r="O3289" s="12" t="s">
        <v>215</v>
      </c>
      <c r="P3289" s="12" t="s">
        <v>379</v>
      </c>
      <c r="Q3289" s="7" t="str">
        <f t="shared" si="154"/>
        <v>(2020,10,'2020.03.07',37,52,54,81,89,0),</v>
      </c>
      <c r="R3289" s="7" t="str">
        <f t="shared" si="156"/>
        <v>(2020,10,'2020.03.07',37,52,54,81,89),</v>
      </c>
    </row>
    <row r="3290" spans="1:18" x14ac:dyDescent="0.25">
      <c r="A3290" s="7" t="s">
        <v>555</v>
      </c>
      <c r="B3290" s="8" t="s">
        <v>83</v>
      </c>
      <c r="C3290" s="10">
        <f t="shared" si="155"/>
        <v>43904</v>
      </c>
      <c r="D3290" t="s">
        <v>11</v>
      </c>
      <c r="E3290" t="s">
        <v>12</v>
      </c>
      <c r="F3290" t="s">
        <v>105</v>
      </c>
      <c r="G3290" t="s">
        <v>752</v>
      </c>
      <c r="H3290" t="s">
        <v>753</v>
      </c>
      <c r="I3290" t="s">
        <v>754</v>
      </c>
      <c r="J3290" t="s">
        <v>755</v>
      </c>
      <c r="K3290" t="s">
        <v>756</v>
      </c>
      <c r="L3290" s="12" t="s">
        <v>31</v>
      </c>
      <c r="M3290" s="12" t="s">
        <v>115</v>
      </c>
      <c r="N3290" s="12" t="s">
        <v>107</v>
      </c>
      <c r="O3290" s="12" t="s">
        <v>13</v>
      </c>
      <c r="P3290" s="12" t="s">
        <v>143</v>
      </c>
      <c r="Q3290" s="7" t="str">
        <f t="shared" si="154"/>
        <v>(2020,11,'2020.03.14',12,20,30,41,77,0),</v>
      </c>
      <c r="R3290" s="7" t="str">
        <f t="shared" si="156"/>
        <v>(2020,11,'2020.03.14',12,20,30,41,77),</v>
      </c>
    </row>
    <row r="3291" spans="1:18" x14ac:dyDescent="0.25">
      <c r="A3291" s="7" t="s">
        <v>555</v>
      </c>
      <c r="B3291" s="8" t="s">
        <v>31</v>
      </c>
      <c r="C3291" s="10">
        <f t="shared" si="155"/>
        <v>43911</v>
      </c>
      <c r="D3291" t="s">
        <v>11</v>
      </c>
      <c r="E3291" t="s">
        <v>12</v>
      </c>
      <c r="F3291" t="s">
        <v>135</v>
      </c>
      <c r="G3291" t="s">
        <v>747</v>
      </c>
      <c r="H3291" t="s">
        <v>748</v>
      </c>
      <c r="I3291" t="s">
        <v>749</v>
      </c>
      <c r="J3291" t="s">
        <v>750</v>
      </c>
      <c r="K3291" t="s">
        <v>751</v>
      </c>
      <c r="L3291" s="12" t="s">
        <v>10</v>
      </c>
      <c r="M3291" s="12" t="s">
        <v>22</v>
      </c>
      <c r="N3291" s="12" t="s">
        <v>82</v>
      </c>
      <c r="O3291" s="12" t="s">
        <v>23</v>
      </c>
      <c r="P3291" s="12" t="s">
        <v>214</v>
      </c>
      <c r="Q3291" s="7" t="str">
        <f t="shared" si="154"/>
        <v>(2020,12,'2020.03.21',40,48,59,60,64,0),</v>
      </c>
      <c r="R3291" s="7" t="str">
        <f t="shared" si="156"/>
        <v>(2020,12,'2020.03.21',40,48,59,60,64),</v>
      </c>
    </row>
    <row r="3292" spans="1:18" x14ac:dyDescent="0.25">
      <c r="A3292" s="7" t="s">
        <v>555</v>
      </c>
      <c r="B3292" s="8" t="s">
        <v>65</v>
      </c>
      <c r="C3292" s="10">
        <f t="shared" si="155"/>
        <v>43918</v>
      </c>
      <c r="D3292" t="s">
        <v>108</v>
      </c>
      <c r="E3292" t="s">
        <v>741</v>
      </c>
      <c r="F3292" t="s">
        <v>13</v>
      </c>
      <c r="G3292" t="s">
        <v>742</v>
      </c>
      <c r="H3292" t="s">
        <v>743</v>
      </c>
      <c r="I3292" t="s">
        <v>744</v>
      </c>
      <c r="J3292" t="s">
        <v>745</v>
      </c>
      <c r="K3292" t="s">
        <v>746</v>
      </c>
      <c r="L3292" s="12" t="s">
        <v>115</v>
      </c>
      <c r="M3292" s="12" t="s">
        <v>20</v>
      </c>
      <c r="N3292" s="12" t="s">
        <v>24</v>
      </c>
      <c r="O3292" s="12" t="s">
        <v>105</v>
      </c>
      <c r="P3292" s="12" t="s">
        <v>214</v>
      </c>
      <c r="Q3292" s="7" t="str">
        <f t="shared" si="154"/>
        <v>(2020,13,'2020.03.28',20,33,39,50,64,0),</v>
      </c>
      <c r="R3292" s="7" t="str">
        <f t="shared" si="156"/>
        <v>(2020,13,'2020.03.28',20,33,39,50,64),</v>
      </c>
    </row>
    <row r="3293" spans="1:18" x14ac:dyDescent="0.25">
      <c r="A3293" s="7" t="s">
        <v>555</v>
      </c>
      <c r="B3293" s="8" t="s">
        <v>127</v>
      </c>
      <c r="C3293" s="10">
        <f t="shared" si="155"/>
        <v>43925</v>
      </c>
      <c r="D3293" t="s">
        <v>11</v>
      </c>
      <c r="E3293" t="s">
        <v>12</v>
      </c>
      <c r="F3293" t="s">
        <v>43</v>
      </c>
      <c r="G3293" t="s">
        <v>736</v>
      </c>
      <c r="H3293" t="s">
        <v>737</v>
      </c>
      <c r="I3293" t="s">
        <v>738</v>
      </c>
      <c r="J3293" t="s">
        <v>739</v>
      </c>
      <c r="K3293" t="s">
        <v>740</v>
      </c>
      <c r="L3293" s="12" t="s">
        <v>71</v>
      </c>
      <c r="M3293" s="12" t="s">
        <v>150</v>
      </c>
      <c r="N3293" s="12" t="s">
        <v>233</v>
      </c>
      <c r="O3293" s="12" t="s">
        <v>301</v>
      </c>
      <c r="P3293" s="12" t="s">
        <v>125</v>
      </c>
      <c r="Q3293" s="7" t="str">
        <f t="shared" si="154"/>
        <v>(2020,14,'2020.04.04',31,57,66,80,83,0),</v>
      </c>
      <c r="R3293" s="7" t="str">
        <f t="shared" si="156"/>
        <v>(2020,14,'2020.04.04',31,57,66,80,83),</v>
      </c>
    </row>
    <row r="3294" spans="1:18" x14ac:dyDescent="0.25">
      <c r="A3294" s="7" t="s">
        <v>555</v>
      </c>
      <c r="B3294" s="8" t="s">
        <v>54</v>
      </c>
      <c r="C3294" s="10">
        <f t="shared" si="155"/>
        <v>43932</v>
      </c>
      <c r="D3294" t="s">
        <v>11</v>
      </c>
      <c r="E3294" t="s">
        <v>12</v>
      </c>
      <c r="F3294" t="s">
        <v>83</v>
      </c>
      <c r="G3294" t="s">
        <v>732</v>
      </c>
      <c r="H3294" t="s">
        <v>733</v>
      </c>
      <c r="I3294" t="s">
        <v>734</v>
      </c>
      <c r="J3294" t="s">
        <v>735</v>
      </c>
      <c r="K3294" t="s">
        <v>726</v>
      </c>
      <c r="L3294" s="12" t="s">
        <v>64</v>
      </c>
      <c r="M3294" s="12" t="s">
        <v>133</v>
      </c>
      <c r="N3294" s="12" t="s">
        <v>105</v>
      </c>
      <c r="O3294" s="12" t="s">
        <v>124</v>
      </c>
      <c r="P3294" s="12" t="s">
        <v>35</v>
      </c>
      <c r="Q3294" s="7" t="str">
        <f t="shared" si="154"/>
        <v>(2020,15,'2020.04.11',35,45,50,62,65,0),</v>
      </c>
      <c r="R3294" s="7" t="str">
        <f t="shared" si="156"/>
        <v>(2020,15,'2020.04.11',35,45,50,62,65),</v>
      </c>
    </row>
    <row r="3295" spans="1:18" x14ac:dyDescent="0.25">
      <c r="A3295" s="7" t="s">
        <v>555</v>
      </c>
      <c r="B3295" s="8" t="s">
        <v>43</v>
      </c>
      <c r="C3295" s="10">
        <f t="shared" si="155"/>
        <v>43939</v>
      </c>
      <c r="D3295" t="s">
        <v>11</v>
      </c>
      <c r="E3295" t="s">
        <v>12</v>
      </c>
      <c r="F3295" t="s">
        <v>90</v>
      </c>
      <c r="G3295" t="s">
        <v>727</v>
      </c>
      <c r="H3295" t="s">
        <v>728</v>
      </c>
      <c r="I3295" t="s">
        <v>729</v>
      </c>
      <c r="J3295" t="s">
        <v>730</v>
      </c>
      <c r="K3295" t="s">
        <v>731</v>
      </c>
      <c r="L3295" s="12" t="s">
        <v>108</v>
      </c>
      <c r="M3295" s="12" t="s">
        <v>152</v>
      </c>
      <c r="N3295" s="12" t="s">
        <v>214</v>
      </c>
      <c r="O3295" s="12" t="s">
        <v>56</v>
      </c>
      <c r="P3295" s="12" t="s">
        <v>125</v>
      </c>
      <c r="Q3295" s="7" t="str">
        <f t="shared" si="154"/>
        <v>(2020,16,'2020.04.18',1,25,64,71,83,0),</v>
      </c>
      <c r="R3295" s="7" t="str">
        <f t="shared" si="156"/>
        <v>(2020,16,'2020.04.18',1,25,64,71,83),</v>
      </c>
    </row>
    <row r="3296" spans="1:18" x14ac:dyDescent="0.25">
      <c r="A3296" s="7" t="s">
        <v>555</v>
      </c>
      <c r="B3296" s="8" t="s">
        <v>90</v>
      </c>
      <c r="C3296" s="10">
        <f t="shared" si="155"/>
        <v>43946</v>
      </c>
      <c r="D3296" t="s">
        <v>108</v>
      </c>
      <c r="E3296" t="s">
        <v>721</v>
      </c>
      <c r="F3296" t="s">
        <v>127</v>
      </c>
      <c r="G3296" t="s">
        <v>722</v>
      </c>
      <c r="H3296" t="s">
        <v>723</v>
      </c>
      <c r="I3296" t="s">
        <v>724</v>
      </c>
      <c r="J3296" t="s">
        <v>725</v>
      </c>
      <c r="K3296" t="s">
        <v>726</v>
      </c>
      <c r="L3296" s="12" t="s">
        <v>25</v>
      </c>
      <c r="M3296" s="12" t="s">
        <v>133</v>
      </c>
      <c r="N3296" s="12" t="s">
        <v>233</v>
      </c>
      <c r="O3296" s="12" t="s">
        <v>246</v>
      </c>
      <c r="P3296" s="12" t="s">
        <v>269</v>
      </c>
      <c r="Q3296" s="7" t="str">
        <f t="shared" si="154"/>
        <v>(2020,17,'2020.04.25',34,45,66,84,87,0),</v>
      </c>
      <c r="R3296" s="7" t="str">
        <f t="shared" si="156"/>
        <v>(2020,17,'2020.04.25',34,45,66,84,87),</v>
      </c>
    </row>
    <row r="3297" spans="1:18" x14ac:dyDescent="0.25">
      <c r="A3297" s="7" t="s">
        <v>555</v>
      </c>
      <c r="B3297" s="8" t="s">
        <v>19</v>
      </c>
      <c r="C3297" s="10">
        <f t="shared" si="155"/>
        <v>43953</v>
      </c>
      <c r="D3297" t="s">
        <v>11</v>
      </c>
      <c r="E3297" t="s">
        <v>12</v>
      </c>
      <c r="F3297" t="s">
        <v>62</v>
      </c>
      <c r="G3297" t="s">
        <v>717</v>
      </c>
      <c r="H3297" t="s">
        <v>718</v>
      </c>
      <c r="I3297" t="s">
        <v>130</v>
      </c>
      <c r="J3297" t="s">
        <v>719</v>
      </c>
      <c r="K3297" t="s">
        <v>720</v>
      </c>
      <c r="L3297" s="12" t="s">
        <v>232</v>
      </c>
      <c r="M3297" s="12" t="s">
        <v>81</v>
      </c>
      <c r="N3297" s="12" t="s">
        <v>105</v>
      </c>
      <c r="O3297" s="12" t="s">
        <v>269</v>
      </c>
      <c r="P3297" s="12" t="s">
        <v>379</v>
      </c>
      <c r="Q3297" s="7" t="str">
        <f t="shared" si="154"/>
        <v>(2020,18,'2020.05.02',8,47,50,87,89,0),</v>
      </c>
      <c r="R3297" s="7" t="str">
        <f t="shared" si="156"/>
        <v>(2020,18,'2020.05.02',8,47,50,87,89),</v>
      </c>
    </row>
    <row r="3298" spans="1:18" x14ac:dyDescent="0.25">
      <c r="A3298" s="7" t="s">
        <v>555</v>
      </c>
      <c r="B3298" s="8" t="s">
        <v>55</v>
      </c>
      <c r="C3298" s="10">
        <f t="shared" si="155"/>
        <v>43960</v>
      </c>
      <c r="D3298" t="s">
        <v>108</v>
      </c>
      <c r="E3298" t="s">
        <v>711</v>
      </c>
      <c r="F3298" t="s">
        <v>107</v>
      </c>
      <c r="G3298" t="s">
        <v>712</v>
      </c>
      <c r="H3298" t="s">
        <v>713</v>
      </c>
      <c r="I3298" t="s">
        <v>714</v>
      </c>
      <c r="J3298" t="s">
        <v>715</v>
      </c>
      <c r="K3298" t="s">
        <v>716</v>
      </c>
      <c r="L3298" s="12" t="s">
        <v>107</v>
      </c>
      <c r="M3298" s="12" t="s">
        <v>150</v>
      </c>
      <c r="N3298" s="12" t="s">
        <v>169</v>
      </c>
      <c r="O3298" s="12" t="s">
        <v>91</v>
      </c>
      <c r="P3298" s="12" t="s">
        <v>308</v>
      </c>
      <c r="Q3298" s="7" t="str">
        <f t="shared" si="154"/>
        <v>(2020,19,'2020.05.09',30,57,58,61,86,0),</v>
      </c>
      <c r="R3298" s="7" t="str">
        <f t="shared" si="156"/>
        <v>(2020,19,'2020.05.09',30,57,58,61,86),</v>
      </c>
    </row>
    <row r="3299" spans="1:18" x14ac:dyDescent="0.25">
      <c r="A3299" s="7" t="s">
        <v>555</v>
      </c>
      <c r="B3299" s="8" t="s">
        <v>115</v>
      </c>
      <c r="C3299" s="10">
        <f t="shared" si="155"/>
        <v>43967</v>
      </c>
      <c r="D3299" t="s">
        <v>11</v>
      </c>
      <c r="E3299" t="s">
        <v>12</v>
      </c>
      <c r="F3299" t="s">
        <v>19</v>
      </c>
      <c r="G3299" t="s">
        <v>706</v>
      </c>
      <c r="H3299" t="s">
        <v>707</v>
      </c>
      <c r="I3299" t="s">
        <v>708</v>
      </c>
      <c r="J3299" t="s">
        <v>709</v>
      </c>
      <c r="K3299" t="s">
        <v>710</v>
      </c>
      <c r="L3299" s="12" t="s">
        <v>107</v>
      </c>
      <c r="M3299" s="12" t="s">
        <v>123</v>
      </c>
      <c r="N3299" s="12" t="s">
        <v>175</v>
      </c>
      <c r="O3299" s="12" t="s">
        <v>215</v>
      </c>
      <c r="P3299" s="12" t="s">
        <v>379</v>
      </c>
      <c r="Q3299" s="7" t="str">
        <f t="shared" si="154"/>
        <v>(2020,20,'2020.05.16',30,54,55,81,89,0),</v>
      </c>
      <c r="R3299" s="7" t="str">
        <f t="shared" si="156"/>
        <v>(2020,20,'2020.05.16',30,54,55,81,89),</v>
      </c>
    </row>
    <row r="3300" spans="1:18" x14ac:dyDescent="0.25">
      <c r="A3300" s="7" t="s">
        <v>555</v>
      </c>
      <c r="B3300" s="8" t="s">
        <v>44</v>
      </c>
      <c r="C3300" s="10">
        <f t="shared" si="155"/>
        <v>43974</v>
      </c>
      <c r="D3300" t="s">
        <v>11</v>
      </c>
      <c r="E3300" t="s">
        <v>12</v>
      </c>
      <c r="F3300" t="s">
        <v>25</v>
      </c>
      <c r="G3300" t="s">
        <v>702</v>
      </c>
      <c r="H3300" t="s">
        <v>703</v>
      </c>
      <c r="I3300" t="s">
        <v>704</v>
      </c>
      <c r="J3300" t="s">
        <v>705</v>
      </c>
      <c r="K3300" t="s">
        <v>627</v>
      </c>
      <c r="L3300" s="12" t="s">
        <v>207</v>
      </c>
      <c r="M3300" s="12" t="s">
        <v>163</v>
      </c>
      <c r="N3300" s="12" t="s">
        <v>116</v>
      </c>
      <c r="O3300" s="12" t="s">
        <v>124</v>
      </c>
      <c r="P3300" s="12" t="s">
        <v>269</v>
      </c>
      <c r="Q3300" s="7" t="str">
        <f t="shared" si="154"/>
        <v>(2020,21,'2020.05.23',2,23,29,62,87,0),</v>
      </c>
      <c r="R3300" s="7" t="str">
        <f t="shared" si="156"/>
        <v>(2020,21,'2020.05.23',2,23,29,62,87),</v>
      </c>
    </row>
    <row r="3301" spans="1:18" x14ac:dyDescent="0.25">
      <c r="A3301" s="7" t="s">
        <v>555</v>
      </c>
      <c r="B3301" s="8" t="s">
        <v>32</v>
      </c>
      <c r="C3301" s="10">
        <f t="shared" si="155"/>
        <v>43981</v>
      </c>
      <c r="D3301" t="s">
        <v>11</v>
      </c>
      <c r="E3301" t="s">
        <v>12</v>
      </c>
      <c r="F3301" t="s">
        <v>64</v>
      </c>
      <c r="G3301" t="s">
        <v>698</v>
      </c>
      <c r="H3301" t="s">
        <v>699</v>
      </c>
      <c r="I3301" t="s">
        <v>700</v>
      </c>
      <c r="J3301" t="s">
        <v>701</v>
      </c>
      <c r="K3301" t="s">
        <v>398</v>
      </c>
      <c r="L3301" s="12" t="s">
        <v>80</v>
      </c>
      <c r="M3301" s="12" t="s">
        <v>21</v>
      </c>
      <c r="N3301" s="12" t="s">
        <v>175</v>
      </c>
      <c r="O3301" s="12" t="s">
        <v>214</v>
      </c>
      <c r="P3301" s="12" t="s">
        <v>92</v>
      </c>
      <c r="Q3301" s="7" t="str">
        <f t="shared" si="154"/>
        <v>(2020,22,'2020.05.30',32,36,55,64,68,0),</v>
      </c>
      <c r="R3301" s="7" t="str">
        <f t="shared" si="156"/>
        <v>(2020,22,'2020.05.30',32,36,55,64,68),</v>
      </c>
    </row>
    <row r="3302" spans="1:18" x14ac:dyDescent="0.25">
      <c r="A3302" s="7" t="s">
        <v>555</v>
      </c>
      <c r="B3302" s="8" t="s">
        <v>163</v>
      </c>
      <c r="C3302" s="10">
        <f t="shared" si="155"/>
        <v>43988</v>
      </c>
      <c r="D3302" t="s">
        <v>11</v>
      </c>
      <c r="E3302" t="s">
        <v>12</v>
      </c>
      <c r="F3302" t="s">
        <v>135</v>
      </c>
      <c r="G3302" t="s">
        <v>693</v>
      </c>
      <c r="H3302" t="s">
        <v>694</v>
      </c>
      <c r="I3302" t="s">
        <v>695</v>
      </c>
      <c r="J3302" t="s">
        <v>696</v>
      </c>
      <c r="K3302" t="s">
        <v>697</v>
      </c>
      <c r="L3302" s="12" t="s">
        <v>19</v>
      </c>
      <c r="M3302" s="12" t="s">
        <v>71</v>
      </c>
      <c r="N3302" s="12" t="s">
        <v>134</v>
      </c>
      <c r="O3302" s="12" t="s">
        <v>92</v>
      </c>
      <c r="P3302" s="12" t="s">
        <v>125</v>
      </c>
      <c r="Q3302" s="7" t="str">
        <f t="shared" si="154"/>
        <v>(2020,23,'2020.06.06',18,31,56,68,83,0),</v>
      </c>
      <c r="R3302" s="7" t="str">
        <f t="shared" si="156"/>
        <v>(2020,23,'2020.06.06',18,31,56,68,83),</v>
      </c>
    </row>
    <row r="3303" spans="1:18" x14ac:dyDescent="0.25">
      <c r="A3303" s="7" t="s">
        <v>555</v>
      </c>
      <c r="B3303" s="8" t="s">
        <v>33</v>
      </c>
      <c r="C3303" s="10">
        <f t="shared" si="155"/>
        <v>43995</v>
      </c>
      <c r="D3303" t="s">
        <v>11</v>
      </c>
      <c r="E3303" t="s">
        <v>12</v>
      </c>
      <c r="F3303" t="s">
        <v>71</v>
      </c>
      <c r="G3303" t="s">
        <v>689</v>
      </c>
      <c r="H3303" t="s">
        <v>690</v>
      </c>
      <c r="I3303" t="s">
        <v>691</v>
      </c>
      <c r="J3303" t="s">
        <v>692</v>
      </c>
      <c r="K3303" t="s">
        <v>599</v>
      </c>
      <c r="L3303" s="12" t="s">
        <v>89</v>
      </c>
      <c r="M3303" s="12" t="s">
        <v>19</v>
      </c>
      <c r="N3303" s="12" t="s">
        <v>71</v>
      </c>
      <c r="O3303" s="12" t="s">
        <v>142</v>
      </c>
      <c r="P3303" s="12" t="s">
        <v>301</v>
      </c>
      <c r="Q3303" s="7" t="str">
        <f t="shared" si="154"/>
        <v>(2020,24,'2020.06.13',5,18,31,44,80,0),</v>
      </c>
      <c r="R3303" s="7" t="str">
        <f t="shared" si="156"/>
        <v>(2020,24,'2020.06.13',5,18,31,44,80),</v>
      </c>
    </row>
    <row r="3304" spans="1:18" x14ac:dyDescent="0.25">
      <c r="A3304" s="7" t="s">
        <v>555</v>
      </c>
      <c r="B3304" s="8" t="s">
        <v>152</v>
      </c>
      <c r="C3304" s="10">
        <f t="shared" si="155"/>
        <v>44002</v>
      </c>
      <c r="D3304" t="s">
        <v>11</v>
      </c>
      <c r="E3304" t="s">
        <v>12</v>
      </c>
      <c r="F3304" t="s">
        <v>248</v>
      </c>
      <c r="G3304" t="s">
        <v>684</v>
      </c>
      <c r="H3304" t="s">
        <v>685</v>
      </c>
      <c r="I3304" t="s">
        <v>686</v>
      </c>
      <c r="J3304" t="s">
        <v>687</v>
      </c>
      <c r="K3304" t="s">
        <v>688</v>
      </c>
      <c r="L3304" s="12" t="s">
        <v>89</v>
      </c>
      <c r="M3304" s="12" t="s">
        <v>232</v>
      </c>
      <c r="N3304" s="12" t="s">
        <v>31</v>
      </c>
      <c r="O3304" s="12" t="s">
        <v>43</v>
      </c>
      <c r="P3304" s="12" t="s">
        <v>92</v>
      </c>
      <c r="Q3304" s="7" t="str">
        <f t="shared" si="154"/>
        <v>(2020,25,'2020.06.20',5,8,12,16,68,0),</v>
      </c>
      <c r="R3304" s="7" t="str">
        <f t="shared" si="156"/>
        <v>(2020,25,'2020.06.20',5,8,12,16,68),</v>
      </c>
    </row>
    <row r="3305" spans="1:18" x14ac:dyDescent="0.25">
      <c r="A3305" s="7" t="s">
        <v>555</v>
      </c>
      <c r="B3305" s="8" t="s">
        <v>74</v>
      </c>
      <c r="C3305" s="10">
        <f t="shared" si="155"/>
        <v>44009</v>
      </c>
      <c r="D3305" t="s">
        <v>11</v>
      </c>
      <c r="E3305" t="s">
        <v>12</v>
      </c>
      <c r="F3305" t="s">
        <v>13</v>
      </c>
      <c r="G3305" t="s">
        <v>680</v>
      </c>
      <c r="H3305" t="s">
        <v>681</v>
      </c>
      <c r="I3305" t="s">
        <v>682</v>
      </c>
      <c r="J3305" t="s">
        <v>683</v>
      </c>
      <c r="K3305" t="s">
        <v>258</v>
      </c>
      <c r="L3305" s="12" t="s">
        <v>207</v>
      </c>
      <c r="M3305" s="12" t="s">
        <v>127</v>
      </c>
      <c r="N3305" s="12" t="s">
        <v>54</v>
      </c>
      <c r="O3305" s="12" t="s">
        <v>45</v>
      </c>
      <c r="P3305" s="12" t="s">
        <v>35</v>
      </c>
      <c r="Q3305" s="7" t="str">
        <f t="shared" si="154"/>
        <v>(2020,26,'2020.06.27',2,14,15,43,65,0),</v>
      </c>
      <c r="R3305" s="7" t="str">
        <f t="shared" si="156"/>
        <v>(2020,26,'2020.06.27',2,14,15,43,65),</v>
      </c>
    </row>
    <row r="3306" spans="1:18" x14ac:dyDescent="0.25">
      <c r="A3306" s="7" t="s">
        <v>555</v>
      </c>
      <c r="B3306" s="8" t="s">
        <v>135</v>
      </c>
      <c r="C3306" s="10">
        <f t="shared" si="155"/>
        <v>44016</v>
      </c>
      <c r="D3306" t="s">
        <v>11</v>
      </c>
      <c r="E3306" t="s">
        <v>12</v>
      </c>
      <c r="F3306" t="s">
        <v>90</v>
      </c>
      <c r="G3306" t="s">
        <v>676</v>
      </c>
      <c r="H3306" t="s">
        <v>677</v>
      </c>
      <c r="I3306" t="s">
        <v>678</v>
      </c>
      <c r="J3306" t="s">
        <v>679</v>
      </c>
      <c r="K3306" t="s">
        <v>104</v>
      </c>
      <c r="L3306" s="12" t="s">
        <v>43</v>
      </c>
      <c r="M3306" s="12" t="s">
        <v>199</v>
      </c>
      <c r="N3306" s="12" t="s">
        <v>233</v>
      </c>
      <c r="O3306" s="12" t="s">
        <v>92</v>
      </c>
      <c r="P3306" s="12" t="s">
        <v>47</v>
      </c>
      <c r="Q3306" s="7" t="str">
        <f t="shared" si="154"/>
        <v>(2020,27,'2020.07.04',16,53,66,68,69,0),</v>
      </c>
      <c r="R3306" s="7" t="str">
        <f t="shared" si="156"/>
        <v>(2020,27,'2020.07.04',16,53,66,68,69),</v>
      </c>
    </row>
    <row r="3307" spans="1:18" x14ac:dyDescent="0.25">
      <c r="A3307" s="7" t="s">
        <v>555</v>
      </c>
      <c r="B3307" s="8" t="s">
        <v>126</v>
      </c>
      <c r="C3307" s="10">
        <f t="shared" si="155"/>
        <v>44023</v>
      </c>
      <c r="D3307" t="s">
        <v>11</v>
      </c>
      <c r="E3307" t="s">
        <v>12</v>
      </c>
      <c r="F3307" t="s">
        <v>163</v>
      </c>
      <c r="G3307" t="s">
        <v>672</v>
      </c>
      <c r="H3307" t="s">
        <v>673</v>
      </c>
      <c r="I3307" t="s">
        <v>674</v>
      </c>
      <c r="J3307" t="s">
        <v>675</v>
      </c>
      <c r="K3307" t="s">
        <v>438</v>
      </c>
      <c r="L3307" s="12" t="s">
        <v>55</v>
      </c>
      <c r="M3307" s="12" t="s">
        <v>44</v>
      </c>
      <c r="N3307" s="12" t="s">
        <v>74</v>
      </c>
      <c r="O3307" s="12" t="s">
        <v>46</v>
      </c>
      <c r="P3307" s="12" t="s">
        <v>208</v>
      </c>
      <c r="Q3307" s="7" t="str">
        <f t="shared" si="154"/>
        <v>(2020,28,'2020.07.11',19,21,26,37,88,0),</v>
      </c>
      <c r="R3307" s="7" t="str">
        <f t="shared" si="156"/>
        <v>(2020,28,'2020.07.11',19,21,26,37,88),</v>
      </c>
    </row>
    <row r="3308" spans="1:18" x14ac:dyDescent="0.25">
      <c r="A3308" s="7" t="s">
        <v>555</v>
      </c>
      <c r="B3308" s="8" t="s">
        <v>116</v>
      </c>
      <c r="C3308" s="10">
        <f t="shared" si="155"/>
        <v>44030</v>
      </c>
      <c r="D3308" t="s">
        <v>108</v>
      </c>
      <c r="E3308" t="s">
        <v>667</v>
      </c>
      <c r="F3308" t="s">
        <v>33</v>
      </c>
      <c r="G3308" t="s">
        <v>668</v>
      </c>
      <c r="H3308" t="s">
        <v>386</v>
      </c>
      <c r="I3308" t="s">
        <v>669</v>
      </c>
      <c r="J3308" t="s">
        <v>670</v>
      </c>
      <c r="K3308" t="s">
        <v>671</v>
      </c>
      <c r="L3308" s="12" t="s">
        <v>31</v>
      </c>
      <c r="M3308" s="12" t="s">
        <v>80</v>
      </c>
      <c r="N3308" s="12" t="s">
        <v>22</v>
      </c>
      <c r="O3308" s="12" t="s">
        <v>106</v>
      </c>
      <c r="P3308" s="12" t="s">
        <v>208</v>
      </c>
      <c r="Q3308" s="7" t="str">
        <f t="shared" si="154"/>
        <v>(2020,29,'2020.07.18',12,32,48,75,88,0),</v>
      </c>
      <c r="R3308" s="7" t="str">
        <f t="shared" si="156"/>
        <v>(2020,29,'2020.07.18',12,32,48,75,88),</v>
      </c>
    </row>
    <row r="3309" spans="1:18" x14ac:dyDescent="0.25">
      <c r="A3309" s="7" t="s">
        <v>555</v>
      </c>
      <c r="B3309" s="8" t="s">
        <v>107</v>
      </c>
      <c r="C3309" s="10">
        <f t="shared" si="155"/>
        <v>44037</v>
      </c>
      <c r="D3309" t="s">
        <v>11</v>
      </c>
      <c r="E3309" t="s">
        <v>12</v>
      </c>
      <c r="F3309" t="s">
        <v>90</v>
      </c>
      <c r="G3309" t="s">
        <v>663</v>
      </c>
      <c r="H3309" t="s">
        <v>664</v>
      </c>
      <c r="I3309" t="s">
        <v>665</v>
      </c>
      <c r="J3309" t="s">
        <v>666</v>
      </c>
      <c r="K3309" t="s">
        <v>268</v>
      </c>
      <c r="L3309" s="12" t="s">
        <v>108</v>
      </c>
      <c r="M3309" s="12" t="s">
        <v>43</v>
      </c>
      <c r="N3309" s="12" t="s">
        <v>169</v>
      </c>
      <c r="O3309" s="12" t="s">
        <v>73</v>
      </c>
      <c r="P3309" s="12" t="s">
        <v>269</v>
      </c>
      <c r="Q3309" s="7" t="str">
        <f t="shared" si="154"/>
        <v>(2020,30,'2020.07.25',1,16,58,76,87,0),</v>
      </c>
      <c r="R3309" s="7" t="str">
        <f t="shared" si="156"/>
        <v>(2020,30,'2020.07.25',1,16,58,76,87),</v>
      </c>
    </row>
    <row r="3310" spans="1:18" x14ac:dyDescent="0.25">
      <c r="A3310" s="7" t="s">
        <v>555</v>
      </c>
      <c r="B3310" s="8" t="s">
        <v>71</v>
      </c>
      <c r="C3310" s="10">
        <f t="shared" si="155"/>
        <v>44044</v>
      </c>
      <c r="D3310" t="s">
        <v>11</v>
      </c>
      <c r="E3310" t="s">
        <v>12</v>
      </c>
      <c r="F3310" t="s">
        <v>127</v>
      </c>
      <c r="G3310" t="s">
        <v>659</v>
      </c>
      <c r="H3310" t="s">
        <v>660</v>
      </c>
      <c r="I3310" t="s">
        <v>661</v>
      </c>
      <c r="J3310" t="s">
        <v>662</v>
      </c>
      <c r="K3310" t="s">
        <v>18</v>
      </c>
      <c r="L3310" s="12" t="s">
        <v>65</v>
      </c>
      <c r="M3310" s="12" t="s">
        <v>98</v>
      </c>
      <c r="N3310" s="12" t="s">
        <v>122</v>
      </c>
      <c r="O3310" s="12" t="s">
        <v>622</v>
      </c>
      <c r="P3310" s="12" t="s">
        <v>379</v>
      </c>
      <c r="Q3310" s="7" t="str">
        <f t="shared" si="154"/>
        <v>(2020,31,'2020.08.01',13,42,51,82,89,0),</v>
      </c>
      <c r="R3310" s="7" t="str">
        <f t="shared" si="156"/>
        <v>(2020,31,'2020.08.01',13,42,51,82,89),</v>
      </c>
    </row>
    <row r="3311" spans="1:18" x14ac:dyDescent="0.25">
      <c r="A3311" s="7" t="s">
        <v>555</v>
      </c>
      <c r="B3311" s="8" t="s">
        <v>80</v>
      </c>
      <c r="C3311" s="10">
        <f t="shared" si="155"/>
        <v>44051</v>
      </c>
      <c r="D3311" t="s">
        <v>11</v>
      </c>
      <c r="E3311" t="s">
        <v>12</v>
      </c>
      <c r="F3311" t="s">
        <v>19</v>
      </c>
      <c r="G3311" t="s">
        <v>654</v>
      </c>
      <c r="H3311" t="s">
        <v>655</v>
      </c>
      <c r="I3311" t="s">
        <v>656</v>
      </c>
      <c r="J3311" t="s">
        <v>657</v>
      </c>
      <c r="K3311" t="s">
        <v>658</v>
      </c>
      <c r="L3311" s="12" t="s">
        <v>90</v>
      </c>
      <c r="M3311" s="12" t="s">
        <v>19</v>
      </c>
      <c r="N3311" s="12" t="s">
        <v>175</v>
      </c>
      <c r="O3311" s="12" t="s">
        <v>82</v>
      </c>
      <c r="P3311" s="12" t="s">
        <v>72</v>
      </c>
      <c r="Q3311" s="7" t="str">
        <f t="shared" si="154"/>
        <v>(2020,32,'2020.08.08',17,18,55,59,67,0),</v>
      </c>
      <c r="R3311" s="7" t="str">
        <f t="shared" si="156"/>
        <v>(2020,32,'2020.08.08',17,18,55,59,67),</v>
      </c>
    </row>
    <row r="3312" spans="1:18" x14ac:dyDescent="0.25">
      <c r="A3312" s="7" t="s">
        <v>555</v>
      </c>
      <c r="B3312" s="8" t="s">
        <v>20</v>
      </c>
      <c r="C3312" s="10">
        <f t="shared" si="155"/>
        <v>44058</v>
      </c>
      <c r="D3312" t="s">
        <v>11</v>
      </c>
      <c r="E3312" t="s">
        <v>12</v>
      </c>
      <c r="F3312" t="s">
        <v>82</v>
      </c>
      <c r="G3312" t="s">
        <v>650</v>
      </c>
      <c r="H3312" t="s">
        <v>651</v>
      </c>
      <c r="I3312" t="s">
        <v>652</v>
      </c>
      <c r="J3312" t="s">
        <v>653</v>
      </c>
      <c r="K3312" t="s">
        <v>323</v>
      </c>
      <c r="L3312" s="12" t="s">
        <v>31</v>
      </c>
      <c r="M3312" s="12" t="s">
        <v>65</v>
      </c>
      <c r="N3312" s="12" t="s">
        <v>126</v>
      </c>
      <c r="O3312" s="12" t="s">
        <v>133</v>
      </c>
      <c r="P3312" s="12" t="s">
        <v>34</v>
      </c>
      <c r="Q3312" s="7" t="str">
        <f t="shared" si="154"/>
        <v>(2020,33,'2020.08.15',12,13,28,45,49,0),</v>
      </c>
      <c r="R3312" s="7" t="str">
        <f t="shared" si="156"/>
        <v>(2020,33,'2020.08.15',12,13,28,45,49),</v>
      </c>
    </row>
    <row r="3313" spans="1:18" x14ac:dyDescent="0.25">
      <c r="A3313" s="7" t="s">
        <v>555</v>
      </c>
      <c r="B3313" s="8" t="s">
        <v>25</v>
      </c>
      <c r="C3313" s="10">
        <f t="shared" si="155"/>
        <v>44065</v>
      </c>
      <c r="D3313" t="s">
        <v>11</v>
      </c>
      <c r="E3313" t="s">
        <v>12</v>
      </c>
      <c r="F3313" t="s">
        <v>32</v>
      </c>
      <c r="G3313" t="s">
        <v>645</v>
      </c>
      <c r="H3313" t="s">
        <v>646</v>
      </c>
      <c r="I3313" t="s">
        <v>647</v>
      </c>
      <c r="J3313" t="s">
        <v>648</v>
      </c>
      <c r="K3313" t="s">
        <v>649</v>
      </c>
      <c r="L3313" s="12" t="s">
        <v>232</v>
      </c>
      <c r="M3313" s="12" t="s">
        <v>152</v>
      </c>
      <c r="N3313" s="12" t="s">
        <v>201</v>
      </c>
      <c r="O3313" s="12" t="s">
        <v>301</v>
      </c>
      <c r="P3313" s="12" t="s">
        <v>186</v>
      </c>
      <c r="Q3313" s="7" t="str">
        <f t="shared" si="154"/>
        <v>(2020,34,'2020.08.22',8,25,72,80,90,0),</v>
      </c>
      <c r="R3313" s="7" t="str">
        <f t="shared" si="156"/>
        <v>(2020,34,'2020.08.22',8,25,72,80,90),</v>
      </c>
    </row>
    <row r="3314" spans="1:18" x14ac:dyDescent="0.25">
      <c r="A3314" s="7" t="s">
        <v>555</v>
      </c>
      <c r="B3314" s="8" t="s">
        <v>64</v>
      </c>
      <c r="C3314" s="10">
        <f t="shared" si="155"/>
        <v>44072</v>
      </c>
      <c r="D3314" t="s">
        <v>11</v>
      </c>
      <c r="E3314" t="s">
        <v>12</v>
      </c>
      <c r="F3314" t="s">
        <v>55</v>
      </c>
      <c r="G3314" t="s">
        <v>641</v>
      </c>
      <c r="H3314" t="s">
        <v>642</v>
      </c>
      <c r="I3314" t="s">
        <v>643</v>
      </c>
      <c r="J3314" t="s">
        <v>644</v>
      </c>
      <c r="K3314" t="s">
        <v>458</v>
      </c>
      <c r="L3314" s="12" t="s">
        <v>25</v>
      </c>
      <c r="M3314" s="12" t="s">
        <v>105</v>
      </c>
      <c r="N3314" s="12" t="s">
        <v>175</v>
      </c>
      <c r="O3314" s="12" t="s">
        <v>248</v>
      </c>
      <c r="P3314" s="12" t="s">
        <v>233</v>
      </c>
      <c r="Q3314" s="7" t="str">
        <f t="shared" si="154"/>
        <v>(2020,35,'2020.08.29',34,50,55,63,66,0),</v>
      </c>
      <c r="R3314" s="7" t="str">
        <f t="shared" si="156"/>
        <v>(2020,35,'2020.08.29',34,50,55,63,66),</v>
      </c>
    </row>
    <row r="3315" spans="1:18" x14ac:dyDescent="0.25">
      <c r="A3315" s="7" t="s">
        <v>555</v>
      </c>
      <c r="B3315" s="8" t="s">
        <v>21</v>
      </c>
      <c r="C3315" s="10">
        <f t="shared" si="155"/>
        <v>44079</v>
      </c>
      <c r="D3315" t="s">
        <v>11</v>
      </c>
      <c r="E3315" t="s">
        <v>12</v>
      </c>
      <c r="F3315" t="s">
        <v>32</v>
      </c>
      <c r="G3315" t="s">
        <v>636</v>
      </c>
      <c r="H3315" t="s">
        <v>637</v>
      </c>
      <c r="I3315" t="s">
        <v>638</v>
      </c>
      <c r="J3315" t="s">
        <v>639</v>
      </c>
      <c r="K3315" t="s">
        <v>640</v>
      </c>
      <c r="L3315" s="12" t="s">
        <v>83</v>
      </c>
      <c r="M3315" s="12" t="s">
        <v>54</v>
      </c>
      <c r="N3315" s="12" t="s">
        <v>43</v>
      </c>
      <c r="O3315" s="12" t="s">
        <v>135</v>
      </c>
      <c r="P3315" s="12" t="s">
        <v>23</v>
      </c>
      <c r="Q3315" s="7" t="str">
        <f t="shared" si="154"/>
        <v>(2020,36,'2020.09.05',11,15,16,27,60,0),</v>
      </c>
      <c r="R3315" s="7" t="str">
        <f t="shared" si="156"/>
        <v>(2020,36,'2020.09.05',11,15,16,27,60),</v>
      </c>
    </row>
    <row r="3316" spans="1:18" x14ac:dyDescent="0.25">
      <c r="A3316" s="7" t="s">
        <v>555</v>
      </c>
      <c r="B3316" s="8" t="s">
        <v>46</v>
      </c>
      <c r="C3316" s="10">
        <f t="shared" si="155"/>
        <v>44086</v>
      </c>
      <c r="D3316" t="s">
        <v>11</v>
      </c>
      <c r="E3316" t="s">
        <v>12</v>
      </c>
      <c r="F3316" t="s">
        <v>19</v>
      </c>
      <c r="G3316" t="s">
        <v>632</v>
      </c>
      <c r="H3316" t="s">
        <v>633</v>
      </c>
      <c r="I3316" t="s">
        <v>634</v>
      </c>
      <c r="J3316" t="s">
        <v>635</v>
      </c>
      <c r="K3316" t="s">
        <v>414</v>
      </c>
      <c r="L3316" s="12" t="s">
        <v>207</v>
      </c>
      <c r="M3316" s="12" t="s">
        <v>33</v>
      </c>
      <c r="N3316" s="12" t="s">
        <v>91</v>
      </c>
      <c r="O3316" s="12" t="s">
        <v>106</v>
      </c>
      <c r="P3316" s="12" t="s">
        <v>468</v>
      </c>
      <c r="Q3316" s="7" t="str">
        <f t="shared" si="154"/>
        <v>(2020,37,'2020.09.12',2,24,61,75,85,0),</v>
      </c>
      <c r="R3316" s="7" t="str">
        <f t="shared" si="156"/>
        <v>(2020,37,'2020.09.12',2,24,61,75,85),</v>
      </c>
    </row>
    <row r="3317" spans="1:18" x14ac:dyDescent="0.25">
      <c r="A3317" s="7" t="s">
        <v>555</v>
      </c>
      <c r="B3317" s="8" t="s">
        <v>36</v>
      </c>
      <c r="C3317" s="10">
        <f t="shared" si="155"/>
        <v>44093</v>
      </c>
      <c r="D3317" t="s">
        <v>11</v>
      </c>
      <c r="E3317" t="s">
        <v>12</v>
      </c>
      <c r="F3317" t="s">
        <v>199</v>
      </c>
      <c r="G3317" t="s">
        <v>628</v>
      </c>
      <c r="H3317" t="s">
        <v>629</v>
      </c>
      <c r="I3317" t="s">
        <v>630</v>
      </c>
      <c r="J3317" t="s">
        <v>631</v>
      </c>
      <c r="K3317" t="s">
        <v>30</v>
      </c>
      <c r="L3317" s="12" t="s">
        <v>89</v>
      </c>
      <c r="M3317" s="12" t="s">
        <v>33</v>
      </c>
      <c r="N3317" s="12" t="s">
        <v>126</v>
      </c>
      <c r="O3317" s="12" t="s">
        <v>25</v>
      </c>
      <c r="P3317" s="12" t="s">
        <v>169</v>
      </c>
      <c r="Q3317" s="7" t="str">
        <f t="shared" si="154"/>
        <v>(2020,38,'2020.09.19',5,24,28,34,58,0),</v>
      </c>
      <c r="R3317" s="7" t="str">
        <f t="shared" si="156"/>
        <v>(2020,38,'2020.09.19',5,24,28,34,58),</v>
      </c>
    </row>
    <row r="3318" spans="1:18" x14ac:dyDescent="0.25">
      <c r="A3318" s="7" t="s">
        <v>555</v>
      </c>
      <c r="B3318" s="8" t="s">
        <v>24</v>
      </c>
      <c r="C3318" s="10">
        <f t="shared" si="155"/>
        <v>44100</v>
      </c>
      <c r="D3318" t="s">
        <v>11</v>
      </c>
      <c r="E3318" t="s">
        <v>12</v>
      </c>
      <c r="F3318" t="s">
        <v>622</v>
      </c>
      <c r="G3318" t="s">
        <v>623</v>
      </c>
      <c r="H3318" t="s">
        <v>624</v>
      </c>
      <c r="I3318" t="s">
        <v>625</v>
      </c>
      <c r="J3318" t="s">
        <v>626</v>
      </c>
      <c r="K3318" t="s">
        <v>627</v>
      </c>
      <c r="L3318" s="12" t="s">
        <v>232</v>
      </c>
      <c r="M3318" s="12" t="s">
        <v>163</v>
      </c>
      <c r="N3318" s="12" t="s">
        <v>201</v>
      </c>
      <c r="O3318" s="12" t="s">
        <v>301</v>
      </c>
      <c r="P3318" s="12" t="s">
        <v>186</v>
      </c>
      <c r="Q3318" s="7" t="str">
        <f t="shared" si="154"/>
        <v>(2020,39,'2020.09.26',8,23,72,80,90,0),</v>
      </c>
      <c r="R3318" s="7" t="str">
        <f t="shared" si="156"/>
        <v>(2020,39,'2020.09.26',8,23,72,80,90),</v>
      </c>
    </row>
    <row r="3319" spans="1:18" x14ac:dyDescent="0.25">
      <c r="A3319" s="7" t="s">
        <v>555</v>
      </c>
      <c r="B3319" s="8" t="s">
        <v>10</v>
      </c>
      <c r="C3319" s="10">
        <f t="shared" si="155"/>
        <v>44107</v>
      </c>
      <c r="D3319" t="s">
        <v>11</v>
      </c>
      <c r="E3319" t="s">
        <v>12</v>
      </c>
      <c r="F3319" t="s">
        <v>116</v>
      </c>
      <c r="G3319" t="s">
        <v>618</v>
      </c>
      <c r="H3319" t="s">
        <v>619</v>
      </c>
      <c r="I3319" t="s">
        <v>620</v>
      </c>
      <c r="J3319" t="s">
        <v>621</v>
      </c>
      <c r="K3319" t="s">
        <v>584</v>
      </c>
      <c r="L3319" s="12" t="s">
        <v>115</v>
      </c>
      <c r="M3319" s="12" t="s">
        <v>21</v>
      </c>
      <c r="N3319" s="12" t="s">
        <v>123</v>
      </c>
      <c r="O3319" s="12" t="s">
        <v>201</v>
      </c>
      <c r="P3319" s="12" t="s">
        <v>73</v>
      </c>
      <c r="Q3319" s="7" t="str">
        <f t="shared" si="154"/>
        <v>(2020,40,'2020.10.03',20,36,54,72,76,0),</v>
      </c>
      <c r="R3319" s="7" t="str">
        <f t="shared" si="156"/>
        <v>(2020,40,'2020.10.03',20,36,54,72,76),</v>
      </c>
    </row>
    <row r="3320" spans="1:18" x14ac:dyDescent="0.25">
      <c r="A3320" s="7" t="s">
        <v>555</v>
      </c>
      <c r="B3320" s="8" t="s">
        <v>13</v>
      </c>
      <c r="C3320" s="10">
        <f t="shared" si="155"/>
        <v>44114</v>
      </c>
      <c r="D3320" t="s">
        <v>11</v>
      </c>
      <c r="E3320" t="s">
        <v>12</v>
      </c>
      <c r="F3320" t="s">
        <v>91</v>
      </c>
      <c r="G3320" t="s">
        <v>613</v>
      </c>
      <c r="H3320" t="s">
        <v>614</v>
      </c>
      <c r="I3320" t="s">
        <v>615</v>
      </c>
      <c r="J3320" t="s">
        <v>616</v>
      </c>
      <c r="K3320" t="s">
        <v>617</v>
      </c>
      <c r="L3320" s="12" t="s">
        <v>42</v>
      </c>
      <c r="M3320" s="12" t="s">
        <v>31</v>
      </c>
      <c r="N3320" s="12" t="s">
        <v>135</v>
      </c>
      <c r="O3320" s="12" t="s">
        <v>36</v>
      </c>
      <c r="P3320" s="12" t="s">
        <v>81</v>
      </c>
      <c r="Q3320" s="7" t="str">
        <f t="shared" si="154"/>
        <v>(2020,41,'2020.10.10',3,12,27,38,47,0),</v>
      </c>
      <c r="R3320" s="7" t="str">
        <f t="shared" si="156"/>
        <v>(2020,41,'2020.10.10',3,12,27,38,47),</v>
      </c>
    </row>
    <row r="3321" spans="1:18" x14ac:dyDescent="0.25">
      <c r="A3321" s="7" t="s">
        <v>555</v>
      </c>
      <c r="B3321" s="8" t="s">
        <v>98</v>
      </c>
      <c r="C3321" s="10">
        <f t="shared" si="155"/>
        <v>44121</v>
      </c>
      <c r="D3321" t="s">
        <v>11</v>
      </c>
      <c r="E3321" t="s">
        <v>12</v>
      </c>
      <c r="F3321" t="s">
        <v>133</v>
      </c>
      <c r="G3321" t="s">
        <v>609</v>
      </c>
      <c r="H3321" t="s">
        <v>610</v>
      </c>
      <c r="I3321" t="s">
        <v>611</v>
      </c>
      <c r="J3321" t="s">
        <v>612</v>
      </c>
      <c r="K3321" t="s">
        <v>141</v>
      </c>
      <c r="L3321" s="12" t="s">
        <v>168</v>
      </c>
      <c r="M3321" s="12" t="s">
        <v>54</v>
      </c>
      <c r="N3321" s="12" t="s">
        <v>22</v>
      </c>
      <c r="O3321" s="12" t="s">
        <v>214</v>
      </c>
      <c r="P3321" s="12" t="s">
        <v>208</v>
      </c>
      <c r="Q3321" s="7" t="str">
        <f t="shared" si="154"/>
        <v>(2020,42,'2020.10.17',4,15,48,64,88,0),</v>
      </c>
      <c r="R3321" s="7" t="str">
        <f t="shared" si="156"/>
        <v>(2020,42,'2020.10.17',4,15,48,64,88),</v>
      </c>
    </row>
    <row r="3322" spans="1:18" x14ac:dyDescent="0.25">
      <c r="A3322" s="7" t="s">
        <v>555</v>
      </c>
      <c r="B3322" s="8" t="s">
        <v>45</v>
      </c>
      <c r="C3322" s="10">
        <f t="shared" si="155"/>
        <v>44128</v>
      </c>
      <c r="D3322" t="s">
        <v>11</v>
      </c>
      <c r="E3322" t="s">
        <v>12</v>
      </c>
      <c r="F3322" t="s">
        <v>152</v>
      </c>
      <c r="G3322" t="s">
        <v>604</v>
      </c>
      <c r="H3322" t="s">
        <v>605</v>
      </c>
      <c r="I3322" t="s">
        <v>606</v>
      </c>
      <c r="J3322" t="s">
        <v>607</v>
      </c>
      <c r="K3322" t="s">
        <v>608</v>
      </c>
      <c r="L3322" s="12" t="s">
        <v>108</v>
      </c>
      <c r="M3322" s="12" t="s">
        <v>31</v>
      </c>
      <c r="N3322" s="12" t="s">
        <v>123</v>
      </c>
      <c r="O3322" s="12" t="s">
        <v>175</v>
      </c>
      <c r="P3322" s="12" t="s">
        <v>72</v>
      </c>
      <c r="Q3322" s="7" t="str">
        <f t="shared" si="154"/>
        <v>(2020,43,'2020.10.24',1,12,54,55,67,0),</v>
      </c>
      <c r="R3322" s="7" t="str">
        <f t="shared" si="156"/>
        <v>(2020,43,'2020.10.24',1,12,54,55,67),</v>
      </c>
    </row>
    <row r="3323" spans="1:18" x14ac:dyDescent="0.25">
      <c r="A3323" s="7" t="s">
        <v>555</v>
      </c>
      <c r="B3323" s="8" t="s">
        <v>142</v>
      </c>
      <c r="C3323" s="10">
        <f t="shared" si="155"/>
        <v>44135</v>
      </c>
      <c r="D3323" t="s">
        <v>11</v>
      </c>
      <c r="E3323" t="s">
        <v>12</v>
      </c>
      <c r="F3323" t="s">
        <v>62</v>
      </c>
      <c r="G3323" t="s">
        <v>600</v>
      </c>
      <c r="H3323" t="s">
        <v>601</v>
      </c>
      <c r="I3323" t="s">
        <v>602</v>
      </c>
      <c r="J3323" t="s">
        <v>603</v>
      </c>
      <c r="K3323" t="s">
        <v>398</v>
      </c>
      <c r="L3323" s="12" t="s">
        <v>42</v>
      </c>
      <c r="M3323" s="12" t="s">
        <v>124</v>
      </c>
      <c r="N3323" s="12" t="s">
        <v>56</v>
      </c>
      <c r="O3323" s="12" t="s">
        <v>143</v>
      </c>
      <c r="P3323" s="12" t="s">
        <v>63</v>
      </c>
      <c r="Q3323" s="7" t="str">
        <f t="shared" si="154"/>
        <v>(2020,44,'2020.10.31',3,62,71,77,78,0),</v>
      </c>
      <c r="R3323" s="7" t="str">
        <f t="shared" si="156"/>
        <v>(2020,44,'2020.10.31',3,62,71,77,78),</v>
      </c>
    </row>
    <row r="3324" spans="1:18" x14ac:dyDescent="0.25">
      <c r="A3324" s="7" t="s">
        <v>555</v>
      </c>
      <c r="B3324" s="8" t="s">
        <v>133</v>
      </c>
      <c r="C3324" s="10">
        <f t="shared" si="155"/>
        <v>44142</v>
      </c>
      <c r="D3324" t="s">
        <v>11</v>
      </c>
      <c r="E3324" t="s">
        <v>12</v>
      </c>
      <c r="F3324" t="s">
        <v>34</v>
      </c>
      <c r="G3324" t="s">
        <v>595</v>
      </c>
      <c r="H3324" t="s">
        <v>596</v>
      </c>
      <c r="I3324" t="s">
        <v>597</v>
      </c>
      <c r="J3324" t="s">
        <v>598</v>
      </c>
      <c r="K3324" t="s">
        <v>599</v>
      </c>
      <c r="L3324" s="12" t="s">
        <v>54</v>
      </c>
      <c r="M3324" s="12" t="s">
        <v>46</v>
      </c>
      <c r="N3324" s="12" t="s">
        <v>35</v>
      </c>
      <c r="O3324" s="12" t="s">
        <v>92</v>
      </c>
      <c r="P3324" s="12" t="s">
        <v>239</v>
      </c>
      <c r="Q3324" s="7" t="str">
        <f t="shared" si="154"/>
        <v>(2020,45,'2020.11.07',15,37,65,68,73,0),</v>
      </c>
      <c r="R3324" s="7" t="str">
        <f t="shared" si="156"/>
        <v>(2020,45,'2020.11.07',15,37,65,68,73),</v>
      </c>
    </row>
    <row r="3325" spans="1:18" x14ac:dyDescent="0.25">
      <c r="A3325" s="7" t="s">
        <v>555</v>
      </c>
      <c r="B3325" s="8" t="s">
        <v>192</v>
      </c>
      <c r="C3325" s="10">
        <f t="shared" si="155"/>
        <v>44149</v>
      </c>
      <c r="D3325" t="s">
        <v>11</v>
      </c>
      <c r="E3325" t="s">
        <v>12</v>
      </c>
      <c r="F3325" t="s">
        <v>13</v>
      </c>
      <c r="G3325" t="s">
        <v>590</v>
      </c>
      <c r="H3325" t="s">
        <v>591</v>
      </c>
      <c r="I3325" t="s">
        <v>592</v>
      </c>
      <c r="J3325" t="s">
        <v>593</v>
      </c>
      <c r="K3325" t="s">
        <v>594</v>
      </c>
      <c r="L3325" s="12" t="s">
        <v>232</v>
      </c>
      <c r="M3325" s="12" t="s">
        <v>65</v>
      </c>
      <c r="N3325" s="12" t="s">
        <v>107</v>
      </c>
      <c r="O3325" s="12" t="s">
        <v>91</v>
      </c>
      <c r="P3325" s="12" t="s">
        <v>92</v>
      </c>
      <c r="Q3325" s="7" t="str">
        <f t="shared" si="154"/>
        <v>(2020,46,'2020.11.14',8,13,30,61,68,0),</v>
      </c>
      <c r="R3325" s="7" t="str">
        <f t="shared" si="156"/>
        <v>(2020,46,'2020.11.14',8,13,30,61,68),</v>
      </c>
    </row>
    <row r="3326" spans="1:18" x14ac:dyDescent="0.25">
      <c r="A3326" s="7" t="s">
        <v>555</v>
      </c>
      <c r="B3326" s="8" t="s">
        <v>81</v>
      </c>
      <c r="C3326" s="10">
        <f t="shared" si="155"/>
        <v>44156</v>
      </c>
      <c r="D3326" t="s">
        <v>11</v>
      </c>
      <c r="E3326" t="s">
        <v>12</v>
      </c>
      <c r="F3326" t="s">
        <v>45</v>
      </c>
      <c r="G3326" t="s">
        <v>585</v>
      </c>
      <c r="H3326" t="s">
        <v>586</v>
      </c>
      <c r="I3326" t="s">
        <v>587</v>
      </c>
      <c r="J3326" t="s">
        <v>588</v>
      </c>
      <c r="K3326" t="s">
        <v>589</v>
      </c>
      <c r="L3326" s="12" t="s">
        <v>54</v>
      </c>
      <c r="M3326" s="12" t="s">
        <v>80</v>
      </c>
      <c r="N3326" s="12" t="s">
        <v>98</v>
      </c>
      <c r="O3326" s="12" t="s">
        <v>123</v>
      </c>
      <c r="P3326" s="12" t="s">
        <v>106</v>
      </c>
      <c r="Q3326" s="7" t="str">
        <f t="shared" si="154"/>
        <v>(2020,47,'2020.11.21',15,32,42,54,75,0),</v>
      </c>
      <c r="R3326" s="7" t="str">
        <f t="shared" si="156"/>
        <v>(2020,47,'2020.11.21',15,32,42,54,75),</v>
      </c>
    </row>
    <row r="3327" spans="1:18" x14ac:dyDescent="0.25">
      <c r="A3327" s="7" t="s">
        <v>555</v>
      </c>
      <c r="B3327" s="8" t="s">
        <v>22</v>
      </c>
      <c r="C3327" s="10">
        <f t="shared" si="155"/>
        <v>44163</v>
      </c>
      <c r="D3327" t="s">
        <v>11</v>
      </c>
      <c r="E3327" t="s">
        <v>12</v>
      </c>
      <c r="F3327" t="s">
        <v>64</v>
      </c>
      <c r="G3327" t="s">
        <v>580</v>
      </c>
      <c r="H3327" t="s">
        <v>581</v>
      </c>
      <c r="I3327" t="s">
        <v>582</v>
      </c>
      <c r="J3327" t="s">
        <v>583</v>
      </c>
      <c r="K3327" t="s">
        <v>584</v>
      </c>
      <c r="L3327" s="12" t="s">
        <v>36</v>
      </c>
      <c r="M3327" s="12" t="s">
        <v>45</v>
      </c>
      <c r="N3327" s="12" t="s">
        <v>22</v>
      </c>
      <c r="O3327" s="12" t="s">
        <v>214</v>
      </c>
      <c r="P3327" s="12" t="s">
        <v>106</v>
      </c>
      <c r="Q3327" s="7" t="str">
        <f t="shared" si="154"/>
        <v>(2020,48,'2020.11.28',38,43,48,64,75,0),</v>
      </c>
      <c r="R3327" s="7" t="str">
        <f t="shared" si="156"/>
        <v>(2020,48,'2020.11.28',38,43,48,64,75),</v>
      </c>
    </row>
    <row r="3328" spans="1:18" x14ac:dyDescent="0.25">
      <c r="A3328" s="7" t="s">
        <v>555</v>
      </c>
      <c r="B3328" s="8" t="s">
        <v>34</v>
      </c>
      <c r="C3328" s="10">
        <f t="shared" si="155"/>
        <v>44170</v>
      </c>
      <c r="D3328" t="s">
        <v>11</v>
      </c>
      <c r="E3328" t="s">
        <v>12</v>
      </c>
      <c r="F3328" t="s">
        <v>245</v>
      </c>
      <c r="G3328" t="s">
        <v>576</v>
      </c>
      <c r="H3328" t="s">
        <v>577</v>
      </c>
      <c r="I3328" t="s">
        <v>578</v>
      </c>
      <c r="J3328" t="s">
        <v>579</v>
      </c>
      <c r="K3328" t="s">
        <v>393</v>
      </c>
      <c r="L3328" s="12" t="s">
        <v>168</v>
      </c>
      <c r="M3328" s="12" t="s">
        <v>53</v>
      </c>
      <c r="N3328" s="12" t="s">
        <v>126</v>
      </c>
      <c r="O3328" s="12" t="s">
        <v>169</v>
      </c>
      <c r="P3328" s="12" t="s">
        <v>143</v>
      </c>
      <c r="Q3328" s="7" t="str">
        <f t="shared" si="154"/>
        <v>(2020,49,'2020.12.05',4,7,28,58,77,0),</v>
      </c>
      <c r="R3328" s="7" t="str">
        <f t="shared" si="156"/>
        <v>(2020,49,'2020.12.05',4,7,28,58,77),</v>
      </c>
    </row>
    <row r="3329" spans="1:18" x14ac:dyDescent="0.25">
      <c r="A3329" s="7" t="s">
        <v>555</v>
      </c>
      <c r="B3329" s="8" t="s">
        <v>105</v>
      </c>
      <c r="C3329" s="10">
        <f t="shared" si="155"/>
        <v>44177</v>
      </c>
      <c r="D3329" t="s">
        <v>11</v>
      </c>
      <c r="E3329" t="s">
        <v>12</v>
      </c>
      <c r="F3329" t="s">
        <v>269</v>
      </c>
      <c r="G3329" t="s">
        <v>571</v>
      </c>
      <c r="H3329" t="s">
        <v>572</v>
      </c>
      <c r="I3329" t="s">
        <v>573</v>
      </c>
      <c r="J3329" t="s">
        <v>574</v>
      </c>
      <c r="K3329" t="s">
        <v>575</v>
      </c>
      <c r="L3329" s="12" t="s">
        <v>53</v>
      </c>
      <c r="M3329" s="12" t="s">
        <v>46</v>
      </c>
      <c r="N3329" s="12" t="s">
        <v>24</v>
      </c>
      <c r="O3329" s="12" t="s">
        <v>72</v>
      </c>
      <c r="P3329" s="12" t="s">
        <v>201</v>
      </c>
      <c r="Q3329" s="7" t="str">
        <f t="shared" si="154"/>
        <v>(2020,50,'2020.12.12',7,37,39,67,72,0),</v>
      </c>
      <c r="R3329" s="7" t="str">
        <f t="shared" si="156"/>
        <v>(2020,50,'2020.12.12',7,37,39,67,72),</v>
      </c>
    </row>
    <row r="3330" spans="1:18" x14ac:dyDescent="0.25">
      <c r="A3330" s="7" t="s">
        <v>555</v>
      </c>
      <c r="B3330" s="8" t="s">
        <v>122</v>
      </c>
      <c r="C3330" s="10">
        <f t="shared" si="155"/>
        <v>44184</v>
      </c>
      <c r="D3330" t="s">
        <v>108</v>
      </c>
      <c r="E3330" t="s">
        <v>566</v>
      </c>
      <c r="F3330" t="s">
        <v>233</v>
      </c>
      <c r="G3330" t="s">
        <v>567</v>
      </c>
      <c r="H3330" t="s">
        <v>568</v>
      </c>
      <c r="I3330" t="s">
        <v>569</v>
      </c>
      <c r="J3330" t="s">
        <v>570</v>
      </c>
      <c r="K3330" t="s">
        <v>231</v>
      </c>
      <c r="L3330" s="12" t="s">
        <v>207</v>
      </c>
      <c r="M3330" s="12" t="s">
        <v>55</v>
      </c>
      <c r="N3330" s="12" t="s">
        <v>135</v>
      </c>
      <c r="O3330" s="12" t="s">
        <v>116</v>
      </c>
      <c r="P3330" s="12" t="s">
        <v>308</v>
      </c>
      <c r="Q3330" s="7" t="str">
        <f t="shared" ref="Q3330:Q3393" si="157">"("&amp;A3330&amp;","&amp;B3330&amp;",'"&amp;TEXT(C3330,"éééé.hh.nn")&amp;"',"&amp;L3330&amp;","&amp;M3330&amp;","&amp;N3330&amp;","&amp;O3330&amp;","&amp;P3330&amp;",0)"&amp;IF(P3331&lt;&gt;0,",","")</f>
        <v>(2020,51,'2020.12.19',2,19,27,29,86,0),</v>
      </c>
      <c r="R3330" s="7" t="str">
        <f t="shared" si="156"/>
        <v>(2020,51,'2020.12.19',2,19,27,29,86),</v>
      </c>
    </row>
    <row r="3331" spans="1:18" x14ac:dyDescent="0.25">
      <c r="A3331" s="7" t="s">
        <v>555</v>
      </c>
      <c r="B3331" s="8" t="s">
        <v>99</v>
      </c>
      <c r="C3331" s="10">
        <f t="shared" ref="C3331:C3394" si="158">+C3330+7</f>
        <v>44191</v>
      </c>
      <c r="D3331" t="s">
        <v>11</v>
      </c>
      <c r="E3331" t="s">
        <v>12</v>
      </c>
      <c r="F3331" t="s">
        <v>44</v>
      </c>
      <c r="G3331" t="s">
        <v>561</v>
      </c>
      <c r="H3331" t="s">
        <v>562</v>
      </c>
      <c r="I3331" t="s">
        <v>563</v>
      </c>
      <c r="J3331" t="s">
        <v>564</v>
      </c>
      <c r="K3331" t="s">
        <v>565</v>
      </c>
      <c r="L3331" s="12" t="s">
        <v>83</v>
      </c>
      <c r="M3331" s="12" t="s">
        <v>127</v>
      </c>
      <c r="N3331" s="12" t="s">
        <v>32</v>
      </c>
      <c r="O3331" s="12" t="s">
        <v>22</v>
      </c>
      <c r="P3331" s="12" t="s">
        <v>468</v>
      </c>
      <c r="Q3331" s="7" t="str">
        <f t="shared" si="157"/>
        <v>(2020,52,'2020.12.26',11,14,22,48,85,0),</v>
      </c>
      <c r="R3331" s="7" t="str">
        <f t="shared" ref="R3331:R3394" si="159">IF(TRIM(P3331)="","","("&amp;A3331&amp;","&amp;B3331&amp;",'"&amp;TEXT(C3331,"éééé.hh.nn")&amp;"',"&amp;L3331&amp;","&amp;M3331&amp;","&amp;N3331&amp;","&amp;O3331&amp;","&amp;P3331&amp;")"&amp;IF(P3332=0,";",","))</f>
        <v>(2020,52,'2020.12.26',11,14,22,48,85),</v>
      </c>
    </row>
    <row r="3332" spans="1:18" x14ac:dyDescent="0.25">
      <c r="A3332" s="7" t="s">
        <v>555</v>
      </c>
      <c r="B3332" s="8" t="s">
        <v>199</v>
      </c>
      <c r="C3332" s="10">
        <f t="shared" si="158"/>
        <v>44198</v>
      </c>
      <c r="D3332" t="s">
        <v>11</v>
      </c>
      <c r="E3332" t="s">
        <v>12</v>
      </c>
      <c r="F3332" t="s">
        <v>115</v>
      </c>
      <c r="G3332" t="s">
        <v>556</v>
      </c>
      <c r="H3332" t="s">
        <v>557</v>
      </c>
      <c r="I3332" t="s">
        <v>558</v>
      </c>
      <c r="J3332" t="s">
        <v>559</v>
      </c>
      <c r="K3332" t="s">
        <v>560</v>
      </c>
      <c r="L3332" s="12" t="s">
        <v>53</v>
      </c>
      <c r="M3332" s="12" t="s">
        <v>133</v>
      </c>
      <c r="N3332" s="12" t="s">
        <v>35</v>
      </c>
      <c r="O3332" s="12" t="s">
        <v>308</v>
      </c>
      <c r="P3332" s="12" t="s">
        <v>208</v>
      </c>
      <c r="Q3332" s="7" t="str">
        <f t="shared" si="157"/>
        <v>(2020,53,'2021.01.02',7,45,65,86,88,0),</v>
      </c>
      <c r="R3332" s="7" t="str">
        <f t="shared" si="159"/>
        <v>(2020,53,'2021.01.02',7,45,65,86,88),</v>
      </c>
    </row>
    <row r="3333" spans="1:18" x14ac:dyDescent="0.25">
      <c r="A3333" s="7" t="s">
        <v>302</v>
      </c>
      <c r="B3333" s="8" t="s">
        <v>108</v>
      </c>
      <c r="C3333" s="10">
        <f t="shared" si="158"/>
        <v>44205</v>
      </c>
      <c r="D3333" t="s">
        <v>11</v>
      </c>
      <c r="E3333" t="s">
        <v>12</v>
      </c>
      <c r="F3333" t="s">
        <v>116</v>
      </c>
      <c r="G3333" t="s">
        <v>550</v>
      </c>
      <c r="H3333" t="s">
        <v>551</v>
      </c>
      <c r="I3333" t="s">
        <v>552</v>
      </c>
      <c r="J3333" t="s">
        <v>553</v>
      </c>
      <c r="K3333" t="s">
        <v>554</v>
      </c>
      <c r="L3333" s="12" t="s">
        <v>55</v>
      </c>
      <c r="M3333" s="12" t="s">
        <v>80</v>
      </c>
      <c r="N3333" s="12" t="s">
        <v>25</v>
      </c>
      <c r="O3333" s="12" t="s">
        <v>46</v>
      </c>
      <c r="P3333" s="12" t="s">
        <v>24</v>
      </c>
      <c r="Q3333" s="7" t="str">
        <f t="shared" si="157"/>
        <v>(2021,1,'2021.01.09',19,32,34,37,39,0),</v>
      </c>
      <c r="R3333" s="7" t="str">
        <f t="shared" si="159"/>
        <v>(2021,1,'2021.01.09',19,32,34,37,39),</v>
      </c>
    </row>
    <row r="3334" spans="1:18" x14ac:dyDescent="0.25">
      <c r="A3334" s="7" t="s">
        <v>302</v>
      </c>
      <c r="B3334" s="8" t="s">
        <v>207</v>
      </c>
      <c r="C3334" s="10">
        <f t="shared" si="158"/>
        <v>44212</v>
      </c>
      <c r="D3334" t="s">
        <v>11</v>
      </c>
      <c r="E3334" t="s">
        <v>12</v>
      </c>
      <c r="F3334" t="s">
        <v>186</v>
      </c>
      <c r="G3334" t="s">
        <v>545</v>
      </c>
      <c r="H3334" t="s">
        <v>546</v>
      </c>
      <c r="I3334" t="s">
        <v>547</v>
      </c>
      <c r="J3334" t="s">
        <v>548</v>
      </c>
      <c r="K3334" t="s">
        <v>549</v>
      </c>
      <c r="L3334" s="12" t="s">
        <v>55</v>
      </c>
      <c r="M3334" s="12" t="s">
        <v>163</v>
      </c>
      <c r="N3334" s="12" t="s">
        <v>133</v>
      </c>
      <c r="O3334" s="12" t="s">
        <v>150</v>
      </c>
      <c r="P3334" s="12" t="s">
        <v>63</v>
      </c>
      <c r="Q3334" s="7" t="str">
        <f t="shared" si="157"/>
        <v>(2021,2,'2021.01.16',19,23,45,57,78,0),</v>
      </c>
      <c r="R3334" s="7" t="str">
        <f t="shared" si="159"/>
        <v>(2021,2,'2021.01.16',19,23,45,57,78),</v>
      </c>
    </row>
    <row r="3335" spans="1:18" x14ac:dyDescent="0.25">
      <c r="A3335" s="7" t="s">
        <v>302</v>
      </c>
      <c r="B3335" s="8" t="s">
        <v>42</v>
      </c>
      <c r="C3335" s="10">
        <f t="shared" si="158"/>
        <v>44219</v>
      </c>
      <c r="D3335" t="s">
        <v>11</v>
      </c>
      <c r="E3335" t="s">
        <v>12</v>
      </c>
      <c r="F3335" t="s">
        <v>20</v>
      </c>
      <c r="G3335" t="s">
        <v>541</v>
      </c>
      <c r="H3335" t="s">
        <v>542</v>
      </c>
      <c r="I3335" t="s">
        <v>543</v>
      </c>
      <c r="J3335" t="s">
        <v>544</v>
      </c>
      <c r="K3335" t="s">
        <v>97</v>
      </c>
      <c r="L3335" s="12" t="s">
        <v>32</v>
      </c>
      <c r="M3335" s="12" t="s">
        <v>25</v>
      </c>
      <c r="N3335" s="12" t="s">
        <v>99</v>
      </c>
      <c r="O3335" s="12" t="s">
        <v>248</v>
      </c>
      <c r="P3335" s="12" t="s">
        <v>468</v>
      </c>
      <c r="Q3335" s="7" t="str">
        <f t="shared" si="157"/>
        <v>(2021,3,'2021.01.23',22,34,52,63,85,0),</v>
      </c>
      <c r="R3335" s="7" t="str">
        <f t="shared" si="159"/>
        <v>(2021,3,'2021.01.23',22,34,52,63,85),</v>
      </c>
    </row>
    <row r="3336" spans="1:18" x14ac:dyDescent="0.25">
      <c r="A3336" s="7" t="s">
        <v>302</v>
      </c>
      <c r="B3336" s="8" t="s">
        <v>168</v>
      </c>
      <c r="C3336" s="10">
        <f t="shared" si="158"/>
        <v>44226</v>
      </c>
      <c r="D3336" t="s">
        <v>11</v>
      </c>
      <c r="E3336" t="s">
        <v>12</v>
      </c>
      <c r="F3336" t="s">
        <v>535</v>
      </c>
      <c r="G3336" t="s">
        <v>536</v>
      </c>
      <c r="H3336" t="s">
        <v>537</v>
      </c>
      <c r="I3336" t="s">
        <v>538</v>
      </c>
      <c r="J3336" t="s">
        <v>539</v>
      </c>
      <c r="K3336" t="s">
        <v>540</v>
      </c>
      <c r="L3336" s="12" t="s">
        <v>42</v>
      </c>
      <c r="M3336" s="12" t="s">
        <v>198</v>
      </c>
      <c r="N3336" s="12" t="s">
        <v>55</v>
      </c>
      <c r="O3336" s="12" t="s">
        <v>13</v>
      </c>
      <c r="P3336" s="12" t="s">
        <v>175</v>
      </c>
      <c r="Q3336" s="7" t="str">
        <f t="shared" si="157"/>
        <v>(2021,4,'2021.01.30',3,9,19,41,55,0),</v>
      </c>
      <c r="R3336" s="7" t="str">
        <f t="shared" si="159"/>
        <v>(2021,4,'2021.01.30',3,9,19,41,55),</v>
      </c>
    </row>
    <row r="3337" spans="1:18" x14ac:dyDescent="0.25">
      <c r="A3337" s="7" t="s">
        <v>302</v>
      </c>
      <c r="B3337" s="8" t="s">
        <v>89</v>
      </c>
      <c r="C3337" s="10">
        <f t="shared" si="158"/>
        <v>44233</v>
      </c>
      <c r="D3337" t="s">
        <v>11</v>
      </c>
      <c r="E3337" t="s">
        <v>12</v>
      </c>
      <c r="F3337" t="s">
        <v>64</v>
      </c>
      <c r="G3337" t="s">
        <v>530</v>
      </c>
      <c r="H3337" t="s">
        <v>531</v>
      </c>
      <c r="I3337" t="s">
        <v>532</v>
      </c>
      <c r="J3337" t="s">
        <v>533</v>
      </c>
      <c r="K3337" t="s">
        <v>534</v>
      </c>
      <c r="L3337" s="12" t="s">
        <v>83</v>
      </c>
      <c r="M3337" s="12" t="s">
        <v>33</v>
      </c>
      <c r="N3337" s="12" t="s">
        <v>107</v>
      </c>
      <c r="O3337" s="12" t="s">
        <v>133</v>
      </c>
      <c r="P3337" s="12" t="s">
        <v>233</v>
      </c>
      <c r="Q3337" s="7" t="str">
        <f t="shared" si="157"/>
        <v>(2021,5,'2021.02.06',11,24,30,45,66,0),</v>
      </c>
      <c r="R3337" s="7" t="str">
        <f t="shared" si="159"/>
        <v>(2021,5,'2021.02.06',11,24,30,45,66),</v>
      </c>
    </row>
    <row r="3338" spans="1:18" x14ac:dyDescent="0.25">
      <c r="A3338" s="7" t="s">
        <v>302</v>
      </c>
      <c r="B3338" s="8" t="s">
        <v>270</v>
      </c>
      <c r="C3338" s="10">
        <f t="shared" si="158"/>
        <v>44240</v>
      </c>
      <c r="D3338" t="s">
        <v>11</v>
      </c>
      <c r="E3338" t="s">
        <v>12</v>
      </c>
      <c r="F3338" t="s">
        <v>115</v>
      </c>
      <c r="G3338" t="s">
        <v>525</v>
      </c>
      <c r="H3338" t="s">
        <v>526</v>
      </c>
      <c r="I3338" t="s">
        <v>527</v>
      </c>
      <c r="J3338" t="s">
        <v>528</v>
      </c>
      <c r="K3338" t="s">
        <v>529</v>
      </c>
      <c r="L3338" s="12" t="s">
        <v>74</v>
      </c>
      <c r="M3338" s="12" t="s">
        <v>133</v>
      </c>
      <c r="N3338" s="12" t="s">
        <v>22</v>
      </c>
      <c r="O3338" s="12" t="s">
        <v>63</v>
      </c>
      <c r="P3338" s="12" t="s">
        <v>151</v>
      </c>
      <c r="Q3338" s="7" t="str">
        <f t="shared" si="157"/>
        <v>(2021,6,'2021.02.13',26,45,48,78,79,0),</v>
      </c>
      <c r="R3338" s="7" t="str">
        <f t="shared" si="159"/>
        <v>(2021,6,'2021.02.13',26,45,48,78,79),</v>
      </c>
    </row>
    <row r="3339" spans="1:18" x14ac:dyDescent="0.25">
      <c r="A3339" s="7" t="s">
        <v>302</v>
      </c>
      <c r="B3339" s="8" t="s">
        <v>53</v>
      </c>
      <c r="C3339" s="10">
        <f t="shared" si="158"/>
        <v>44247</v>
      </c>
      <c r="D3339" t="s">
        <v>11</v>
      </c>
      <c r="E3339" t="s">
        <v>12</v>
      </c>
      <c r="F3339" t="s">
        <v>74</v>
      </c>
      <c r="G3339" t="s">
        <v>521</v>
      </c>
      <c r="H3339" t="s">
        <v>522</v>
      </c>
      <c r="I3339" t="s">
        <v>523</v>
      </c>
      <c r="J3339" t="s">
        <v>524</v>
      </c>
      <c r="K3339" t="s">
        <v>141</v>
      </c>
      <c r="L3339" s="12" t="s">
        <v>89</v>
      </c>
      <c r="M3339" s="12" t="s">
        <v>105</v>
      </c>
      <c r="N3339" s="12" t="s">
        <v>199</v>
      </c>
      <c r="O3339" s="12" t="s">
        <v>175</v>
      </c>
      <c r="P3339" s="12" t="s">
        <v>134</v>
      </c>
      <c r="Q3339" s="7" t="str">
        <f t="shared" si="157"/>
        <v>(2021,7,'2021.02.20',5,50,53,55,56,0),</v>
      </c>
      <c r="R3339" s="7" t="str">
        <f t="shared" si="159"/>
        <v>(2021,7,'2021.02.20',5,50,53,55,56),</v>
      </c>
    </row>
    <row r="3340" spans="1:18" x14ac:dyDescent="0.25">
      <c r="A3340" s="7" t="s">
        <v>302</v>
      </c>
      <c r="B3340" s="8" t="s">
        <v>232</v>
      </c>
      <c r="C3340" s="10">
        <f t="shared" si="158"/>
        <v>44254</v>
      </c>
      <c r="D3340" t="s">
        <v>11</v>
      </c>
      <c r="E3340" t="s">
        <v>12</v>
      </c>
      <c r="F3340" t="s">
        <v>64</v>
      </c>
      <c r="G3340" t="s">
        <v>517</v>
      </c>
      <c r="H3340" t="s">
        <v>518</v>
      </c>
      <c r="I3340" t="s">
        <v>519</v>
      </c>
      <c r="J3340" t="s">
        <v>520</v>
      </c>
      <c r="K3340" t="s">
        <v>433</v>
      </c>
      <c r="L3340" s="12" t="s">
        <v>80</v>
      </c>
      <c r="M3340" s="12" t="s">
        <v>133</v>
      </c>
      <c r="N3340" s="12" t="s">
        <v>122</v>
      </c>
      <c r="O3340" s="12" t="s">
        <v>239</v>
      </c>
      <c r="P3340" s="12" t="s">
        <v>106</v>
      </c>
      <c r="Q3340" s="7" t="str">
        <f t="shared" si="157"/>
        <v>(2021,8,'2021.02.27',32,45,51,73,75,0),</v>
      </c>
      <c r="R3340" s="7" t="str">
        <f t="shared" si="159"/>
        <v>(2021,8,'2021.02.27',32,45,51,73,75),</v>
      </c>
    </row>
    <row r="3341" spans="1:18" x14ac:dyDescent="0.25">
      <c r="A3341" s="7" t="s">
        <v>302</v>
      </c>
      <c r="B3341" s="8" t="s">
        <v>198</v>
      </c>
      <c r="C3341" s="10">
        <f t="shared" si="158"/>
        <v>44261</v>
      </c>
      <c r="D3341" t="s">
        <v>11</v>
      </c>
      <c r="E3341" t="s">
        <v>12</v>
      </c>
      <c r="F3341" t="s">
        <v>81</v>
      </c>
      <c r="G3341" t="s">
        <v>513</v>
      </c>
      <c r="H3341" t="s">
        <v>514</v>
      </c>
      <c r="I3341" t="s">
        <v>515</v>
      </c>
      <c r="J3341" t="s">
        <v>516</v>
      </c>
      <c r="K3341" t="s">
        <v>41</v>
      </c>
      <c r="L3341" s="12" t="s">
        <v>42</v>
      </c>
      <c r="M3341" s="12" t="s">
        <v>198</v>
      </c>
      <c r="N3341" s="12" t="s">
        <v>74</v>
      </c>
      <c r="O3341" s="12" t="s">
        <v>24</v>
      </c>
      <c r="P3341" s="12" t="s">
        <v>308</v>
      </c>
      <c r="Q3341" s="7" t="str">
        <f t="shared" si="157"/>
        <v>(2021,9,'2021.03.06',3,9,26,39,86,0),</v>
      </c>
      <c r="R3341" s="7" t="str">
        <f t="shared" si="159"/>
        <v>(2021,9,'2021.03.06',3,9,26,39,86),</v>
      </c>
    </row>
    <row r="3342" spans="1:18" x14ac:dyDescent="0.25">
      <c r="A3342" s="7" t="s">
        <v>302</v>
      </c>
      <c r="B3342" s="8" t="s">
        <v>62</v>
      </c>
      <c r="C3342" s="10">
        <f t="shared" si="158"/>
        <v>44268</v>
      </c>
      <c r="D3342" t="s">
        <v>11</v>
      </c>
      <c r="E3342" t="s">
        <v>12</v>
      </c>
      <c r="F3342" t="s">
        <v>115</v>
      </c>
      <c r="G3342" t="s">
        <v>508</v>
      </c>
      <c r="H3342" t="s">
        <v>509</v>
      </c>
      <c r="I3342" t="s">
        <v>510</v>
      </c>
      <c r="J3342" t="s">
        <v>511</v>
      </c>
      <c r="K3342" t="s">
        <v>512</v>
      </c>
      <c r="L3342" s="12" t="s">
        <v>108</v>
      </c>
      <c r="M3342" s="12" t="s">
        <v>21</v>
      </c>
      <c r="N3342" s="12" t="s">
        <v>122</v>
      </c>
      <c r="O3342" s="12" t="s">
        <v>82</v>
      </c>
      <c r="P3342" s="12" t="s">
        <v>124</v>
      </c>
      <c r="Q3342" s="7" t="str">
        <f t="shared" si="157"/>
        <v>(2021,10,'2021.03.13',1,36,51,59,62,0),</v>
      </c>
      <c r="R3342" s="7" t="str">
        <f t="shared" si="159"/>
        <v>(2021,10,'2021.03.13',1,36,51,59,62),</v>
      </c>
    </row>
    <row r="3343" spans="1:18" x14ac:dyDescent="0.25">
      <c r="A3343" s="7" t="s">
        <v>302</v>
      </c>
      <c r="B3343" s="8" t="s">
        <v>83</v>
      </c>
      <c r="C3343" s="10">
        <f t="shared" si="158"/>
        <v>44275</v>
      </c>
      <c r="D3343" t="s">
        <v>11</v>
      </c>
      <c r="E3343" t="s">
        <v>12</v>
      </c>
      <c r="F3343" t="s">
        <v>44</v>
      </c>
      <c r="G3343" t="s">
        <v>503</v>
      </c>
      <c r="H3343" t="s">
        <v>504</v>
      </c>
      <c r="I3343" t="s">
        <v>505</v>
      </c>
      <c r="J3343" t="s">
        <v>506</v>
      </c>
      <c r="K3343" t="s">
        <v>507</v>
      </c>
      <c r="L3343" s="12" t="s">
        <v>54</v>
      </c>
      <c r="M3343" s="12" t="s">
        <v>80</v>
      </c>
      <c r="N3343" s="12" t="s">
        <v>239</v>
      </c>
      <c r="O3343" s="12" t="s">
        <v>63</v>
      </c>
      <c r="P3343" s="12" t="s">
        <v>125</v>
      </c>
      <c r="Q3343" s="7" t="str">
        <f t="shared" si="157"/>
        <v>(2021,11,'2021.03.20',15,32,73,78,83,0),</v>
      </c>
      <c r="R3343" s="7" t="str">
        <f t="shared" si="159"/>
        <v>(2021,11,'2021.03.20',15,32,73,78,83),</v>
      </c>
    </row>
    <row r="3344" spans="1:18" x14ac:dyDescent="0.25">
      <c r="A3344" s="7" t="s">
        <v>302</v>
      </c>
      <c r="B3344" s="8" t="s">
        <v>31</v>
      </c>
      <c r="C3344" s="10">
        <f t="shared" si="158"/>
        <v>44282</v>
      </c>
      <c r="D3344" t="s">
        <v>11</v>
      </c>
      <c r="E3344" t="s">
        <v>12</v>
      </c>
      <c r="F3344" t="s">
        <v>163</v>
      </c>
      <c r="G3344" t="s">
        <v>498</v>
      </c>
      <c r="H3344" t="s">
        <v>499</v>
      </c>
      <c r="I3344" t="s">
        <v>500</v>
      </c>
      <c r="J3344" t="s">
        <v>501</v>
      </c>
      <c r="K3344" t="s">
        <v>502</v>
      </c>
      <c r="L3344" s="12" t="s">
        <v>116</v>
      </c>
      <c r="M3344" s="12" t="s">
        <v>25</v>
      </c>
      <c r="N3344" s="12" t="s">
        <v>47</v>
      </c>
      <c r="O3344" s="12" t="s">
        <v>308</v>
      </c>
      <c r="P3344" s="12" t="s">
        <v>379</v>
      </c>
      <c r="Q3344" s="7" t="str">
        <f t="shared" si="157"/>
        <v>(2021,12,'2021.03.27',29,34,69,86,89,0),</v>
      </c>
      <c r="R3344" s="7" t="str">
        <f t="shared" si="159"/>
        <v>(2021,12,'2021.03.27',29,34,69,86,89),</v>
      </c>
    </row>
    <row r="3345" spans="1:18" x14ac:dyDescent="0.25">
      <c r="A3345" s="7" t="s">
        <v>302</v>
      </c>
      <c r="B3345" s="8" t="s">
        <v>65</v>
      </c>
      <c r="C3345" s="10">
        <f t="shared" si="158"/>
        <v>44289</v>
      </c>
      <c r="D3345" t="s">
        <v>108</v>
      </c>
      <c r="E3345" t="s">
        <v>492</v>
      </c>
      <c r="F3345" t="s">
        <v>24</v>
      </c>
      <c r="G3345" t="s">
        <v>493</v>
      </c>
      <c r="H3345" t="s">
        <v>494</v>
      </c>
      <c r="I3345" t="s">
        <v>495</v>
      </c>
      <c r="J3345" t="s">
        <v>496</v>
      </c>
      <c r="K3345" t="s">
        <v>497</v>
      </c>
      <c r="L3345" s="12" t="s">
        <v>270</v>
      </c>
      <c r="M3345" s="12" t="s">
        <v>80</v>
      </c>
      <c r="N3345" s="12" t="s">
        <v>24</v>
      </c>
      <c r="O3345" s="12" t="s">
        <v>142</v>
      </c>
      <c r="P3345" s="12" t="s">
        <v>73</v>
      </c>
      <c r="Q3345" s="7" t="str">
        <f t="shared" si="157"/>
        <v>(2021,13,'2021.04.03',6,32,39,44,76,0),</v>
      </c>
      <c r="R3345" s="7" t="str">
        <f t="shared" si="159"/>
        <v>(2021,13,'2021.04.03',6,32,39,44,76),</v>
      </c>
    </row>
    <row r="3346" spans="1:18" x14ac:dyDescent="0.25">
      <c r="A3346" s="7" t="s">
        <v>302</v>
      </c>
      <c r="B3346" s="8" t="s">
        <v>127</v>
      </c>
      <c r="C3346" s="10">
        <f t="shared" si="158"/>
        <v>44296</v>
      </c>
      <c r="D3346" t="s">
        <v>11</v>
      </c>
      <c r="E3346" t="s">
        <v>12</v>
      </c>
      <c r="F3346" t="s">
        <v>33</v>
      </c>
      <c r="G3346" t="s">
        <v>488</v>
      </c>
      <c r="H3346" t="s">
        <v>489</v>
      </c>
      <c r="I3346" t="s">
        <v>490</v>
      </c>
      <c r="J3346" t="s">
        <v>491</v>
      </c>
      <c r="K3346" t="s">
        <v>238</v>
      </c>
      <c r="L3346" s="12" t="s">
        <v>42</v>
      </c>
      <c r="M3346" s="12" t="s">
        <v>115</v>
      </c>
      <c r="N3346" s="12" t="s">
        <v>21</v>
      </c>
      <c r="O3346" s="12" t="s">
        <v>13</v>
      </c>
      <c r="P3346" s="12" t="s">
        <v>175</v>
      </c>
      <c r="Q3346" s="7" t="str">
        <f t="shared" si="157"/>
        <v>(2021,14,'2021.04.10',3,20,36,41,55,0),</v>
      </c>
      <c r="R3346" s="7" t="str">
        <f t="shared" si="159"/>
        <v>(2021,14,'2021.04.10',3,20,36,41,55),</v>
      </c>
    </row>
    <row r="3347" spans="1:18" x14ac:dyDescent="0.25">
      <c r="A3347" s="7" t="s">
        <v>302</v>
      </c>
      <c r="B3347" s="8" t="s">
        <v>54</v>
      </c>
      <c r="C3347" s="10">
        <f t="shared" si="158"/>
        <v>44303</v>
      </c>
      <c r="D3347" t="s">
        <v>11</v>
      </c>
      <c r="E3347" t="s">
        <v>12</v>
      </c>
      <c r="F3347" t="s">
        <v>55</v>
      </c>
      <c r="G3347" t="s">
        <v>483</v>
      </c>
      <c r="H3347" t="s">
        <v>484</v>
      </c>
      <c r="I3347" t="s">
        <v>485</v>
      </c>
      <c r="J3347" t="s">
        <v>486</v>
      </c>
      <c r="K3347" t="s">
        <v>487</v>
      </c>
      <c r="L3347" s="12" t="s">
        <v>10</v>
      </c>
      <c r="M3347" s="12" t="s">
        <v>98</v>
      </c>
      <c r="N3347" s="12" t="s">
        <v>133</v>
      </c>
      <c r="O3347" s="12" t="s">
        <v>105</v>
      </c>
      <c r="P3347" s="12" t="s">
        <v>308</v>
      </c>
      <c r="Q3347" s="7" t="str">
        <f t="shared" si="157"/>
        <v>(2021,15,'2021.04.17',40,42,45,50,86,0),</v>
      </c>
      <c r="R3347" s="7" t="str">
        <f t="shared" si="159"/>
        <v>(2021,15,'2021.04.17',40,42,45,50,86),</v>
      </c>
    </row>
    <row r="3348" spans="1:18" x14ac:dyDescent="0.25">
      <c r="A3348" s="7" t="s">
        <v>302</v>
      </c>
      <c r="B3348" s="8" t="s">
        <v>43</v>
      </c>
      <c r="C3348" s="10">
        <f t="shared" si="158"/>
        <v>44310</v>
      </c>
      <c r="D3348" t="s">
        <v>11</v>
      </c>
      <c r="E3348" t="s">
        <v>12</v>
      </c>
      <c r="F3348" t="s">
        <v>107</v>
      </c>
      <c r="G3348" t="s">
        <v>479</v>
      </c>
      <c r="H3348" t="s">
        <v>480</v>
      </c>
      <c r="I3348" t="s">
        <v>481</v>
      </c>
      <c r="J3348" t="s">
        <v>482</v>
      </c>
      <c r="K3348" t="s">
        <v>473</v>
      </c>
      <c r="L3348" s="12" t="s">
        <v>65</v>
      </c>
      <c r="M3348" s="12" t="s">
        <v>90</v>
      </c>
      <c r="N3348" s="12" t="s">
        <v>25</v>
      </c>
      <c r="O3348" s="12" t="s">
        <v>105</v>
      </c>
      <c r="P3348" s="12" t="s">
        <v>91</v>
      </c>
      <c r="Q3348" s="7" t="str">
        <f t="shared" si="157"/>
        <v>(2021,16,'2021.04.24',13,17,34,50,61,0),</v>
      </c>
      <c r="R3348" s="7" t="str">
        <f t="shared" si="159"/>
        <v>(2021,16,'2021.04.24',13,17,34,50,61),</v>
      </c>
    </row>
    <row r="3349" spans="1:18" x14ac:dyDescent="0.25">
      <c r="A3349" s="7" t="s">
        <v>302</v>
      </c>
      <c r="B3349" s="8" t="s">
        <v>90</v>
      </c>
      <c r="C3349" s="10">
        <f t="shared" si="158"/>
        <v>44317</v>
      </c>
      <c r="D3349" t="s">
        <v>11</v>
      </c>
      <c r="E3349" t="s">
        <v>12</v>
      </c>
      <c r="F3349" t="s">
        <v>135</v>
      </c>
      <c r="G3349" t="s">
        <v>474</v>
      </c>
      <c r="H3349" t="s">
        <v>475</v>
      </c>
      <c r="I3349" t="s">
        <v>476</v>
      </c>
      <c r="J3349" t="s">
        <v>477</v>
      </c>
      <c r="K3349" t="s">
        <v>478</v>
      </c>
      <c r="L3349" s="12" t="s">
        <v>62</v>
      </c>
      <c r="M3349" s="12" t="s">
        <v>24</v>
      </c>
      <c r="N3349" s="12" t="s">
        <v>35</v>
      </c>
      <c r="O3349" s="12" t="s">
        <v>200</v>
      </c>
      <c r="P3349" s="12" t="s">
        <v>186</v>
      </c>
      <c r="Q3349" s="7" t="str">
        <f t="shared" si="157"/>
        <v>(2021,17,'2021.05.01',10,39,65,70,90,0),</v>
      </c>
      <c r="R3349" s="7" t="str">
        <f t="shared" si="159"/>
        <v>(2021,17,'2021.05.01',10,39,65,70,90),</v>
      </c>
    </row>
    <row r="3350" spans="1:18" x14ac:dyDescent="0.25">
      <c r="A3350" s="7" t="s">
        <v>302</v>
      </c>
      <c r="B3350" s="8" t="s">
        <v>19</v>
      </c>
      <c r="C3350" s="10">
        <f t="shared" si="158"/>
        <v>44324</v>
      </c>
      <c r="D3350" t="s">
        <v>11</v>
      </c>
      <c r="E3350" t="s">
        <v>12</v>
      </c>
      <c r="F3350" t="s">
        <v>116</v>
      </c>
      <c r="G3350" t="s">
        <v>469</v>
      </c>
      <c r="H3350" t="s">
        <v>470</v>
      </c>
      <c r="I3350" t="s">
        <v>471</v>
      </c>
      <c r="J3350" t="s">
        <v>472</v>
      </c>
      <c r="K3350" t="s">
        <v>473</v>
      </c>
      <c r="L3350" s="12" t="s">
        <v>42</v>
      </c>
      <c r="M3350" s="12" t="s">
        <v>126</v>
      </c>
      <c r="N3350" s="12" t="s">
        <v>124</v>
      </c>
      <c r="O3350" s="12" t="s">
        <v>73</v>
      </c>
      <c r="P3350" s="12" t="s">
        <v>186</v>
      </c>
      <c r="Q3350" s="7" t="str">
        <f t="shared" si="157"/>
        <v>(2021,18,'2021.05.08',3,28,62,76,90,0),</v>
      </c>
      <c r="R3350" s="7" t="str">
        <f t="shared" si="159"/>
        <v>(2021,18,'2021.05.08',3,28,62,76,90),</v>
      </c>
    </row>
    <row r="3351" spans="1:18" x14ac:dyDescent="0.25">
      <c r="A3351" s="7" t="s">
        <v>302</v>
      </c>
      <c r="B3351" s="8" t="s">
        <v>55</v>
      </c>
      <c r="C3351" s="10">
        <f t="shared" si="158"/>
        <v>44331</v>
      </c>
      <c r="D3351" t="s">
        <v>11</v>
      </c>
      <c r="E3351" t="s">
        <v>12</v>
      </c>
      <c r="F3351" t="s">
        <v>25</v>
      </c>
      <c r="G3351" t="s">
        <v>463</v>
      </c>
      <c r="H3351" t="s">
        <v>464</v>
      </c>
      <c r="I3351" t="s">
        <v>465</v>
      </c>
      <c r="J3351" t="s">
        <v>466</v>
      </c>
      <c r="K3351" t="s">
        <v>467</v>
      </c>
      <c r="L3351" s="12" t="s">
        <v>74</v>
      </c>
      <c r="M3351" s="12" t="s">
        <v>20</v>
      </c>
      <c r="N3351" s="12" t="s">
        <v>142</v>
      </c>
      <c r="O3351" s="12" t="s">
        <v>239</v>
      </c>
      <c r="P3351" s="12" t="s">
        <v>468</v>
      </c>
      <c r="Q3351" s="7" t="str">
        <f t="shared" si="157"/>
        <v>(2021,19,'2021.05.15',26,33,44,73,85,0),</v>
      </c>
      <c r="R3351" s="7" t="str">
        <f t="shared" si="159"/>
        <v>(2021,19,'2021.05.15',26,33,44,73,85),</v>
      </c>
    </row>
    <row r="3352" spans="1:18" x14ac:dyDescent="0.25">
      <c r="A3352" s="7" t="s">
        <v>302</v>
      </c>
      <c r="B3352" s="8" t="s">
        <v>115</v>
      </c>
      <c r="C3352" s="10">
        <f t="shared" si="158"/>
        <v>44338</v>
      </c>
      <c r="D3352" t="s">
        <v>11</v>
      </c>
      <c r="E3352" t="s">
        <v>12</v>
      </c>
      <c r="F3352" t="s">
        <v>64</v>
      </c>
      <c r="G3352" t="s">
        <v>459</v>
      </c>
      <c r="H3352" t="s">
        <v>460</v>
      </c>
      <c r="I3352" t="s">
        <v>461</v>
      </c>
      <c r="J3352" t="s">
        <v>462</v>
      </c>
      <c r="K3352" t="s">
        <v>285</v>
      </c>
      <c r="L3352" s="12" t="s">
        <v>232</v>
      </c>
      <c r="M3352" s="12" t="s">
        <v>44</v>
      </c>
      <c r="N3352" s="12" t="s">
        <v>150</v>
      </c>
      <c r="O3352" s="12" t="s">
        <v>143</v>
      </c>
      <c r="P3352" s="12" t="s">
        <v>301</v>
      </c>
      <c r="Q3352" s="7" t="str">
        <f t="shared" si="157"/>
        <v>(2021,20,'2021.05.22',8,21,57,77,80,0),</v>
      </c>
      <c r="R3352" s="7" t="str">
        <f t="shared" si="159"/>
        <v>(2021,20,'2021.05.22',8,21,57,77,80),</v>
      </c>
    </row>
    <row r="3353" spans="1:18" x14ac:dyDescent="0.25">
      <c r="A3353" s="7" t="s">
        <v>302</v>
      </c>
      <c r="B3353" s="8" t="s">
        <v>44</v>
      </c>
      <c r="C3353" s="10">
        <f t="shared" si="158"/>
        <v>44345</v>
      </c>
      <c r="D3353" t="s">
        <v>11</v>
      </c>
      <c r="E3353" t="s">
        <v>12</v>
      </c>
      <c r="F3353" t="s">
        <v>54</v>
      </c>
      <c r="G3353" t="s">
        <v>454</v>
      </c>
      <c r="H3353" t="s">
        <v>455</v>
      </c>
      <c r="I3353" t="s">
        <v>456</v>
      </c>
      <c r="J3353" t="s">
        <v>457</v>
      </c>
      <c r="K3353" t="s">
        <v>458</v>
      </c>
      <c r="L3353" s="12" t="s">
        <v>44</v>
      </c>
      <c r="M3353" s="12" t="s">
        <v>34</v>
      </c>
      <c r="N3353" s="12" t="s">
        <v>105</v>
      </c>
      <c r="O3353" s="12" t="s">
        <v>169</v>
      </c>
      <c r="P3353" s="12" t="s">
        <v>246</v>
      </c>
      <c r="Q3353" s="7" t="str">
        <f t="shared" si="157"/>
        <v>(2021,21,'2021.05.29',21,49,50,58,84,0),</v>
      </c>
      <c r="R3353" s="7" t="str">
        <f t="shared" si="159"/>
        <v>(2021,21,'2021.05.29',21,49,50,58,84),</v>
      </c>
    </row>
    <row r="3354" spans="1:18" x14ac:dyDescent="0.25">
      <c r="A3354" s="7" t="s">
        <v>302</v>
      </c>
      <c r="B3354" s="8" t="s">
        <v>32</v>
      </c>
      <c r="C3354" s="10">
        <f t="shared" si="158"/>
        <v>44352</v>
      </c>
      <c r="D3354" t="s">
        <v>108</v>
      </c>
      <c r="E3354" t="s">
        <v>449</v>
      </c>
      <c r="F3354" t="s">
        <v>21</v>
      </c>
      <c r="G3354" t="s">
        <v>450</v>
      </c>
      <c r="H3354" t="s">
        <v>451</v>
      </c>
      <c r="I3354" t="s">
        <v>452</v>
      </c>
      <c r="J3354" t="s">
        <v>453</v>
      </c>
      <c r="K3354" t="s">
        <v>141</v>
      </c>
      <c r="L3354" s="12" t="s">
        <v>198</v>
      </c>
      <c r="M3354" s="12" t="s">
        <v>80</v>
      </c>
      <c r="N3354" s="12" t="s">
        <v>81</v>
      </c>
      <c r="O3354" s="12" t="s">
        <v>201</v>
      </c>
      <c r="P3354" s="12" t="s">
        <v>215</v>
      </c>
      <c r="Q3354" s="7" t="str">
        <f t="shared" si="157"/>
        <v>(2021,22,'2021.06.05',9,32,47,72,81,0),</v>
      </c>
      <c r="R3354" s="7" t="str">
        <f t="shared" si="159"/>
        <v>(2021,22,'2021.06.05',9,32,47,72,81),</v>
      </c>
    </row>
    <row r="3355" spans="1:18" x14ac:dyDescent="0.25">
      <c r="A3355" s="7" t="s">
        <v>302</v>
      </c>
      <c r="B3355" s="8" t="s">
        <v>163</v>
      </c>
      <c r="C3355" s="10">
        <f t="shared" si="158"/>
        <v>44359</v>
      </c>
      <c r="D3355" t="s">
        <v>11</v>
      </c>
      <c r="E3355" t="s">
        <v>12</v>
      </c>
      <c r="F3355" t="s">
        <v>33</v>
      </c>
      <c r="G3355" t="s">
        <v>444</v>
      </c>
      <c r="H3355" t="s">
        <v>445</v>
      </c>
      <c r="I3355" t="s">
        <v>446</v>
      </c>
      <c r="J3355" t="s">
        <v>447</v>
      </c>
      <c r="K3355" t="s">
        <v>448</v>
      </c>
      <c r="L3355" s="12" t="s">
        <v>89</v>
      </c>
      <c r="M3355" s="12" t="s">
        <v>65</v>
      </c>
      <c r="N3355" s="12" t="s">
        <v>43</v>
      </c>
      <c r="O3355" s="12" t="s">
        <v>215</v>
      </c>
      <c r="P3355" s="12" t="s">
        <v>269</v>
      </c>
      <c r="Q3355" s="7" t="str">
        <f t="shared" si="157"/>
        <v>(2021,23,'2021.06.12',5,13,16,81,87,0),</v>
      </c>
      <c r="R3355" s="7" t="str">
        <f t="shared" si="159"/>
        <v>(2021,23,'2021.06.12',5,13,16,81,87),</v>
      </c>
    </row>
    <row r="3356" spans="1:18" x14ac:dyDescent="0.25">
      <c r="A3356" s="7" t="s">
        <v>302</v>
      </c>
      <c r="B3356" s="8" t="s">
        <v>33</v>
      </c>
      <c r="C3356" s="10">
        <f t="shared" si="158"/>
        <v>44366</v>
      </c>
      <c r="D3356" t="s">
        <v>11</v>
      </c>
      <c r="E3356" t="s">
        <v>12</v>
      </c>
      <c r="F3356" t="s">
        <v>83</v>
      </c>
      <c r="G3356" t="s">
        <v>439</v>
      </c>
      <c r="H3356" t="s">
        <v>440</v>
      </c>
      <c r="I3356" t="s">
        <v>441</v>
      </c>
      <c r="J3356" t="s">
        <v>442</v>
      </c>
      <c r="K3356" t="s">
        <v>443</v>
      </c>
      <c r="L3356" s="12" t="s">
        <v>34</v>
      </c>
      <c r="M3356" s="12" t="s">
        <v>200</v>
      </c>
      <c r="N3356" s="12" t="s">
        <v>106</v>
      </c>
      <c r="O3356" s="12" t="s">
        <v>63</v>
      </c>
      <c r="P3356" s="12" t="s">
        <v>151</v>
      </c>
      <c r="Q3356" s="7" t="str">
        <f t="shared" si="157"/>
        <v>(2021,24,'2021.06.19',49,70,75,78,79,0),</v>
      </c>
      <c r="R3356" s="7" t="str">
        <f t="shared" si="159"/>
        <v>(2021,24,'2021.06.19',49,70,75,78,79),</v>
      </c>
    </row>
    <row r="3357" spans="1:18" x14ac:dyDescent="0.25">
      <c r="A3357" s="7" t="s">
        <v>302</v>
      </c>
      <c r="B3357" s="8" t="s">
        <v>152</v>
      </c>
      <c r="C3357" s="10">
        <f t="shared" si="158"/>
        <v>44373</v>
      </c>
      <c r="D3357" t="s">
        <v>11</v>
      </c>
      <c r="E3357" t="s">
        <v>12</v>
      </c>
      <c r="F3357" t="s">
        <v>134</v>
      </c>
      <c r="G3357" t="s">
        <v>434</v>
      </c>
      <c r="H3357" t="s">
        <v>435</v>
      </c>
      <c r="I3357" t="s">
        <v>436</v>
      </c>
      <c r="J3357" t="s">
        <v>437</v>
      </c>
      <c r="K3357" t="s">
        <v>438</v>
      </c>
      <c r="L3357" s="12" t="s">
        <v>89</v>
      </c>
      <c r="M3357" s="12" t="s">
        <v>135</v>
      </c>
      <c r="N3357" s="12" t="s">
        <v>13</v>
      </c>
      <c r="O3357" s="12" t="s">
        <v>34</v>
      </c>
      <c r="P3357" s="12" t="s">
        <v>248</v>
      </c>
      <c r="Q3357" s="7" t="str">
        <f t="shared" si="157"/>
        <v>(2021,25,'2021.06.26',5,27,41,49,63,0),</v>
      </c>
      <c r="R3357" s="7" t="str">
        <f t="shared" si="159"/>
        <v>(2021,25,'2021.06.26',5,27,41,49,63),</v>
      </c>
    </row>
    <row r="3358" spans="1:18" x14ac:dyDescent="0.25">
      <c r="A3358" s="7" t="s">
        <v>302</v>
      </c>
      <c r="B3358" s="8" t="s">
        <v>74</v>
      </c>
      <c r="C3358" s="10">
        <f t="shared" si="158"/>
        <v>44380</v>
      </c>
      <c r="D3358" t="s">
        <v>11</v>
      </c>
      <c r="E3358" t="s">
        <v>12</v>
      </c>
      <c r="F3358" t="s">
        <v>44</v>
      </c>
      <c r="G3358" t="s">
        <v>429</v>
      </c>
      <c r="H3358" t="s">
        <v>430</v>
      </c>
      <c r="I3358" t="s">
        <v>431</v>
      </c>
      <c r="J3358" t="s">
        <v>432</v>
      </c>
      <c r="K3358" t="s">
        <v>433</v>
      </c>
      <c r="L3358" s="12" t="s">
        <v>108</v>
      </c>
      <c r="M3358" s="12" t="s">
        <v>43</v>
      </c>
      <c r="N3358" s="12" t="s">
        <v>116</v>
      </c>
      <c r="O3358" s="12" t="s">
        <v>107</v>
      </c>
      <c r="P3358" s="12" t="s">
        <v>169</v>
      </c>
      <c r="Q3358" s="7" t="str">
        <f t="shared" si="157"/>
        <v>(2021,26,'2021.07.03',1,16,29,30,58,0),</v>
      </c>
      <c r="R3358" s="7" t="str">
        <f t="shared" si="159"/>
        <v>(2021,26,'2021.07.03',1,16,29,30,58),</v>
      </c>
    </row>
    <row r="3359" spans="1:18" x14ac:dyDescent="0.25">
      <c r="A3359" s="7" t="s">
        <v>302</v>
      </c>
      <c r="B3359" s="8" t="s">
        <v>135</v>
      </c>
      <c r="C3359" s="10">
        <f t="shared" si="158"/>
        <v>44387</v>
      </c>
      <c r="D3359" t="s">
        <v>11</v>
      </c>
      <c r="E3359" t="s">
        <v>12</v>
      </c>
      <c r="F3359" t="s">
        <v>115</v>
      </c>
      <c r="G3359" t="s">
        <v>424</v>
      </c>
      <c r="H3359" t="s">
        <v>425</v>
      </c>
      <c r="I3359" t="s">
        <v>426</v>
      </c>
      <c r="J3359" t="s">
        <v>427</v>
      </c>
      <c r="K3359" t="s">
        <v>428</v>
      </c>
      <c r="L3359" s="12" t="s">
        <v>108</v>
      </c>
      <c r="M3359" s="12" t="s">
        <v>83</v>
      </c>
      <c r="N3359" s="12" t="s">
        <v>46</v>
      </c>
      <c r="O3359" s="12" t="s">
        <v>34</v>
      </c>
      <c r="P3359" s="12" t="s">
        <v>106</v>
      </c>
      <c r="Q3359" s="7" t="str">
        <f t="shared" si="157"/>
        <v>(2021,27,'2021.07.10',1,11,37,49,75,0),</v>
      </c>
      <c r="R3359" s="7" t="str">
        <f t="shared" si="159"/>
        <v>(2021,27,'2021.07.10',1,11,37,49,75),</v>
      </c>
    </row>
    <row r="3360" spans="1:18" x14ac:dyDescent="0.25">
      <c r="A3360" s="7" t="s">
        <v>302</v>
      </c>
      <c r="B3360" s="8" t="s">
        <v>126</v>
      </c>
      <c r="C3360" s="10">
        <f t="shared" si="158"/>
        <v>44394</v>
      </c>
      <c r="D3360" t="s">
        <v>11</v>
      </c>
      <c r="E3360" t="s">
        <v>12</v>
      </c>
      <c r="F3360" t="s">
        <v>90</v>
      </c>
      <c r="G3360" t="s">
        <v>419</v>
      </c>
      <c r="H3360" t="s">
        <v>420</v>
      </c>
      <c r="I3360" t="s">
        <v>421</v>
      </c>
      <c r="J3360" t="s">
        <v>422</v>
      </c>
      <c r="K3360" t="s">
        <v>423</v>
      </c>
      <c r="L3360" s="12" t="s">
        <v>135</v>
      </c>
      <c r="M3360" s="12" t="s">
        <v>25</v>
      </c>
      <c r="N3360" s="12" t="s">
        <v>36</v>
      </c>
      <c r="O3360" s="12" t="s">
        <v>122</v>
      </c>
      <c r="P3360" s="12" t="s">
        <v>124</v>
      </c>
      <c r="Q3360" s="7" t="str">
        <f t="shared" si="157"/>
        <v>(2021,28,'2021.07.17',27,34,38,51,62,0),</v>
      </c>
      <c r="R3360" s="7" t="str">
        <f t="shared" si="159"/>
        <v>(2021,28,'2021.07.17',27,34,38,51,62),</v>
      </c>
    </row>
    <row r="3361" spans="1:18" x14ac:dyDescent="0.25">
      <c r="A3361" s="7" t="s">
        <v>302</v>
      </c>
      <c r="B3361" s="8" t="s">
        <v>116</v>
      </c>
      <c r="C3361" s="10">
        <f t="shared" si="158"/>
        <v>44401</v>
      </c>
      <c r="D3361" t="s">
        <v>11</v>
      </c>
      <c r="E3361" t="s">
        <v>12</v>
      </c>
      <c r="F3361" t="s">
        <v>55</v>
      </c>
      <c r="G3361" t="s">
        <v>415</v>
      </c>
      <c r="H3361" t="s">
        <v>416</v>
      </c>
      <c r="I3361" t="s">
        <v>417</v>
      </c>
      <c r="J3361" t="s">
        <v>418</v>
      </c>
      <c r="K3361" t="s">
        <v>97</v>
      </c>
      <c r="L3361" s="12" t="s">
        <v>116</v>
      </c>
      <c r="M3361" s="12" t="s">
        <v>248</v>
      </c>
      <c r="N3361" s="12" t="s">
        <v>56</v>
      </c>
      <c r="O3361" s="12" t="s">
        <v>106</v>
      </c>
      <c r="P3361" s="12" t="s">
        <v>143</v>
      </c>
      <c r="Q3361" s="7" t="str">
        <f t="shared" si="157"/>
        <v>(2021,29,'2021.07.24',29,63,71,75,77,0),</v>
      </c>
      <c r="R3361" s="7" t="str">
        <f t="shared" si="159"/>
        <v>(2021,29,'2021.07.24',29,63,71,75,77),</v>
      </c>
    </row>
    <row r="3362" spans="1:18" x14ac:dyDescent="0.25">
      <c r="A3362" s="7" t="s">
        <v>302</v>
      </c>
      <c r="B3362" s="8" t="s">
        <v>107</v>
      </c>
      <c r="C3362" s="10">
        <f t="shared" si="158"/>
        <v>44408</v>
      </c>
      <c r="D3362" t="s">
        <v>11</v>
      </c>
      <c r="E3362" t="s">
        <v>12</v>
      </c>
      <c r="F3362" t="s">
        <v>46</v>
      </c>
      <c r="G3362" t="s">
        <v>410</v>
      </c>
      <c r="H3362" t="s">
        <v>411</v>
      </c>
      <c r="I3362" t="s">
        <v>412</v>
      </c>
      <c r="J3362" t="s">
        <v>413</v>
      </c>
      <c r="K3362" t="s">
        <v>414</v>
      </c>
      <c r="L3362" s="12" t="s">
        <v>43</v>
      </c>
      <c r="M3362" s="12" t="s">
        <v>46</v>
      </c>
      <c r="N3362" s="12" t="s">
        <v>36</v>
      </c>
      <c r="O3362" s="12" t="s">
        <v>13</v>
      </c>
      <c r="P3362" s="12" t="s">
        <v>47</v>
      </c>
      <c r="Q3362" s="7" t="str">
        <f t="shared" si="157"/>
        <v>(2021,30,'2021.07.31',16,37,38,41,69,0),</v>
      </c>
      <c r="R3362" s="7" t="str">
        <f t="shared" si="159"/>
        <v>(2021,30,'2021.07.31',16,37,38,41,69),</v>
      </c>
    </row>
    <row r="3363" spans="1:18" x14ac:dyDescent="0.25">
      <c r="A3363" s="7" t="s">
        <v>302</v>
      </c>
      <c r="B3363" s="8" t="s">
        <v>71</v>
      </c>
      <c r="C3363" s="10">
        <f t="shared" si="158"/>
        <v>44415</v>
      </c>
      <c r="D3363" t="s">
        <v>108</v>
      </c>
      <c r="E3363" t="s">
        <v>404</v>
      </c>
      <c r="F3363" t="s">
        <v>122</v>
      </c>
      <c r="G3363" t="s">
        <v>405</v>
      </c>
      <c r="H3363" t="s">
        <v>406</v>
      </c>
      <c r="I3363" t="s">
        <v>407</v>
      </c>
      <c r="J3363" t="s">
        <v>408</v>
      </c>
      <c r="K3363" t="s">
        <v>409</v>
      </c>
      <c r="L3363" s="12" t="s">
        <v>62</v>
      </c>
      <c r="M3363" s="12" t="s">
        <v>46</v>
      </c>
      <c r="N3363" s="12" t="s">
        <v>98</v>
      </c>
      <c r="O3363" s="12" t="s">
        <v>134</v>
      </c>
      <c r="P3363" s="12" t="s">
        <v>245</v>
      </c>
      <c r="Q3363" s="7" t="str">
        <f t="shared" si="157"/>
        <v>(2021,31,'2021.08.07',10,37,42,56,74,0),</v>
      </c>
      <c r="R3363" s="7" t="str">
        <f t="shared" si="159"/>
        <v>(2021,31,'2021.08.07',10,37,42,56,74),</v>
      </c>
    </row>
    <row r="3364" spans="1:18" x14ac:dyDescent="0.25">
      <c r="A3364" s="7" t="s">
        <v>302</v>
      </c>
      <c r="B3364" s="8" t="s">
        <v>80</v>
      </c>
      <c r="C3364" s="10">
        <f t="shared" si="158"/>
        <v>44422</v>
      </c>
      <c r="D3364" t="s">
        <v>11</v>
      </c>
      <c r="E3364" t="s">
        <v>12</v>
      </c>
      <c r="F3364" t="s">
        <v>107</v>
      </c>
      <c r="G3364" t="s">
        <v>399</v>
      </c>
      <c r="H3364" t="s">
        <v>400</v>
      </c>
      <c r="I3364" t="s">
        <v>401</v>
      </c>
      <c r="J3364" t="s">
        <v>402</v>
      </c>
      <c r="K3364" t="s">
        <v>403</v>
      </c>
      <c r="L3364" s="12" t="s">
        <v>53</v>
      </c>
      <c r="M3364" s="12" t="s">
        <v>122</v>
      </c>
      <c r="N3364" s="12" t="s">
        <v>175</v>
      </c>
      <c r="O3364" s="12" t="s">
        <v>82</v>
      </c>
      <c r="P3364" s="12" t="s">
        <v>308</v>
      </c>
      <c r="Q3364" s="7" t="str">
        <f t="shared" si="157"/>
        <v>(2021,32,'2021.08.14',7,51,55,59,86,0),</v>
      </c>
      <c r="R3364" s="7" t="str">
        <f t="shared" si="159"/>
        <v>(2021,32,'2021.08.14',7,51,55,59,86),</v>
      </c>
    </row>
    <row r="3365" spans="1:18" x14ac:dyDescent="0.25">
      <c r="A3365" s="7" t="s">
        <v>302</v>
      </c>
      <c r="B3365" s="8" t="s">
        <v>20</v>
      </c>
      <c r="C3365" s="10">
        <f t="shared" si="158"/>
        <v>44429</v>
      </c>
      <c r="D3365" t="s">
        <v>11</v>
      </c>
      <c r="E3365" t="s">
        <v>12</v>
      </c>
      <c r="F3365" t="s">
        <v>152</v>
      </c>
      <c r="G3365" t="s">
        <v>394</v>
      </c>
      <c r="H3365" t="s">
        <v>395</v>
      </c>
      <c r="I3365" t="s">
        <v>396</v>
      </c>
      <c r="J3365" t="s">
        <v>397</v>
      </c>
      <c r="K3365" t="s">
        <v>398</v>
      </c>
      <c r="L3365" s="12" t="s">
        <v>126</v>
      </c>
      <c r="M3365" s="12" t="s">
        <v>45</v>
      </c>
      <c r="N3365" s="12" t="s">
        <v>133</v>
      </c>
      <c r="O3365" s="12" t="s">
        <v>81</v>
      </c>
      <c r="P3365" s="12" t="s">
        <v>124</v>
      </c>
      <c r="Q3365" s="7" t="str">
        <f t="shared" si="157"/>
        <v>(2021,33,'2021.08.21',28,43,45,47,62,0),</v>
      </c>
      <c r="R3365" s="7" t="str">
        <f t="shared" si="159"/>
        <v>(2021,33,'2021.08.21',28,43,45,47,62),</v>
      </c>
    </row>
    <row r="3366" spans="1:18" x14ac:dyDescent="0.25">
      <c r="A3366" s="7" t="s">
        <v>302</v>
      </c>
      <c r="B3366" s="8" t="s">
        <v>25</v>
      </c>
      <c r="C3366" s="10">
        <f t="shared" si="158"/>
        <v>44436</v>
      </c>
      <c r="D3366" t="s">
        <v>11</v>
      </c>
      <c r="E3366" t="s">
        <v>12</v>
      </c>
      <c r="F3366" t="s">
        <v>116</v>
      </c>
      <c r="G3366" t="s">
        <v>389</v>
      </c>
      <c r="H3366" t="s">
        <v>390</v>
      </c>
      <c r="I3366" t="s">
        <v>391</v>
      </c>
      <c r="J3366" t="s">
        <v>392</v>
      </c>
      <c r="K3366" t="s">
        <v>393</v>
      </c>
      <c r="L3366" s="12" t="s">
        <v>42</v>
      </c>
      <c r="M3366" s="12" t="s">
        <v>65</v>
      </c>
      <c r="N3366" s="12" t="s">
        <v>107</v>
      </c>
      <c r="O3366" s="12" t="s">
        <v>80</v>
      </c>
      <c r="P3366" s="12" t="s">
        <v>36</v>
      </c>
      <c r="Q3366" s="7" t="str">
        <f t="shared" si="157"/>
        <v>(2021,34,'2021.08.28',3,13,30,32,38,0),</v>
      </c>
      <c r="R3366" s="7" t="str">
        <f t="shared" si="159"/>
        <v>(2021,34,'2021.08.28',3,13,30,32,38),</v>
      </c>
    </row>
    <row r="3367" spans="1:18" x14ac:dyDescent="0.25">
      <c r="A3367" s="7" t="s">
        <v>302</v>
      </c>
      <c r="B3367" s="8" t="s">
        <v>64</v>
      </c>
      <c r="C3367" s="10">
        <f t="shared" si="158"/>
        <v>44443</v>
      </c>
      <c r="D3367" t="s">
        <v>11</v>
      </c>
      <c r="E3367" t="s">
        <v>12</v>
      </c>
      <c r="F3367" t="s">
        <v>105</v>
      </c>
      <c r="G3367" t="s">
        <v>385</v>
      </c>
      <c r="H3367" t="s">
        <v>386</v>
      </c>
      <c r="I3367" t="s">
        <v>387</v>
      </c>
      <c r="J3367" t="s">
        <v>388</v>
      </c>
      <c r="K3367" t="s">
        <v>295</v>
      </c>
      <c r="L3367" s="12" t="s">
        <v>43</v>
      </c>
      <c r="M3367" s="12" t="s">
        <v>80</v>
      </c>
      <c r="N3367" s="12" t="s">
        <v>34</v>
      </c>
      <c r="O3367" s="12" t="s">
        <v>239</v>
      </c>
      <c r="P3367" s="12" t="s">
        <v>143</v>
      </c>
      <c r="Q3367" s="7" t="str">
        <f t="shared" si="157"/>
        <v>(2021,35,'2021.09.04',16,32,49,73,77,0),</v>
      </c>
      <c r="R3367" s="7" t="str">
        <f t="shared" si="159"/>
        <v>(2021,35,'2021.09.04',16,32,49,73,77),</v>
      </c>
    </row>
    <row r="3368" spans="1:18" x14ac:dyDescent="0.25">
      <c r="A3368" s="7" t="s">
        <v>302</v>
      </c>
      <c r="B3368" s="8" t="s">
        <v>21</v>
      </c>
      <c r="C3368" s="10">
        <f t="shared" si="158"/>
        <v>44450</v>
      </c>
      <c r="D3368" t="s">
        <v>11</v>
      </c>
      <c r="E3368" t="s">
        <v>12</v>
      </c>
      <c r="F3368" t="s">
        <v>126</v>
      </c>
      <c r="G3368" t="s">
        <v>380</v>
      </c>
      <c r="H3368" t="s">
        <v>381</v>
      </c>
      <c r="I3368" t="s">
        <v>382</v>
      </c>
      <c r="J3368" t="s">
        <v>383</v>
      </c>
      <c r="K3368" t="s">
        <v>384</v>
      </c>
      <c r="L3368" s="12" t="s">
        <v>54</v>
      </c>
      <c r="M3368" s="12" t="s">
        <v>21</v>
      </c>
      <c r="N3368" s="12" t="s">
        <v>105</v>
      </c>
      <c r="O3368" s="12" t="s">
        <v>175</v>
      </c>
      <c r="P3368" s="12" t="s">
        <v>35</v>
      </c>
      <c r="Q3368" s="7" t="str">
        <f t="shared" si="157"/>
        <v>(2021,36,'2021.09.11',15,36,50,55,65,0),</v>
      </c>
      <c r="R3368" s="7" t="str">
        <f t="shared" si="159"/>
        <v>(2021,36,'2021.09.11',15,36,50,55,65),</v>
      </c>
    </row>
    <row r="3369" spans="1:18" x14ac:dyDescent="0.25">
      <c r="A3369" s="7" t="s">
        <v>302</v>
      </c>
      <c r="B3369" s="8" t="s">
        <v>46</v>
      </c>
      <c r="C3369" s="10">
        <f t="shared" si="158"/>
        <v>44457</v>
      </c>
      <c r="D3369" t="s">
        <v>11</v>
      </c>
      <c r="E3369" t="s">
        <v>12</v>
      </c>
      <c r="F3369" t="s">
        <v>55</v>
      </c>
      <c r="G3369" t="s">
        <v>374</v>
      </c>
      <c r="H3369" t="s">
        <v>375</v>
      </c>
      <c r="I3369" t="s">
        <v>376</v>
      </c>
      <c r="J3369" t="s">
        <v>377</v>
      </c>
      <c r="K3369" t="s">
        <v>378</v>
      </c>
      <c r="L3369" s="12" t="s">
        <v>122</v>
      </c>
      <c r="M3369" s="12" t="s">
        <v>123</v>
      </c>
      <c r="N3369" s="12" t="s">
        <v>150</v>
      </c>
      <c r="O3369" s="12" t="s">
        <v>245</v>
      </c>
      <c r="P3369" s="12" t="s">
        <v>379</v>
      </c>
      <c r="Q3369" s="7" t="str">
        <f t="shared" si="157"/>
        <v>(2021,37,'2021.09.18',51,54,57,74,89,0),</v>
      </c>
      <c r="R3369" s="7" t="str">
        <f t="shared" si="159"/>
        <v>(2021,37,'2021.09.18',51,54,57,74,89),</v>
      </c>
    </row>
    <row r="3370" spans="1:18" x14ac:dyDescent="0.25">
      <c r="A3370" s="7" t="s">
        <v>302</v>
      </c>
      <c r="B3370" s="8" t="s">
        <v>36</v>
      </c>
      <c r="C3370" s="10">
        <f t="shared" si="158"/>
        <v>44464</v>
      </c>
      <c r="D3370" t="s">
        <v>11</v>
      </c>
      <c r="E3370" t="s">
        <v>12</v>
      </c>
      <c r="F3370" t="s">
        <v>44</v>
      </c>
      <c r="G3370" t="s">
        <v>370</v>
      </c>
      <c r="H3370" t="s">
        <v>371</v>
      </c>
      <c r="I3370" t="s">
        <v>372</v>
      </c>
      <c r="J3370" t="s">
        <v>373</v>
      </c>
      <c r="K3370" t="s">
        <v>360</v>
      </c>
      <c r="L3370" s="12" t="s">
        <v>198</v>
      </c>
      <c r="M3370" s="12" t="s">
        <v>115</v>
      </c>
      <c r="N3370" s="12" t="s">
        <v>214</v>
      </c>
      <c r="O3370" s="12" t="s">
        <v>200</v>
      </c>
      <c r="P3370" s="12" t="s">
        <v>73</v>
      </c>
      <c r="Q3370" s="7" t="str">
        <f t="shared" si="157"/>
        <v>(2021,38,'2021.09.25',9,20,64,70,76,0),</v>
      </c>
      <c r="R3370" s="7" t="str">
        <f t="shared" si="159"/>
        <v>(2021,38,'2021.09.25',9,20,64,70,76),</v>
      </c>
    </row>
    <row r="3371" spans="1:18" x14ac:dyDescent="0.25">
      <c r="A3371" s="7" t="s">
        <v>302</v>
      </c>
      <c r="B3371" s="8" t="s">
        <v>24</v>
      </c>
      <c r="C3371" s="10">
        <f t="shared" si="158"/>
        <v>44471</v>
      </c>
      <c r="D3371" t="s">
        <v>11</v>
      </c>
      <c r="E3371" t="s">
        <v>12</v>
      </c>
      <c r="F3371" t="s">
        <v>32</v>
      </c>
      <c r="G3371" t="s">
        <v>365</v>
      </c>
      <c r="H3371" t="s">
        <v>366</v>
      </c>
      <c r="I3371" t="s">
        <v>367</v>
      </c>
      <c r="J3371" t="s">
        <v>368</v>
      </c>
      <c r="K3371" t="s">
        <v>369</v>
      </c>
      <c r="L3371" s="12" t="s">
        <v>90</v>
      </c>
      <c r="M3371" s="12" t="s">
        <v>152</v>
      </c>
      <c r="N3371" s="12" t="s">
        <v>107</v>
      </c>
      <c r="O3371" s="12" t="s">
        <v>71</v>
      </c>
      <c r="P3371" s="12" t="s">
        <v>22</v>
      </c>
      <c r="Q3371" s="7" t="str">
        <f t="shared" si="157"/>
        <v>(2021,39,'2021.10.02',17,25,30,31,48,0),</v>
      </c>
      <c r="R3371" s="7" t="str">
        <f t="shared" si="159"/>
        <v>(2021,39,'2021.10.02',17,25,30,31,48),</v>
      </c>
    </row>
    <row r="3372" spans="1:18" x14ac:dyDescent="0.25">
      <c r="A3372" s="7" t="s">
        <v>302</v>
      </c>
      <c r="B3372" s="8" t="s">
        <v>10</v>
      </c>
      <c r="C3372" s="10">
        <f t="shared" si="158"/>
        <v>44478</v>
      </c>
      <c r="D3372" t="s">
        <v>11</v>
      </c>
      <c r="E3372" t="s">
        <v>12</v>
      </c>
      <c r="F3372" t="s">
        <v>32</v>
      </c>
      <c r="G3372" t="s">
        <v>361</v>
      </c>
      <c r="H3372" t="s">
        <v>362</v>
      </c>
      <c r="I3372" t="s">
        <v>363</v>
      </c>
      <c r="J3372" t="s">
        <v>364</v>
      </c>
      <c r="K3372" t="s">
        <v>18</v>
      </c>
      <c r="L3372" s="12" t="s">
        <v>270</v>
      </c>
      <c r="M3372" s="12" t="s">
        <v>54</v>
      </c>
      <c r="N3372" s="12" t="s">
        <v>107</v>
      </c>
      <c r="O3372" s="12" t="s">
        <v>35</v>
      </c>
      <c r="P3372" s="12" t="s">
        <v>201</v>
      </c>
      <c r="Q3372" s="7" t="str">
        <f t="shared" si="157"/>
        <v>(2021,40,'2021.10.09',6,15,30,65,72,0),</v>
      </c>
      <c r="R3372" s="7" t="str">
        <f t="shared" si="159"/>
        <v>(2021,40,'2021.10.09',6,15,30,65,72),</v>
      </c>
    </row>
    <row r="3373" spans="1:18" x14ac:dyDescent="0.25">
      <c r="A3373" s="7" t="s">
        <v>302</v>
      </c>
      <c r="B3373" s="8" t="s">
        <v>13</v>
      </c>
      <c r="C3373" s="10">
        <f t="shared" si="158"/>
        <v>44485</v>
      </c>
      <c r="D3373" t="s">
        <v>11</v>
      </c>
      <c r="E3373" t="s">
        <v>12</v>
      </c>
      <c r="F3373" t="s">
        <v>10</v>
      </c>
      <c r="G3373" t="s">
        <v>356</v>
      </c>
      <c r="H3373" t="s">
        <v>357</v>
      </c>
      <c r="I3373" t="s">
        <v>358</v>
      </c>
      <c r="J3373" t="s">
        <v>359</v>
      </c>
      <c r="K3373" t="s">
        <v>360</v>
      </c>
      <c r="L3373" s="12" t="s">
        <v>32</v>
      </c>
      <c r="M3373" s="12" t="s">
        <v>34</v>
      </c>
      <c r="N3373" s="12" t="s">
        <v>214</v>
      </c>
      <c r="O3373" s="12" t="s">
        <v>239</v>
      </c>
      <c r="P3373" s="12" t="s">
        <v>308</v>
      </c>
      <c r="Q3373" s="7" t="str">
        <f t="shared" si="157"/>
        <v>(2021,41,'2021.10.16',22,49,64,73,86,0),</v>
      </c>
      <c r="R3373" s="7" t="str">
        <f t="shared" si="159"/>
        <v>(2021,41,'2021.10.16',22,49,64,73,86),</v>
      </c>
    </row>
    <row r="3374" spans="1:18" x14ac:dyDescent="0.25">
      <c r="A3374" s="7" t="s">
        <v>302</v>
      </c>
      <c r="B3374" s="8" t="s">
        <v>98</v>
      </c>
      <c r="C3374" s="10">
        <f t="shared" si="158"/>
        <v>44492</v>
      </c>
      <c r="D3374" t="s">
        <v>11</v>
      </c>
      <c r="E3374" t="s">
        <v>12</v>
      </c>
      <c r="F3374" t="s">
        <v>33</v>
      </c>
      <c r="G3374" t="s">
        <v>351</v>
      </c>
      <c r="H3374" t="s">
        <v>352</v>
      </c>
      <c r="I3374" t="s">
        <v>353</v>
      </c>
      <c r="J3374" t="s">
        <v>354</v>
      </c>
      <c r="K3374" t="s">
        <v>355</v>
      </c>
      <c r="L3374" s="12" t="s">
        <v>89</v>
      </c>
      <c r="M3374" s="12" t="s">
        <v>127</v>
      </c>
      <c r="N3374" s="12" t="s">
        <v>33</v>
      </c>
      <c r="O3374" s="12" t="s">
        <v>25</v>
      </c>
      <c r="P3374" s="12" t="s">
        <v>151</v>
      </c>
      <c r="Q3374" s="7" t="str">
        <f t="shared" si="157"/>
        <v>(2021,42,'2021.10.23',5,14,24,34,79,0),</v>
      </c>
      <c r="R3374" s="7" t="str">
        <f t="shared" si="159"/>
        <v>(2021,42,'2021.10.23',5,14,24,34,79),</v>
      </c>
    </row>
    <row r="3375" spans="1:18" x14ac:dyDescent="0.25">
      <c r="A3375" s="11" t="str">
        <f t="shared" ref="A3375:A3381" si="160">IF(YEAR(C3374)=YEAR(C3375),A3374,A3374+1)</f>
        <v>2021</v>
      </c>
      <c r="B3375" s="8">
        <f t="shared" ref="B3375:B3381" si="161">IF(YEAR(C3374)=YEAR(C3375),B3374+1,1)</f>
        <v>43</v>
      </c>
      <c r="C3375" s="10">
        <f t="shared" si="158"/>
        <v>44499</v>
      </c>
      <c r="D3375" t="s">
        <v>11</v>
      </c>
      <c r="E3375" t="s">
        <v>12</v>
      </c>
      <c r="F3375" t="s">
        <v>116</v>
      </c>
      <c r="G3375" t="s">
        <v>347</v>
      </c>
      <c r="H3375" t="s">
        <v>348</v>
      </c>
      <c r="I3375" t="s">
        <v>349</v>
      </c>
      <c r="J3375" t="s">
        <v>350</v>
      </c>
      <c r="K3375" t="s">
        <v>300</v>
      </c>
      <c r="L3375" s="12" t="s">
        <v>270</v>
      </c>
      <c r="M3375" s="12" t="s">
        <v>31</v>
      </c>
      <c r="N3375" s="12" t="s">
        <v>123</v>
      </c>
      <c r="O3375" s="12" t="s">
        <v>214</v>
      </c>
      <c r="P3375" s="12" t="s">
        <v>245</v>
      </c>
      <c r="Q3375" s="7" t="str">
        <f t="shared" si="157"/>
        <v>(2021,43,'2021.10.30',6,12,54,64,74,0),</v>
      </c>
      <c r="R3375" s="7" t="str">
        <f t="shared" si="159"/>
        <v>(2021,43,'2021.10.30',6,12,54,64,74),</v>
      </c>
    </row>
    <row r="3376" spans="1:18" x14ac:dyDescent="0.25">
      <c r="A3376" s="11" t="str">
        <f t="shared" si="160"/>
        <v>2021</v>
      </c>
      <c r="B3376" s="8">
        <f t="shared" si="161"/>
        <v>44</v>
      </c>
      <c r="C3376" s="10">
        <f t="shared" si="158"/>
        <v>44506</v>
      </c>
      <c r="D3376" t="s">
        <v>11</v>
      </c>
      <c r="E3376" t="s">
        <v>12</v>
      </c>
      <c r="F3376" t="s">
        <v>74</v>
      </c>
      <c r="G3376" t="s">
        <v>343</v>
      </c>
      <c r="H3376" t="s">
        <v>344</v>
      </c>
      <c r="I3376" t="s">
        <v>345</v>
      </c>
      <c r="J3376" t="s">
        <v>346</v>
      </c>
      <c r="K3376" t="s">
        <v>174</v>
      </c>
      <c r="L3376" s="12" t="s">
        <v>168</v>
      </c>
      <c r="M3376" s="12" t="s">
        <v>116</v>
      </c>
      <c r="N3376" s="12" t="s">
        <v>35</v>
      </c>
      <c r="O3376" s="12" t="s">
        <v>47</v>
      </c>
      <c r="P3376" s="12" t="s">
        <v>151</v>
      </c>
      <c r="Q3376" s="7" t="str">
        <f t="shared" si="157"/>
        <v>(2021,44,'2021.11.06',4,29,65,69,79,0),</v>
      </c>
      <c r="R3376" s="7" t="str">
        <f t="shared" si="159"/>
        <v>(2021,44,'2021.11.06',4,29,65,69,79),</v>
      </c>
    </row>
    <row r="3377" spans="1:18" x14ac:dyDescent="0.25">
      <c r="A3377" s="11" t="str">
        <f t="shared" si="160"/>
        <v>2021</v>
      </c>
      <c r="B3377" s="8">
        <f t="shared" si="161"/>
        <v>45</v>
      </c>
      <c r="C3377" s="10">
        <f t="shared" si="158"/>
        <v>44513</v>
      </c>
      <c r="D3377" t="s">
        <v>11</v>
      </c>
      <c r="E3377" t="s">
        <v>12</v>
      </c>
      <c r="F3377" t="s">
        <v>135</v>
      </c>
      <c r="G3377" t="s">
        <v>339</v>
      </c>
      <c r="H3377" t="s">
        <v>340</v>
      </c>
      <c r="I3377" t="s">
        <v>341</v>
      </c>
      <c r="J3377" t="s">
        <v>342</v>
      </c>
      <c r="K3377" t="s">
        <v>180</v>
      </c>
      <c r="L3377" s="12" t="s">
        <v>152</v>
      </c>
      <c r="M3377" s="12" t="s">
        <v>99</v>
      </c>
      <c r="N3377" s="12" t="s">
        <v>201</v>
      </c>
      <c r="O3377" s="12" t="s">
        <v>73</v>
      </c>
      <c r="P3377" s="12" t="s">
        <v>186</v>
      </c>
      <c r="Q3377" s="7" t="str">
        <f t="shared" si="157"/>
        <v>(2021,45,'2021.11.13',25,52,72,76,90,0),</v>
      </c>
      <c r="R3377" s="7" t="str">
        <f t="shared" si="159"/>
        <v>(2021,45,'2021.11.13',25,52,72,76,90),</v>
      </c>
    </row>
    <row r="3378" spans="1:18" x14ac:dyDescent="0.25">
      <c r="A3378" s="11" t="str">
        <f t="shared" si="160"/>
        <v>2021</v>
      </c>
      <c r="B3378" s="8">
        <f t="shared" si="161"/>
        <v>46</v>
      </c>
      <c r="C3378" s="10">
        <f t="shared" si="158"/>
        <v>44520</v>
      </c>
      <c r="D3378" t="s">
        <v>11</v>
      </c>
      <c r="E3378" t="s">
        <v>12</v>
      </c>
      <c r="F3378" t="s">
        <v>80</v>
      </c>
      <c r="G3378" t="s">
        <v>334</v>
      </c>
      <c r="H3378" t="s">
        <v>335</v>
      </c>
      <c r="I3378" t="s">
        <v>336</v>
      </c>
      <c r="J3378" t="s">
        <v>337</v>
      </c>
      <c r="K3378" t="s">
        <v>338</v>
      </c>
      <c r="L3378" s="12" t="s">
        <v>65</v>
      </c>
      <c r="M3378" s="12" t="s">
        <v>32</v>
      </c>
      <c r="N3378" s="12" t="s">
        <v>135</v>
      </c>
      <c r="O3378" s="12" t="s">
        <v>80</v>
      </c>
      <c r="P3378" s="12" t="s">
        <v>64</v>
      </c>
      <c r="Q3378" s="7" t="str">
        <f t="shared" si="157"/>
        <v>(2021,46,'2021.11.20',13,22,27,32,35,0),</v>
      </c>
      <c r="R3378" s="7" t="str">
        <f t="shared" si="159"/>
        <v>(2021,46,'2021.11.20',13,22,27,32,35),</v>
      </c>
    </row>
    <row r="3379" spans="1:18" x14ac:dyDescent="0.25">
      <c r="A3379" s="11" t="str">
        <f t="shared" si="160"/>
        <v>2021</v>
      </c>
      <c r="B3379" s="8">
        <f t="shared" si="161"/>
        <v>47</v>
      </c>
      <c r="C3379" s="10">
        <f t="shared" si="158"/>
        <v>44527</v>
      </c>
      <c r="D3379" t="s">
        <v>11</v>
      </c>
      <c r="E3379" t="s">
        <v>12</v>
      </c>
      <c r="F3379" t="s">
        <v>55</v>
      </c>
      <c r="G3379" t="s">
        <v>329</v>
      </c>
      <c r="H3379" t="s">
        <v>330</v>
      </c>
      <c r="I3379" t="s">
        <v>331</v>
      </c>
      <c r="J3379" t="s">
        <v>332</v>
      </c>
      <c r="K3379" t="s">
        <v>333</v>
      </c>
      <c r="L3379" s="12" t="s">
        <v>98</v>
      </c>
      <c r="M3379" s="12" t="s">
        <v>22</v>
      </c>
      <c r="N3379" s="12" t="s">
        <v>199</v>
      </c>
      <c r="O3379" s="12" t="s">
        <v>150</v>
      </c>
      <c r="P3379" s="12" t="s">
        <v>214</v>
      </c>
      <c r="Q3379" s="7" t="str">
        <f t="shared" si="157"/>
        <v>(2021,47,'2021.11.27',42,48,53,57,64,0),</v>
      </c>
      <c r="R3379" s="7" t="str">
        <f t="shared" si="159"/>
        <v>(2021,47,'2021.11.27',42,48,53,57,64),</v>
      </c>
    </row>
    <row r="3380" spans="1:18" x14ac:dyDescent="0.25">
      <c r="A3380" s="11" t="str">
        <f t="shared" si="160"/>
        <v>2021</v>
      </c>
      <c r="B3380" s="8">
        <f t="shared" si="161"/>
        <v>48</v>
      </c>
      <c r="C3380" s="10">
        <f t="shared" si="158"/>
        <v>44534</v>
      </c>
      <c r="D3380" t="s">
        <v>11</v>
      </c>
      <c r="E3380" t="s">
        <v>12</v>
      </c>
      <c r="F3380" t="s">
        <v>24</v>
      </c>
      <c r="G3380" t="s">
        <v>324</v>
      </c>
      <c r="H3380" t="s">
        <v>325</v>
      </c>
      <c r="I3380" t="s">
        <v>326</v>
      </c>
      <c r="J3380" t="s">
        <v>327</v>
      </c>
      <c r="K3380" t="s">
        <v>328</v>
      </c>
      <c r="L3380" s="12" t="s">
        <v>168</v>
      </c>
      <c r="M3380" s="12" t="s">
        <v>90</v>
      </c>
      <c r="N3380" s="12" t="s">
        <v>99</v>
      </c>
      <c r="O3380" s="12" t="s">
        <v>134</v>
      </c>
      <c r="P3380" s="12" t="s">
        <v>56</v>
      </c>
      <c r="Q3380" s="7" t="str">
        <f t="shared" si="157"/>
        <v>(2021,48,'2021.12.04',4,17,52,56,71,0),</v>
      </c>
      <c r="R3380" s="7" t="str">
        <f t="shared" si="159"/>
        <v>(2021,48,'2021.12.04',4,17,52,56,71),</v>
      </c>
    </row>
    <row r="3381" spans="1:18" x14ac:dyDescent="0.25">
      <c r="A3381" s="11" t="str">
        <f t="shared" si="160"/>
        <v>2021</v>
      </c>
      <c r="B3381" s="8">
        <f t="shared" si="161"/>
        <v>49</v>
      </c>
      <c r="C3381" s="10">
        <f t="shared" si="158"/>
        <v>44541</v>
      </c>
      <c r="D3381" t="s">
        <v>11</v>
      </c>
      <c r="E3381" t="s">
        <v>12</v>
      </c>
      <c r="F3381" t="s">
        <v>318</v>
      </c>
      <c r="G3381" t="s">
        <v>319</v>
      </c>
      <c r="H3381" t="s">
        <v>320</v>
      </c>
      <c r="I3381" t="s">
        <v>321</v>
      </c>
      <c r="J3381" t="s">
        <v>322</v>
      </c>
      <c r="K3381" t="s">
        <v>323</v>
      </c>
      <c r="L3381" s="12" t="s">
        <v>89</v>
      </c>
      <c r="M3381" s="12" t="s">
        <v>31</v>
      </c>
      <c r="N3381" s="12" t="s">
        <v>20</v>
      </c>
      <c r="O3381" s="12" t="s">
        <v>134</v>
      </c>
      <c r="P3381" s="12" t="s">
        <v>214</v>
      </c>
      <c r="Q3381" s="7" t="str">
        <f t="shared" si="157"/>
        <v>(2021,49,'2021.12.11',5,12,33,56,64,0),</v>
      </c>
      <c r="R3381" s="7" t="str">
        <f t="shared" si="159"/>
        <v>(2021,49,'2021.12.11',5,12,33,56,64),</v>
      </c>
    </row>
    <row r="3382" spans="1:18" x14ac:dyDescent="0.25">
      <c r="A3382" s="11" t="str">
        <f t="shared" ref="A3382:A3427" si="162">IF(YEAR(C3381)=YEAR(C3382),A3381,A3381+1)</f>
        <v>2021</v>
      </c>
      <c r="B3382" s="8">
        <f t="shared" ref="B3382:B3427" si="163">IF(YEAR(C3381)=YEAR(C3382),B3381+1,1)</f>
        <v>50</v>
      </c>
      <c r="C3382" s="10">
        <f t="shared" si="158"/>
        <v>44548</v>
      </c>
      <c r="D3382" t="s">
        <v>11</v>
      </c>
      <c r="E3382" t="s">
        <v>12</v>
      </c>
      <c r="F3382" t="s">
        <v>46</v>
      </c>
      <c r="G3382" t="s">
        <v>314</v>
      </c>
      <c r="H3382" t="s">
        <v>315</v>
      </c>
      <c r="I3382" t="s">
        <v>316</v>
      </c>
      <c r="J3382" t="s">
        <v>317</v>
      </c>
      <c r="K3382" t="s">
        <v>300</v>
      </c>
      <c r="L3382" s="12" t="s">
        <v>207</v>
      </c>
      <c r="M3382" s="12" t="s">
        <v>65</v>
      </c>
      <c r="N3382" s="12" t="s">
        <v>20</v>
      </c>
      <c r="O3382" s="12" t="s">
        <v>23</v>
      </c>
      <c r="P3382" s="12" t="s">
        <v>124</v>
      </c>
      <c r="Q3382" s="7" t="str">
        <f t="shared" si="157"/>
        <v>(2021,50,'2021.12.18',2,13,33,60,62,0),</v>
      </c>
      <c r="R3382" s="7" t="str">
        <f t="shared" si="159"/>
        <v>(2021,50,'2021.12.18',2,13,33,60,62),</v>
      </c>
    </row>
    <row r="3383" spans="1:18" x14ac:dyDescent="0.25">
      <c r="A3383" s="11" t="str">
        <f t="shared" si="162"/>
        <v>2021</v>
      </c>
      <c r="B3383" s="8">
        <f t="shared" si="163"/>
        <v>51</v>
      </c>
      <c r="C3383" s="10">
        <f t="shared" si="158"/>
        <v>44555</v>
      </c>
      <c r="D3383" t="s">
        <v>11</v>
      </c>
      <c r="E3383" t="s">
        <v>12</v>
      </c>
      <c r="F3383" t="s">
        <v>152</v>
      </c>
      <c r="G3383" t="s">
        <v>309</v>
      </c>
      <c r="H3383" t="s">
        <v>310</v>
      </c>
      <c r="I3383" t="s">
        <v>311</v>
      </c>
      <c r="J3383" t="s">
        <v>312</v>
      </c>
      <c r="K3383" t="s">
        <v>313</v>
      </c>
      <c r="L3383" s="12" t="s">
        <v>89</v>
      </c>
      <c r="M3383" s="12" t="s">
        <v>71</v>
      </c>
      <c r="N3383" s="12" t="s">
        <v>25</v>
      </c>
      <c r="O3383" s="12" t="s">
        <v>98</v>
      </c>
      <c r="P3383" s="12" t="s">
        <v>248</v>
      </c>
      <c r="Q3383" s="7" t="str">
        <f t="shared" si="157"/>
        <v>(2021,51,'2021.12.25',5,31,34,42,63,0),</v>
      </c>
      <c r="R3383" s="7" t="str">
        <f t="shared" si="159"/>
        <v>(2021,51,'2021.12.25',5,31,34,42,63),</v>
      </c>
    </row>
    <row r="3384" spans="1:18" x14ac:dyDescent="0.25">
      <c r="A3384" s="11">
        <f t="shared" si="162"/>
        <v>2022</v>
      </c>
      <c r="B3384" s="8">
        <f t="shared" si="163"/>
        <v>1</v>
      </c>
      <c r="C3384" s="10">
        <f t="shared" si="158"/>
        <v>44562</v>
      </c>
      <c r="D3384" t="s">
        <v>11</v>
      </c>
      <c r="E3384" t="s">
        <v>12</v>
      </c>
      <c r="F3384" t="s">
        <v>133</v>
      </c>
      <c r="G3384" t="s">
        <v>303</v>
      </c>
      <c r="H3384" t="s">
        <v>304</v>
      </c>
      <c r="I3384" t="s">
        <v>305</v>
      </c>
      <c r="J3384" t="s">
        <v>306</v>
      </c>
      <c r="K3384" t="s">
        <v>307</v>
      </c>
      <c r="L3384" s="12" t="s">
        <v>270</v>
      </c>
      <c r="M3384" s="12" t="s">
        <v>152</v>
      </c>
      <c r="N3384" s="12" t="s">
        <v>81</v>
      </c>
      <c r="O3384" s="12" t="s">
        <v>175</v>
      </c>
      <c r="P3384" s="12" t="s">
        <v>308</v>
      </c>
      <c r="Q3384" s="7" t="str">
        <f t="shared" si="157"/>
        <v>(2022,1,'2022.01.01',6,25,47,55,86,0),</v>
      </c>
      <c r="R3384" s="7" t="str">
        <f t="shared" si="159"/>
        <v>(2022,1,'2022.01.01',6,25,47,55,86),</v>
      </c>
    </row>
    <row r="3385" spans="1:18" x14ac:dyDescent="0.25">
      <c r="A3385" s="11">
        <f t="shared" si="162"/>
        <v>2022</v>
      </c>
      <c r="B3385" s="8">
        <f t="shared" si="163"/>
        <v>2</v>
      </c>
      <c r="C3385" s="10">
        <f t="shared" si="158"/>
        <v>44569</v>
      </c>
      <c r="D3385" t="s">
        <v>11</v>
      </c>
      <c r="E3385" t="s">
        <v>12</v>
      </c>
      <c r="F3385" t="s">
        <v>25</v>
      </c>
      <c r="G3385" t="s">
        <v>296</v>
      </c>
      <c r="H3385" t="s">
        <v>297</v>
      </c>
      <c r="I3385" t="s">
        <v>298</v>
      </c>
      <c r="J3385" t="s">
        <v>299</v>
      </c>
      <c r="K3385" t="s">
        <v>300</v>
      </c>
      <c r="L3385" s="12" t="s">
        <v>42</v>
      </c>
      <c r="M3385" s="12" t="s">
        <v>90</v>
      </c>
      <c r="N3385" s="12" t="s">
        <v>21</v>
      </c>
      <c r="O3385" s="12" t="s">
        <v>233</v>
      </c>
      <c r="P3385" s="12" t="s">
        <v>301</v>
      </c>
      <c r="Q3385" s="7" t="str">
        <f t="shared" si="157"/>
        <v>(2022,2,'2022.01.08',3,17,36,66,80,0),</v>
      </c>
      <c r="R3385" s="7" t="str">
        <f t="shared" si="159"/>
        <v>(2022,2,'2022.01.08',3,17,36,66,80),</v>
      </c>
    </row>
    <row r="3386" spans="1:18" x14ac:dyDescent="0.25">
      <c r="A3386" s="11">
        <f t="shared" si="162"/>
        <v>2022</v>
      </c>
      <c r="B3386" s="8">
        <f t="shared" si="163"/>
        <v>3</v>
      </c>
      <c r="C3386" s="10">
        <f t="shared" si="158"/>
        <v>44576</v>
      </c>
      <c r="D3386" t="s">
        <v>108</v>
      </c>
      <c r="E3386" t="s">
        <v>290</v>
      </c>
      <c r="F3386" t="s">
        <v>45</v>
      </c>
      <c r="G3386" t="s">
        <v>291</v>
      </c>
      <c r="H3386" t="s">
        <v>292</v>
      </c>
      <c r="I3386" t="s">
        <v>293</v>
      </c>
      <c r="J3386" t="s">
        <v>294</v>
      </c>
      <c r="K3386" t="s">
        <v>295</v>
      </c>
      <c r="L3386" s="12" t="s">
        <v>44</v>
      </c>
      <c r="M3386" s="12" t="s">
        <v>34</v>
      </c>
      <c r="N3386" s="12" t="s">
        <v>199</v>
      </c>
      <c r="O3386" s="12" t="s">
        <v>82</v>
      </c>
      <c r="P3386" s="12" t="s">
        <v>151</v>
      </c>
      <c r="Q3386" s="7" t="str">
        <f t="shared" si="157"/>
        <v>(2022,3,'2022.01.15',21,49,53,59,79,0),</v>
      </c>
      <c r="R3386" s="7" t="str">
        <f t="shared" si="159"/>
        <v>(2022,3,'2022.01.15',21,49,53,59,79),</v>
      </c>
    </row>
    <row r="3387" spans="1:18" x14ac:dyDescent="0.25">
      <c r="A3387" s="11">
        <f t="shared" si="162"/>
        <v>2022</v>
      </c>
      <c r="B3387" s="8">
        <f t="shared" si="163"/>
        <v>4</v>
      </c>
      <c r="C3387" s="10">
        <f t="shared" si="158"/>
        <v>44583</v>
      </c>
      <c r="D3387" t="s">
        <v>11</v>
      </c>
      <c r="E3387" t="s">
        <v>12</v>
      </c>
      <c r="F3387" t="s">
        <v>33</v>
      </c>
      <c r="G3387" t="s">
        <v>286</v>
      </c>
      <c r="H3387" t="s">
        <v>287</v>
      </c>
      <c r="I3387" t="s">
        <v>288</v>
      </c>
      <c r="J3387" t="s">
        <v>289</v>
      </c>
      <c r="K3387" t="s">
        <v>197</v>
      </c>
      <c r="L3387" s="12" t="s">
        <v>168</v>
      </c>
      <c r="M3387" s="12" t="s">
        <v>270</v>
      </c>
      <c r="N3387" s="12" t="s">
        <v>54</v>
      </c>
      <c r="O3387" s="12" t="s">
        <v>80</v>
      </c>
      <c r="P3387" s="12" t="s">
        <v>125</v>
      </c>
      <c r="Q3387" s="7" t="str">
        <f t="shared" si="157"/>
        <v>(2022,4,'2022.01.22',4,6,15,32,83,0),</v>
      </c>
      <c r="R3387" s="7" t="str">
        <f t="shared" si="159"/>
        <v>(2022,4,'2022.01.22',4,6,15,32,83),</v>
      </c>
    </row>
    <row r="3388" spans="1:18" x14ac:dyDescent="0.25">
      <c r="A3388" s="11">
        <f t="shared" si="162"/>
        <v>2022</v>
      </c>
      <c r="B3388" s="8">
        <f t="shared" si="163"/>
        <v>5</v>
      </c>
      <c r="C3388" s="10">
        <f t="shared" si="158"/>
        <v>44590</v>
      </c>
      <c r="D3388" t="s">
        <v>11</v>
      </c>
      <c r="E3388" t="s">
        <v>12</v>
      </c>
      <c r="F3388" t="s">
        <v>64</v>
      </c>
      <c r="G3388" t="s">
        <v>281</v>
      </c>
      <c r="H3388" t="s">
        <v>282</v>
      </c>
      <c r="I3388" t="s">
        <v>283</v>
      </c>
      <c r="J3388" t="s">
        <v>284</v>
      </c>
      <c r="K3388" t="s">
        <v>285</v>
      </c>
      <c r="L3388" s="12" t="s">
        <v>83</v>
      </c>
      <c r="M3388" s="12" t="s">
        <v>54</v>
      </c>
      <c r="N3388" s="12" t="s">
        <v>43</v>
      </c>
      <c r="O3388" s="12" t="s">
        <v>98</v>
      </c>
      <c r="P3388" s="12" t="s">
        <v>22</v>
      </c>
      <c r="Q3388" s="7" t="str">
        <f t="shared" si="157"/>
        <v>(2022,5,'2022.01.29',11,15,16,42,48,0),</v>
      </c>
      <c r="R3388" s="7" t="str">
        <f t="shared" si="159"/>
        <v>(2022,5,'2022.01.29',11,15,16,42,48),</v>
      </c>
    </row>
    <row r="3389" spans="1:18" x14ac:dyDescent="0.25">
      <c r="A3389" s="11">
        <f t="shared" si="162"/>
        <v>2022</v>
      </c>
      <c r="B3389" s="8">
        <f t="shared" si="163"/>
        <v>6</v>
      </c>
      <c r="C3389" s="10">
        <f t="shared" si="158"/>
        <v>44597</v>
      </c>
      <c r="D3389" t="s">
        <v>11</v>
      </c>
      <c r="E3389" t="s">
        <v>12</v>
      </c>
      <c r="F3389" t="s">
        <v>198</v>
      </c>
      <c r="G3389" t="s">
        <v>276</v>
      </c>
      <c r="H3389" t="s">
        <v>277</v>
      </c>
      <c r="I3389" t="s">
        <v>278</v>
      </c>
      <c r="J3389" t="s">
        <v>279</v>
      </c>
      <c r="K3389" t="s">
        <v>280</v>
      </c>
      <c r="L3389" s="12" t="s">
        <v>270</v>
      </c>
      <c r="M3389" s="12" t="s">
        <v>105</v>
      </c>
      <c r="N3389" s="12" t="s">
        <v>150</v>
      </c>
      <c r="O3389" s="12" t="s">
        <v>35</v>
      </c>
      <c r="P3389" s="12" t="s">
        <v>73</v>
      </c>
      <c r="Q3389" s="7" t="str">
        <f t="shared" si="157"/>
        <v>(2022,6,'2022.02.05',6,50,57,65,76,0),</v>
      </c>
      <c r="R3389" s="7" t="str">
        <f t="shared" si="159"/>
        <v>(2022,6,'2022.02.05',6,50,57,65,76),</v>
      </c>
    </row>
    <row r="3390" spans="1:18" x14ac:dyDescent="0.25">
      <c r="A3390" s="11">
        <f t="shared" si="162"/>
        <v>2022</v>
      </c>
      <c r="B3390" s="8">
        <f t="shared" si="163"/>
        <v>7</v>
      </c>
      <c r="C3390" s="10">
        <f t="shared" si="158"/>
        <v>44604</v>
      </c>
      <c r="D3390" t="s">
        <v>11</v>
      </c>
      <c r="E3390" t="s">
        <v>12</v>
      </c>
      <c r="F3390" t="s">
        <v>65</v>
      </c>
      <c r="G3390" t="s">
        <v>271</v>
      </c>
      <c r="H3390" t="s">
        <v>272</v>
      </c>
      <c r="I3390" t="s">
        <v>273</v>
      </c>
      <c r="J3390" t="s">
        <v>274</v>
      </c>
      <c r="K3390" t="s">
        <v>275</v>
      </c>
      <c r="L3390" s="12" t="s">
        <v>115</v>
      </c>
      <c r="M3390" s="12" t="s">
        <v>98</v>
      </c>
      <c r="N3390" s="12" t="s">
        <v>91</v>
      </c>
      <c r="O3390" s="12" t="s">
        <v>248</v>
      </c>
      <c r="P3390" s="12" t="s">
        <v>215</v>
      </c>
      <c r="Q3390" s="7" t="str">
        <f t="shared" si="157"/>
        <v>(2022,7,'2022.02.12',20,42,61,63,81,0),</v>
      </c>
      <c r="R3390" s="7" t="str">
        <f t="shared" si="159"/>
        <v>(2022,7,'2022.02.12',20,42,61,63,81),</v>
      </c>
    </row>
    <row r="3391" spans="1:18" x14ac:dyDescent="0.25">
      <c r="A3391" s="11">
        <f t="shared" si="162"/>
        <v>2022</v>
      </c>
      <c r="B3391" s="8">
        <f t="shared" si="163"/>
        <v>8</v>
      </c>
      <c r="C3391" s="10">
        <f t="shared" si="158"/>
        <v>44611</v>
      </c>
      <c r="D3391" t="s">
        <v>11</v>
      </c>
      <c r="E3391" t="s">
        <v>12</v>
      </c>
      <c r="F3391" t="s">
        <v>31</v>
      </c>
      <c r="G3391" t="s">
        <v>264</v>
      </c>
      <c r="H3391" t="s">
        <v>265</v>
      </c>
      <c r="I3391" t="s">
        <v>266</v>
      </c>
      <c r="J3391" t="s">
        <v>267</v>
      </c>
      <c r="K3391" t="s">
        <v>268</v>
      </c>
      <c r="L3391" s="12" t="s">
        <v>107</v>
      </c>
      <c r="M3391" s="12" t="s">
        <v>20</v>
      </c>
      <c r="N3391" s="12" t="s">
        <v>21</v>
      </c>
      <c r="O3391" s="12" t="s">
        <v>233</v>
      </c>
      <c r="P3391" s="12" t="s">
        <v>269</v>
      </c>
      <c r="Q3391" s="7" t="str">
        <f t="shared" si="157"/>
        <v>(2022,8,'2022.02.19',30,33,36,66,87,0),</v>
      </c>
      <c r="R3391" s="7" t="str">
        <f t="shared" si="159"/>
        <v>(2022,8,'2022.02.19',30,33,36,66,87),</v>
      </c>
    </row>
    <row r="3392" spans="1:18" x14ac:dyDescent="0.25">
      <c r="A3392" s="11">
        <f t="shared" si="162"/>
        <v>2022</v>
      </c>
      <c r="B3392" s="8">
        <f t="shared" si="163"/>
        <v>9</v>
      </c>
      <c r="C3392" s="10">
        <f t="shared" si="158"/>
        <v>44618</v>
      </c>
      <c r="D3392" t="s">
        <v>11</v>
      </c>
      <c r="E3392" t="s">
        <v>12</v>
      </c>
      <c r="F3392" t="s">
        <v>142</v>
      </c>
      <c r="G3392" t="s">
        <v>259</v>
      </c>
      <c r="H3392" t="s">
        <v>260</v>
      </c>
      <c r="I3392" t="s">
        <v>261</v>
      </c>
      <c r="J3392" t="s">
        <v>262</v>
      </c>
      <c r="K3392" t="s">
        <v>263</v>
      </c>
      <c r="L3392" s="12" t="s">
        <v>65</v>
      </c>
      <c r="M3392" s="12" t="s">
        <v>152</v>
      </c>
      <c r="N3392" s="12" t="s">
        <v>20</v>
      </c>
      <c r="O3392" s="12" t="s">
        <v>46</v>
      </c>
      <c r="P3392" s="12" t="s">
        <v>186</v>
      </c>
      <c r="Q3392" s="7" t="str">
        <f t="shared" si="157"/>
        <v>(2022,9,'2022.02.26',13,25,33,37,90,0),</v>
      </c>
      <c r="R3392" s="7" t="str">
        <f t="shared" si="159"/>
        <v>(2022,9,'2022.02.26',13,25,33,37,90),</v>
      </c>
    </row>
    <row r="3393" spans="1:18" x14ac:dyDescent="0.25">
      <c r="A3393" s="11">
        <f t="shared" si="162"/>
        <v>2022</v>
      </c>
      <c r="B3393" s="8">
        <f t="shared" si="163"/>
        <v>10</v>
      </c>
      <c r="C3393" s="10">
        <f t="shared" si="158"/>
        <v>44625</v>
      </c>
      <c r="D3393" t="s">
        <v>11</v>
      </c>
      <c r="E3393" t="s">
        <v>12</v>
      </c>
      <c r="F3393" t="s">
        <v>98</v>
      </c>
      <c r="G3393" t="s">
        <v>254</v>
      </c>
      <c r="H3393" t="s">
        <v>255</v>
      </c>
      <c r="I3393" t="s">
        <v>256</v>
      </c>
      <c r="J3393" t="s">
        <v>257</v>
      </c>
      <c r="K3393" t="s">
        <v>258</v>
      </c>
      <c r="L3393" s="12" t="s">
        <v>44</v>
      </c>
      <c r="M3393" s="12" t="s">
        <v>81</v>
      </c>
      <c r="N3393" s="12" t="s">
        <v>99</v>
      </c>
      <c r="O3393" s="12" t="s">
        <v>201</v>
      </c>
      <c r="P3393" s="12" t="s">
        <v>186</v>
      </c>
      <c r="Q3393" s="7" t="str">
        <f t="shared" si="157"/>
        <v>(2022,10,'2022.03.05',21,47,52,72,90,0),</v>
      </c>
      <c r="R3393" s="7" t="str">
        <f t="shared" si="159"/>
        <v>(2022,10,'2022.03.05',21,47,52,72,90),</v>
      </c>
    </row>
    <row r="3394" spans="1:18" x14ac:dyDescent="0.25">
      <c r="A3394" s="11">
        <f t="shared" si="162"/>
        <v>2022</v>
      </c>
      <c r="B3394" s="8">
        <f t="shared" si="163"/>
        <v>11</v>
      </c>
      <c r="C3394" s="10">
        <f t="shared" si="158"/>
        <v>44632</v>
      </c>
      <c r="D3394" t="s">
        <v>108</v>
      </c>
      <c r="E3394" t="s">
        <v>247</v>
      </c>
      <c r="F3394" t="s">
        <v>248</v>
      </c>
      <c r="G3394" t="s">
        <v>249</v>
      </c>
      <c r="H3394" t="s">
        <v>250</v>
      </c>
      <c r="I3394" t="s">
        <v>251</v>
      </c>
      <c r="J3394" t="s">
        <v>252</v>
      </c>
      <c r="K3394" t="s">
        <v>253</v>
      </c>
      <c r="L3394" s="12" t="s">
        <v>168</v>
      </c>
      <c r="M3394" s="12" t="s">
        <v>83</v>
      </c>
      <c r="N3394" s="12" t="s">
        <v>127</v>
      </c>
      <c r="O3394" s="12" t="s">
        <v>10</v>
      </c>
      <c r="P3394" s="12" t="s">
        <v>142</v>
      </c>
      <c r="Q3394" s="7" t="str">
        <f t="shared" ref="Q3394:Q3428" si="164">"("&amp;A3394&amp;","&amp;B3394&amp;",'"&amp;TEXT(C3394,"éééé.hh.nn")&amp;"',"&amp;L3394&amp;","&amp;M3394&amp;","&amp;N3394&amp;","&amp;O3394&amp;","&amp;P3394&amp;",0)"&amp;IF(P3395&lt;&gt;0,",","")</f>
        <v>(2022,11,'2022.03.12',4,11,14,40,44,0),</v>
      </c>
      <c r="R3394" s="7" t="str">
        <f t="shared" si="159"/>
        <v>(2022,11,'2022.03.12',4,11,14,40,44),</v>
      </c>
    </row>
    <row r="3395" spans="1:18" x14ac:dyDescent="0.25">
      <c r="A3395" s="11">
        <f t="shared" si="162"/>
        <v>2022</v>
      </c>
      <c r="B3395" s="8">
        <f t="shared" si="163"/>
        <v>12</v>
      </c>
      <c r="C3395" s="10">
        <f t="shared" ref="C3395:C3427" si="165">+C3394+7</f>
        <v>44639</v>
      </c>
      <c r="D3395" t="s">
        <v>11</v>
      </c>
      <c r="E3395" t="s">
        <v>12</v>
      </c>
      <c r="F3395" t="s">
        <v>19</v>
      </c>
      <c r="G3395" t="s">
        <v>240</v>
      </c>
      <c r="H3395" t="s">
        <v>241</v>
      </c>
      <c r="I3395" t="s">
        <v>242</v>
      </c>
      <c r="J3395" t="s">
        <v>243</v>
      </c>
      <c r="K3395" t="s">
        <v>244</v>
      </c>
      <c r="L3395" s="12" t="s">
        <v>135</v>
      </c>
      <c r="M3395" s="12" t="s">
        <v>105</v>
      </c>
      <c r="N3395" s="12" t="s">
        <v>239</v>
      </c>
      <c r="O3395" s="12" t="s">
        <v>245</v>
      </c>
      <c r="P3395" s="12" t="s">
        <v>246</v>
      </c>
      <c r="Q3395" s="7" t="str">
        <f t="shared" si="164"/>
        <v>(2022,12,'2022.03.19',27,50,73,74,84,0),</v>
      </c>
      <c r="R3395" s="7" t="str">
        <f t="shared" ref="R3395:R3458" si="166">IF(TRIM(P3395)="","","("&amp;A3395&amp;","&amp;B3395&amp;",'"&amp;TEXT(C3395,"éééé.hh.nn")&amp;"',"&amp;L3395&amp;","&amp;M3395&amp;","&amp;N3395&amp;","&amp;O3395&amp;","&amp;P3395&amp;")"&amp;IF(P3396=0,";",","))</f>
        <v>(2022,12,'2022.03.19',27,50,73,74,84),</v>
      </c>
    </row>
    <row r="3396" spans="1:18" x14ac:dyDescent="0.25">
      <c r="A3396" s="11">
        <f t="shared" si="162"/>
        <v>2022</v>
      </c>
      <c r="B3396" s="8">
        <f t="shared" si="163"/>
        <v>13</v>
      </c>
      <c r="C3396" s="10">
        <f t="shared" si="165"/>
        <v>44646</v>
      </c>
      <c r="D3396" t="s">
        <v>11</v>
      </c>
      <c r="E3396" t="s">
        <v>12</v>
      </c>
      <c r="F3396" t="s">
        <v>19</v>
      </c>
      <c r="G3396" t="s">
        <v>234</v>
      </c>
      <c r="H3396" t="s">
        <v>235</v>
      </c>
      <c r="I3396" t="s">
        <v>236</v>
      </c>
      <c r="J3396" t="s">
        <v>237</v>
      </c>
      <c r="K3396" t="s">
        <v>238</v>
      </c>
      <c r="L3396" s="12" t="s">
        <v>83</v>
      </c>
      <c r="M3396" s="12" t="s">
        <v>44</v>
      </c>
      <c r="N3396" s="12" t="s">
        <v>32</v>
      </c>
      <c r="O3396" s="12" t="s">
        <v>71</v>
      </c>
      <c r="P3396" s="12" t="s">
        <v>239</v>
      </c>
      <c r="Q3396" s="7" t="str">
        <f t="shared" si="164"/>
        <v>(2022,13,'2022.03.26',11,21,22,31,73,0),</v>
      </c>
      <c r="R3396" s="7" t="str">
        <f t="shared" si="166"/>
        <v>(2022,13,'2022.03.26',11,21,22,31,73),</v>
      </c>
    </row>
    <row r="3397" spans="1:18" x14ac:dyDescent="0.25">
      <c r="A3397" s="11">
        <f t="shared" si="162"/>
        <v>2022</v>
      </c>
      <c r="B3397" s="8">
        <f t="shared" si="163"/>
        <v>14</v>
      </c>
      <c r="C3397" s="10">
        <f t="shared" si="165"/>
        <v>44653</v>
      </c>
      <c r="D3397" t="s">
        <v>207</v>
      </c>
      <c r="E3397" t="s">
        <v>226</v>
      </c>
      <c r="F3397" t="s">
        <v>150</v>
      </c>
      <c r="G3397" t="s">
        <v>227</v>
      </c>
      <c r="H3397" t="s">
        <v>228</v>
      </c>
      <c r="I3397" t="s">
        <v>229</v>
      </c>
      <c r="J3397" t="s">
        <v>230</v>
      </c>
      <c r="K3397" t="s">
        <v>231</v>
      </c>
      <c r="L3397" s="12" t="s">
        <v>168</v>
      </c>
      <c r="M3397" s="12" t="s">
        <v>232</v>
      </c>
      <c r="N3397" s="12" t="s">
        <v>62</v>
      </c>
      <c r="O3397" s="12" t="s">
        <v>175</v>
      </c>
      <c r="P3397" s="12" t="s">
        <v>233</v>
      </c>
      <c r="Q3397" s="7" t="str">
        <f t="shared" si="164"/>
        <v>(2022,14,'2022.04.02',4,8,10,55,66,0),</v>
      </c>
      <c r="R3397" s="7" t="str">
        <f t="shared" si="166"/>
        <v>(2022,14,'2022.04.02',4,8,10,55,66),</v>
      </c>
    </row>
    <row r="3398" spans="1:18" x14ac:dyDescent="0.25">
      <c r="A3398" s="11">
        <f t="shared" si="162"/>
        <v>2022</v>
      </c>
      <c r="B3398" s="8">
        <f t="shared" si="163"/>
        <v>15</v>
      </c>
      <c r="C3398" s="10">
        <f t="shared" si="165"/>
        <v>44660</v>
      </c>
      <c r="D3398" t="s">
        <v>11</v>
      </c>
      <c r="E3398" t="s">
        <v>12</v>
      </c>
      <c r="F3398" t="s">
        <v>55</v>
      </c>
      <c r="G3398" t="s">
        <v>221</v>
      </c>
      <c r="H3398" t="s">
        <v>222</v>
      </c>
      <c r="I3398" t="s">
        <v>223</v>
      </c>
      <c r="J3398" t="s">
        <v>224</v>
      </c>
      <c r="K3398" t="s">
        <v>225</v>
      </c>
      <c r="L3398" s="12" t="s">
        <v>198</v>
      </c>
      <c r="M3398" s="12" t="s">
        <v>10</v>
      </c>
      <c r="N3398" s="12" t="s">
        <v>150</v>
      </c>
      <c r="O3398" s="12" t="s">
        <v>200</v>
      </c>
      <c r="P3398" s="12" t="s">
        <v>186</v>
      </c>
      <c r="Q3398" s="7" t="str">
        <f t="shared" si="164"/>
        <v>(2022,15,'2022.04.09',9,40,57,70,90,0),</v>
      </c>
      <c r="R3398" s="7" t="str">
        <f t="shared" si="166"/>
        <v>(2022,15,'2022.04.09',9,40,57,70,90),</v>
      </c>
    </row>
    <row r="3399" spans="1:18" x14ac:dyDescent="0.25">
      <c r="A3399" s="11">
        <f t="shared" si="162"/>
        <v>2022</v>
      </c>
      <c r="B3399" s="8">
        <f t="shared" si="163"/>
        <v>16</v>
      </c>
      <c r="C3399" s="10">
        <f t="shared" si="165"/>
        <v>44667</v>
      </c>
      <c r="D3399" t="s">
        <v>11</v>
      </c>
      <c r="E3399" t="s">
        <v>12</v>
      </c>
      <c r="F3399" t="s">
        <v>65</v>
      </c>
      <c r="G3399" t="s">
        <v>216</v>
      </c>
      <c r="H3399" t="s">
        <v>217</v>
      </c>
      <c r="I3399" t="s">
        <v>218</v>
      </c>
      <c r="J3399" t="s">
        <v>219</v>
      </c>
      <c r="K3399" t="s">
        <v>220</v>
      </c>
      <c r="L3399" s="12" t="s">
        <v>108</v>
      </c>
      <c r="M3399" s="12" t="s">
        <v>152</v>
      </c>
      <c r="N3399" s="12" t="s">
        <v>64</v>
      </c>
      <c r="O3399" s="12" t="s">
        <v>45</v>
      </c>
      <c r="P3399" s="12" t="s">
        <v>34</v>
      </c>
      <c r="Q3399" s="7" t="str">
        <f t="shared" si="164"/>
        <v>(2022,16,'2022.04.16',1,25,35,43,49,0),</v>
      </c>
      <c r="R3399" s="7" t="str">
        <f t="shared" si="166"/>
        <v>(2022,16,'2022.04.16',1,25,35,43,49),</v>
      </c>
    </row>
    <row r="3400" spans="1:18" x14ac:dyDescent="0.25">
      <c r="A3400" s="11">
        <f t="shared" si="162"/>
        <v>2022</v>
      </c>
      <c r="B3400" s="8">
        <f t="shared" si="163"/>
        <v>17</v>
      </c>
      <c r="C3400" s="10">
        <f t="shared" si="165"/>
        <v>44674</v>
      </c>
      <c r="D3400" t="s">
        <v>11</v>
      </c>
      <c r="E3400" t="s">
        <v>12</v>
      </c>
      <c r="F3400" t="s">
        <v>90</v>
      </c>
      <c r="G3400" t="s">
        <v>209</v>
      </c>
      <c r="H3400" t="s">
        <v>210</v>
      </c>
      <c r="I3400" t="s">
        <v>211</v>
      </c>
      <c r="J3400" t="s">
        <v>212</v>
      </c>
      <c r="K3400" t="s">
        <v>213</v>
      </c>
      <c r="L3400" s="12" t="s">
        <v>13</v>
      </c>
      <c r="M3400" s="12" t="s">
        <v>123</v>
      </c>
      <c r="N3400" s="12" t="s">
        <v>214</v>
      </c>
      <c r="O3400" s="12" t="s">
        <v>215</v>
      </c>
      <c r="P3400" s="12" t="s">
        <v>125</v>
      </c>
      <c r="Q3400" s="7" t="str">
        <f t="shared" si="164"/>
        <v>(2022,17,'2022.04.23',41,54,64,81,83,0),</v>
      </c>
      <c r="R3400" s="7" t="str">
        <f t="shared" si="166"/>
        <v>(2022,17,'2022.04.23',41,54,64,81,83),</v>
      </c>
    </row>
    <row r="3401" spans="1:18" x14ac:dyDescent="0.25">
      <c r="A3401" s="11">
        <f t="shared" si="162"/>
        <v>2022</v>
      </c>
      <c r="B3401" s="8">
        <f t="shared" si="163"/>
        <v>18</v>
      </c>
      <c r="C3401" s="10">
        <f t="shared" si="165"/>
        <v>44681</v>
      </c>
      <c r="D3401" t="s">
        <v>11</v>
      </c>
      <c r="E3401" t="s">
        <v>12</v>
      </c>
      <c r="F3401" t="s">
        <v>65</v>
      </c>
      <c r="G3401" t="s">
        <v>202</v>
      </c>
      <c r="H3401" t="s">
        <v>203</v>
      </c>
      <c r="I3401" t="s">
        <v>204</v>
      </c>
      <c r="J3401" t="s">
        <v>205</v>
      </c>
      <c r="K3401" t="s">
        <v>206</v>
      </c>
      <c r="L3401" s="12" t="s">
        <v>207</v>
      </c>
      <c r="M3401" s="12" t="s">
        <v>107</v>
      </c>
      <c r="N3401" s="12" t="s">
        <v>13</v>
      </c>
      <c r="O3401" s="12" t="s">
        <v>133</v>
      </c>
      <c r="P3401" s="12" t="s">
        <v>208</v>
      </c>
      <c r="Q3401" s="7" t="str">
        <f t="shared" si="164"/>
        <v>(2022,18,'2022.04.30',2,30,41,45,88,0),</v>
      </c>
      <c r="R3401" s="7" t="str">
        <f t="shared" si="166"/>
        <v>(2022,18,'2022.04.30',2,30,41,45,88),</v>
      </c>
    </row>
    <row r="3402" spans="1:18" x14ac:dyDescent="0.25">
      <c r="A3402" s="11">
        <f t="shared" si="162"/>
        <v>2022</v>
      </c>
      <c r="B3402" s="8">
        <f t="shared" si="163"/>
        <v>19</v>
      </c>
      <c r="C3402" s="10">
        <f t="shared" si="165"/>
        <v>44688</v>
      </c>
      <c r="D3402" t="s">
        <v>11</v>
      </c>
      <c r="E3402" t="s">
        <v>12</v>
      </c>
      <c r="F3402" t="s">
        <v>152</v>
      </c>
      <c r="G3402" t="s">
        <v>193</v>
      </c>
      <c r="H3402" t="s">
        <v>194</v>
      </c>
      <c r="I3402" t="s">
        <v>195</v>
      </c>
      <c r="J3402" t="s">
        <v>196</v>
      </c>
      <c r="K3402" t="s">
        <v>197</v>
      </c>
      <c r="L3402" s="12" t="s">
        <v>198</v>
      </c>
      <c r="M3402" s="12" t="s">
        <v>199</v>
      </c>
      <c r="N3402" s="12" t="s">
        <v>150</v>
      </c>
      <c r="O3402" s="12" t="s">
        <v>200</v>
      </c>
      <c r="P3402" s="12" t="s">
        <v>201</v>
      </c>
      <c r="Q3402" s="7" t="str">
        <f t="shared" si="164"/>
        <v>(2022,19,'2022.05.07',9,53,57,70,72,0),</v>
      </c>
      <c r="R3402" s="7" t="str">
        <f t="shared" si="166"/>
        <v>(2022,19,'2022.05.07',9,53,57,70,72),</v>
      </c>
    </row>
    <row r="3403" spans="1:18" x14ac:dyDescent="0.25">
      <c r="A3403" s="11">
        <f t="shared" si="162"/>
        <v>2022</v>
      </c>
      <c r="B3403" s="8">
        <f t="shared" si="163"/>
        <v>20</v>
      </c>
      <c r="C3403" s="10">
        <f t="shared" si="165"/>
        <v>44695</v>
      </c>
      <c r="D3403" t="s">
        <v>11</v>
      </c>
      <c r="E3403" t="s">
        <v>12</v>
      </c>
      <c r="F3403" t="s">
        <v>33</v>
      </c>
      <c r="G3403" t="s">
        <v>187</v>
      </c>
      <c r="H3403" t="s">
        <v>188</v>
      </c>
      <c r="I3403" t="s">
        <v>189</v>
      </c>
      <c r="J3403" t="s">
        <v>190</v>
      </c>
      <c r="K3403" t="s">
        <v>191</v>
      </c>
      <c r="L3403" s="12" t="s">
        <v>42</v>
      </c>
      <c r="M3403" s="12" t="s">
        <v>54</v>
      </c>
      <c r="N3403" s="12" t="s">
        <v>10</v>
      </c>
      <c r="O3403" s="12" t="s">
        <v>192</v>
      </c>
      <c r="P3403" s="12" t="s">
        <v>175</v>
      </c>
      <c r="Q3403" s="7" t="str">
        <f t="shared" si="164"/>
        <v>(2022,20,'2022.05.14',3,15,40,46,55,0),</v>
      </c>
      <c r="R3403" s="7" t="str">
        <f t="shared" si="166"/>
        <v>(2022,20,'2022.05.14',3,15,40,46,55),</v>
      </c>
    </row>
    <row r="3404" spans="1:18" x14ac:dyDescent="0.25">
      <c r="A3404" s="11">
        <f t="shared" si="162"/>
        <v>2022</v>
      </c>
      <c r="B3404" s="8">
        <f t="shared" si="163"/>
        <v>21</v>
      </c>
      <c r="C3404" s="10">
        <f t="shared" si="165"/>
        <v>44702</v>
      </c>
      <c r="D3404" t="s">
        <v>11</v>
      </c>
      <c r="E3404" t="s">
        <v>12</v>
      </c>
      <c r="F3404" t="s">
        <v>135</v>
      </c>
      <c r="G3404" t="s">
        <v>181</v>
      </c>
      <c r="H3404" t="s">
        <v>182</v>
      </c>
      <c r="I3404" t="s">
        <v>183</v>
      </c>
      <c r="J3404" t="s">
        <v>184</v>
      </c>
      <c r="K3404" t="s">
        <v>185</v>
      </c>
      <c r="L3404" s="12" t="s">
        <v>31</v>
      </c>
      <c r="M3404" s="12" t="s">
        <v>33</v>
      </c>
      <c r="N3404" s="12" t="s">
        <v>20</v>
      </c>
      <c r="O3404" s="12" t="s">
        <v>106</v>
      </c>
      <c r="P3404" s="12" t="s">
        <v>186</v>
      </c>
      <c r="Q3404" s="7" t="str">
        <f t="shared" si="164"/>
        <v>(2022,21,'2022.05.21',12,24,33,75,90,0),</v>
      </c>
      <c r="R3404" s="7" t="str">
        <f t="shared" si="166"/>
        <v>(2022,21,'2022.05.21',12,24,33,75,90),</v>
      </c>
    </row>
    <row r="3405" spans="1:18" x14ac:dyDescent="0.25">
      <c r="A3405" s="11">
        <f t="shared" si="162"/>
        <v>2022</v>
      </c>
      <c r="B3405" s="8">
        <f t="shared" si="163"/>
        <v>22</v>
      </c>
      <c r="C3405" s="10">
        <f t="shared" si="165"/>
        <v>44709</v>
      </c>
      <c r="D3405" t="s">
        <v>11</v>
      </c>
      <c r="E3405" t="s">
        <v>12</v>
      </c>
      <c r="F3405" t="s">
        <v>13</v>
      </c>
      <c r="G3405" t="s">
        <v>176</v>
      </c>
      <c r="H3405" t="s">
        <v>177</v>
      </c>
      <c r="I3405" t="s">
        <v>178</v>
      </c>
      <c r="J3405" t="s">
        <v>179</v>
      </c>
      <c r="K3405" t="s">
        <v>180</v>
      </c>
      <c r="L3405" s="12" t="s">
        <v>43</v>
      </c>
      <c r="M3405" s="12" t="s">
        <v>55</v>
      </c>
      <c r="N3405" s="12" t="s">
        <v>71</v>
      </c>
      <c r="O3405" s="12" t="s">
        <v>13</v>
      </c>
      <c r="P3405" s="12" t="s">
        <v>91</v>
      </c>
      <c r="Q3405" s="7" t="str">
        <f t="shared" si="164"/>
        <v>(2022,22,'2022.05.28',16,19,31,41,61,0),</v>
      </c>
      <c r="R3405" s="7" t="str">
        <f t="shared" si="166"/>
        <v>(2022,22,'2022.05.28',16,19,31,41,61),</v>
      </c>
    </row>
    <row r="3406" spans="1:18" x14ac:dyDescent="0.25">
      <c r="A3406" s="11">
        <f t="shared" si="162"/>
        <v>2022</v>
      </c>
      <c r="B3406" s="8">
        <f t="shared" si="163"/>
        <v>23</v>
      </c>
      <c r="C3406" s="10">
        <f t="shared" si="165"/>
        <v>44716</v>
      </c>
      <c r="D3406" t="s">
        <v>11</v>
      </c>
      <c r="E3406" t="s">
        <v>12</v>
      </c>
      <c r="F3406" t="s">
        <v>152</v>
      </c>
      <c r="G3406" t="s">
        <v>170</v>
      </c>
      <c r="H3406" t="s">
        <v>171</v>
      </c>
      <c r="I3406" t="s">
        <v>172</v>
      </c>
      <c r="J3406" t="s">
        <v>173</v>
      </c>
      <c r="K3406" t="s">
        <v>174</v>
      </c>
      <c r="L3406" s="12" t="s">
        <v>127</v>
      </c>
      <c r="M3406" s="12" t="s">
        <v>21</v>
      </c>
      <c r="N3406" s="12" t="s">
        <v>36</v>
      </c>
      <c r="O3406" s="12" t="s">
        <v>133</v>
      </c>
      <c r="P3406" s="12" t="s">
        <v>175</v>
      </c>
      <c r="Q3406" s="7" t="str">
        <f t="shared" si="164"/>
        <v>(2022,23,'2022.06.04',14,36,38,45,55,0),</v>
      </c>
      <c r="R3406" s="7" t="str">
        <f t="shared" si="166"/>
        <v>(2022,23,'2022.06.04',14,36,38,45,55),</v>
      </c>
    </row>
    <row r="3407" spans="1:18" x14ac:dyDescent="0.25">
      <c r="A3407" s="11">
        <f t="shared" si="162"/>
        <v>2022</v>
      </c>
      <c r="B3407" s="8">
        <f t="shared" si="163"/>
        <v>24</v>
      </c>
      <c r="C3407" s="10">
        <f t="shared" si="165"/>
        <v>44723</v>
      </c>
      <c r="D3407" t="s">
        <v>11</v>
      </c>
      <c r="E3407" t="s">
        <v>12</v>
      </c>
      <c r="F3407" t="s">
        <v>45</v>
      </c>
      <c r="G3407" t="s">
        <v>164</v>
      </c>
      <c r="H3407" t="s">
        <v>165</v>
      </c>
      <c r="I3407" t="s">
        <v>166</v>
      </c>
      <c r="J3407" t="s">
        <v>167</v>
      </c>
      <c r="K3407" t="s">
        <v>61</v>
      </c>
      <c r="L3407" s="12" t="s">
        <v>168</v>
      </c>
      <c r="M3407" s="12" t="s">
        <v>55</v>
      </c>
      <c r="N3407" s="12" t="s">
        <v>107</v>
      </c>
      <c r="O3407" s="12" t="s">
        <v>169</v>
      </c>
      <c r="P3407" s="12" t="s">
        <v>56</v>
      </c>
      <c r="Q3407" s="7" t="str">
        <f t="shared" si="164"/>
        <v>(2022,24,'2022.06.11',4,19,30,58,71,0),</v>
      </c>
      <c r="R3407" s="7" t="str">
        <f t="shared" si="166"/>
        <v>(2022,24,'2022.06.11',4,19,30,58,71),</v>
      </c>
    </row>
    <row r="3408" spans="1:18" x14ac:dyDescent="0.25">
      <c r="A3408" s="11">
        <f t="shared" si="162"/>
        <v>2022</v>
      </c>
      <c r="B3408" s="8">
        <f t="shared" si="163"/>
        <v>25</v>
      </c>
      <c r="C3408" s="10">
        <f t="shared" si="165"/>
        <v>44730</v>
      </c>
      <c r="D3408" t="s">
        <v>108</v>
      </c>
      <c r="E3408" t="s">
        <v>157</v>
      </c>
      <c r="F3408" t="s">
        <v>71</v>
      </c>
      <c r="G3408" t="s">
        <v>158</v>
      </c>
      <c r="H3408" t="s">
        <v>159</v>
      </c>
      <c r="I3408" t="s">
        <v>160</v>
      </c>
      <c r="J3408" t="s">
        <v>161</v>
      </c>
      <c r="K3408" t="s">
        <v>162</v>
      </c>
      <c r="L3408" s="12" t="s">
        <v>31</v>
      </c>
      <c r="M3408" s="12" t="s">
        <v>32</v>
      </c>
      <c r="N3408" s="12" t="s">
        <v>74</v>
      </c>
      <c r="O3408" s="12" t="s">
        <v>135</v>
      </c>
      <c r="P3408" s="12" t="s">
        <v>71</v>
      </c>
      <c r="Q3408" s="7" t="str">
        <f t="shared" si="164"/>
        <v>(2022,25,'2022.06.18',12,22,26,27,31,0),</v>
      </c>
      <c r="R3408" s="7" t="str">
        <f t="shared" si="166"/>
        <v>(2022,25,'2022.06.18',12,22,26,27,31),</v>
      </c>
    </row>
    <row r="3409" spans="1:18" x14ac:dyDescent="0.25">
      <c r="A3409" s="11">
        <f t="shared" si="162"/>
        <v>2022</v>
      </c>
      <c r="B3409" s="8">
        <f t="shared" si="163"/>
        <v>26</v>
      </c>
      <c r="C3409" s="10">
        <f t="shared" si="165"/>
        <v>44737</v>
      </c>
      <c r="D3409" t="s">
        <v>11</v>
      </c>
      <c r="E3409" t="s">
        <v>12</v>
      </c>
      <c r="F3409" t="s">
        <v>64</v>
      </c>
      <c r="G3409" t="s">
        <v>153</v>
      </c>
      <c r="H3409" t="s">
        <v>154</v>
      </c>
      <c r="I3409" t="s">
        <v>155</v>
      </c>
      <c r="J3409" t="s">
        <v>156</v>
      </c>
      <c r="K3409" t="s">
        <v>61</v>
      </c>
      <c r="L3409" s="12" t="s">
        <v>53</v>
      </c>
      <c r="M3409" s="12" t="s">
        <v>135</v>
      </c>
      <c r="N3409" s="12" t="s">
        <v>107</v>
      </c>
      <c r="O3409" s="12" t="s">
        <v>25</v>
      </c>
      <c r="P3409" s="12" t="s">
        <v>92</v>
      </c>
      <c r="Q3409" s="7" t="str">
        <f t="shared" si="164"/>
        <v>(2022,26,'2022.06.25',7,27,30,34,68,0),</v>
      </c>
      <c r="R3409" s="7" t="str">
        <f t="shared" si="166"/>
        <v>(2022,26,'2022.06.25',7,27,30,34,68),</v>
      </c>
    </row>
    <row r="3410" spans="1:18" x14ac:dyDescent="0.25">
      <c r="A3410" s="11">
        <f t="shared" si="162"/>
        <v>2022</v>
      </c>
      <c r="B3410" s="8">
        <f t="shared" si="163"/>
        <v>27</v>
      </c>
      <c r="C3410" s="10">
        <f t="shared" si="165"/>
        <v>44744</v>
      </c>
      <c r="D3410" t="s">
        <v>108</v>
      </c>
      <c r="E3410" t="s">
        <v>144</v>
      </c>
      <c r="F3410" t="s">
        <v>44</v>
      </c>
      <c r="G3410" t="s">
        <v>145</v>
      </c>
      <c r="H3410" t="s">
        <v>146</v>
      </c>
      <c r="I3410" t="s">
        <v>147</v>
      </c>
      <c r="J3410" t="s">
        <v>148</v>
      </c>
      <c r="K3410" t="s">
        <v>149</v>
      </c>
      <c r="L3410" s="12" t="s">
        <v>108</v>
      </c>
      <c r="M3410" s="12" t="s">
        <v>21</v>
      </c>
      <c r="N3410" s="12" t="s">
        <v>98</v>
      </c>
      <c r="O3410" s="12" t="s">
        <v>150</v>
      </c>
      <c r="P3410" s="12" t="s">
        <v>151</v>
      </c>
      <c r="Q3410" s="7" t="str">
        <f t="shared" si="164"/>
        <v>(2022,27,'2022.07.02',1,36,42,57,79,0),</v>
      </c>
      <c r="R3410" s="7" t="str">
        <f t="shared" si="166"/>
        <v>(2022,27,'2022.07.02',1,36,42,57,79),</v>
      </c>
    </row>
    <row r="3411" spans="1:18" x14ac:dyDescent="0.25">
      <c r="A3411" s="11">
        <f t="shared" si="162"/>
        <v>2022</v>
      </c>
      <c r="B3411" s="8">
        <f t="shared" si="163"/>
        <v>28</v>
      </c>
      <c r="C3411" s="10">
        <f t="shared" si="165"/>
        <v>44751</v>
      </c>
      <c r="D3411" t="s">
        <v>108</v>
      </c>
      <c r="E3411" t="s">
        <v>136</v>
      </c>
      <c r="F3411" t="s">
        <v>20</v>
      </c>
      <c r="G3411" t="s">
        <v>137</v>
      </c>
      <c r="H3411" t="s">
        <v>138</v>
      </c>
      <c r="I3411" t="s">
        <v>139</v>
      </c>
      <c r="J3411" t="s">
        <v>140</v>
      </c>
      <c r="K3411" t="s">
        <v>141</v>
      </c>
      <c r="L3411" s="12" t="s">
        <v>83</v>
      </c>
      <c r="M3411" s="12" t="s">
        <v>64</v>
      </c>
      <c r="N3411" s="12" t="s">
        <v>142</v>
      </c>
      <c r="O3411" s="12" t="s">
        <v>81</v>
      </c>
      <c r="P3411" s="12" t="s">
        <v>143</v>
      </c>
      <c r="Q3411" s="7" t="str">
        <f t="shared" si="164"/>
        <v>(2022,28,'2022.07.09',11,35,44,47,77,0),</v>
      </c>
      <c r="R3411" s="7" t="str">
        <f t="shared" si="166"/>
        <v>(2022,28,'2022.07.09',11,35,44,47,77),</v>
      </c>
    </row>
    <row r="3412" spans="1:18" x14ac:dyDescent="0.25">
      <c r="A3412" s="11">
        <f t="shared" si="162"/>
        <v>2022</v>
      </c>
      <c r="B3412" s="8">
        <f t="shared" si="163"/>
        <v>29</v>
      </c>
      <c r="C3412" s="10">
        <f t="shared" si="165"/>
        <v>44758</v>
      </c>
      <c r="D3412" t="s">
        <v>11</v>
      </c>
      <c r="E3412" t="s">
        <v>12</v>
      </c>
      <c r="F3412" t="s">
        <v>127</v>
      </c>
      <c r="G3412" t="s">
        <v>128</v>
      </c>
      <c r="H3412" t="s">
        <v>129</v>
      </c>
      <c r="I3412" t="s">
        <v>130</v>
      </c>
      <c r="J3412" t="s">
        <v>131</v>
      </c>
      <c r="K3412" t="s">
        <v>132</v>
      </c>
      <c r="L3412" s="12" t="s">
        <v>107</v>
      </c>
      <c r="M3412" s="12" t="s">
        <v>133</v>
      </c>
      <c r="N3412" s="12" t="s">
        <v>134</v>
      </c>
      <c r="O3412" s="12" t="s">
        <v>124</v>
      </c>
      <c r="P3412" s="12" t="s">
        <v>56</v>
      </c>
      <c r="Q3412" s="7" t="str">
        <f t="shared" si="164"/>
        <v>(2022,29,'2022.07.16',30,45,56,62,71,0),</v>
      </c>
      <c r="R3412" s="7" t="str">
        <f t="shared" si="166"/>
        <v>(2022,29,'2022.07.16',30,45,56,62,71),</v>
      </c>
    </row>
    <row r="3413" spans="1:18" x14ac:dyDescent="0.25">
      <c r="A3413" s="11">
        <f t="shared" si="162"/>
        <v>2022</v>
      </c>
      <c r="B3413" s="8">
        <f t="shared" si="163"/>
        <v>30</v>
      </c>
      <c r="C3413" s="10">
        <f t="shared" si="165"/>
        <v>44765</v>
      </c>
      <c r="D3413" t="s">
        <v>11</v>
      </c>
      <c r="E3413" t="s">
        <v>12</v>
      </c>
      <c r="F3413" t="s">
        <v>83</v>
      </c>
      <c r="G3413" t="s">
        <v>117</v>
      </c>
      <c r="H3413" t="s">
        <v>118</v>
      </c>
      <c r="I3413" t="s">
        <v>119</v>
      </c>
      <c r="J3413" t="s">
        <v>120</v>
      </c>
      <c r="K3413" t="s">
        <v>121</v>
      </c>
      <c r="L3413" s="12" t="s">
        <v>34</v>
      </c>
      <c r="M3413" s="12" t="s">
        <v>122</v>
      </c>
      <c r="N3413" s="12" t="s">
        <v>123</v>
      </c>
      <c r="O3413" s="12" t="s">
        <v>124</v>
      </c>
      <c r="P3413" s="12" t="s">
        <v>125</v>
      </c>
      <c r="Q3413" s="7" t="str">
        <f t="shared" si="164"/>
        <v>(2022,30,'2022.07.23',49,51,54,62,83,0),</v>
      </c>
      <c r="R3413" s="7" t="str">
        <f t="shared" si="166"/>
        <v>(2022,30,'2022.07.23',49,51,54,62,83),</v>
      </c>
    </row>
    <row r="3414" spans="1:18" x14ac:dyDescent="0.25">
      <c r="A3414" s="11">
        <f t="shared" si="162"/>
        <v>2022</v>
      </c>
      <c r="B3414" s="8">
        <f t="shared" si="163"/>
        <v>31</v>
      </c>
      <c r="C3414" s="10">
        <f t="shared" si="165"/>
        <v>44772</v>
      </c>
      <c r="D3414" t="s">
        <v>108</v>
      </c>
      <c r="E3414" t="s">
        <v>109</v>
      </c>
      <c r="F3414" t="s">
        <v>54</v>
      </c>
      <c r="G3414" t="s">
        <v>110</v>
      </c>
      <c r="H3414" t="s">
        <v>111</v>
      </c>
      <c r="I3414" t="s">
        <v>112</v>
      </c>
      <c r="J3414" t="s">
        <v>113</v>
      </c>
      <c r="K3414" t="s">
        <v>114</v>
      </c>
      <c r="L3414" s="12" t="s">
        <v>31</v>
      </c>
      <c r="M3414" s="12" t="s">
        <v>55</v>
      </c>
      <c r="N3414" s="12" t="s">
        <v>115</v>
      </c>
      <c r="O3414" s="12" t="s">
        <v>25</v>
      </c>
      <c r="P3414" s="12" t="s">
        <v>21</v>
      </c>
      <c r="Q3414" s="7" t="str">
        <f t="shared" si="164"/>
        <v>(2022,31,'2022.07.30',12,19,20,34,36,0),</v>
      </c>
      <c r="R3414" s="7" t="str">
        <f t="shared" si="166"/>
        <v>(2022,31,'2022.07.30',12,19,20,34,36),</v>
      </c>
    </row>
    <row r="3415" spans="1:18" x14ac:dyDescent="0.25">
      <c r="A3415" s="11">
        <f t="shared" si="162"/>
        <v>2022</v>
      </c>
      <c r="B3415" s="8">
        <f t="shared" si="163"/>
        <v>32</v>
      </c>
      <c r="C3415" s="10">
        <f t="shared" si="165"/>
        <v>44779</v>
      </c>
      <c r="D3415" t="s">
        <v>11</v>
      </c>
      <c r="E3415" t="s">
        <v>12</v>
      </c>
      <c r="F3415" t="s">
        <v>19</v>
      </c>
      <c r="G3415" t="s">
        <v>100</v>
      </c>
      <c r="H3415" t="s">
        <v>101</v>
      </c>
      <c r="I3415" t="s">
        <v>102</v>
      </c>
      <c r="J3415" t="s">
        <v>103</v>
      </c>
      <c r="K3415" t="s">
        <v>104</v>
      </c>
      <c r="L3415" s="12" t="s">
        <v>33</v>
      </c>
      <c r="M3415" s="12" t="s">
        <v>36</v>
      </c>
      <c r="N3415" s="12" t="s">
        <v>105</v>
      </c>
      <c r="O3415" s="12" t="s">
        <v>106</v>
      </c>
      <c r="P3415" s="12" t="s">
        <v>73</v>
      </c>
      <c r="Q3415" s="7" t="str">
        <f t="shared" si="164"/>
        <v>(2022,32,'2022.08.06',24,38,50,75,76,0),</v>
      </c>
      <c r="R3415" s="7" t="str">
        <f t="shared" si="166"/>
        <v>(2022,32,'2022.08.06',24,38,50,75,76),</v>
      </c>
    </row>
    <row r="3416" spans="1:18" x14ac:dyDescent="0.25">
      <c r="A3416" s="11">
        <f t="shared" si="162"/>
        <v>2022</v>
      </c>
      <c r="B3416" s="8">
        <f t="shared" si="163"/>
        <v>33</v>
      </c>
      <c r="C3416" s="10">
        <f t="shared" si="165"/>
        <v>44786</v>
      </c>
      <c r="D3416" t="s">
        <v>11</v>
      </c>
      <c r="E3416" t="s">
        <v>12</v>
      </c>
      <c r="F3416" t="s">
        <v>74</v>
      </c>
      <c r="G3416" t="s">
        <v>93</v>
      </c>
      <c r="H3416" t="s">
        <v>94</v>
      </c>
      <c r="I3416" t="s">
        <v>95</v>
      </c>
      <c r="J3416" t="s">
        <v>96</v>
      </c>
      <c r="K3416" t="s">
        <v>97</v>
      </c>
      <c r="L3416" s="12" t="s">
        <v>19</v>
      </c>
      <c r="M3416" s="12" t="s">
        <v>13</v>
      </c>
      <c r="N3416" s="12" t="s">
        <v>98</v>
      </c>
      <c r="O3416" s="12" t="s">
        <v>22</v>
      </c>
      <c r="P3416" s="12" t="s">
        <v>99</v>
      </c>
      <c r="Q3416" s="7" t="str">
        <f t="shared" si="164"/>
        <v>(2022,33,'2022.08.13',18,41,42,48,52,0),</v>
      </c>
      <c r="R3416" s="7" t="str">
        <f t="shared" si="166"/>
        <v>(2022,33,'2022.08.13',18,41,42,48,52),</v>
      </c>
    </row>
    <row r="3417" spans="1:18" x14ac:dyDescent="0.25">
      <c r="A3417" s="11">
        <f t="shared" si="162"/>
        <v>2022</v>
      </c>
      <c r="B3417" s="8">
        <f t="shared" si="163"/>
        <v>34</v>
      </c>
      <c r="C3417" s="10">
        <f t="shared" si="165"/>
        <v>44793</v>
      </c>
      <c r="D3417" t="s">
        <v>11</v>
      </c>
      <c r="E3417" t="s">
        <v>12</v>
      </c>
      <c r="F3417" t="s">
        <v>83</v>
      </c>
      <c r="G3417" t="s">
        <v>84</v>
      </c>
      <c r="H3417" t="s">
        <v>85</v>
      </c>
      <c r="I3417" t="s">
        <v>86</v>
      </c>
      <c r="J3417" t="s">
        <v>87</v>
      </c>
      <c r="K3417" t="s">
        <v>88</v>
      </c>
      <c r="L3417" s="12" t="s">
        <v>89</v>
      </c>
      <c r="M3417" s="12" t="s">
        <v>90</v>
      </c>
      <c r="N3417" s="12" t="s">
        <v>71</v>
      </c>
      <c r="O3417" s="12" t="s">
        <v>91</v>
      </c>
      <c r="P3417" s="12" t="s">
        <v>92</v>
      </c>
      <c r="Q3417" s="7" t="str">
        <f t="shared" si="164"/>
        <v>(2022,34,'2022.08.20',5,17,31,61,68,0),</v>
      </c>
      <c r="R3417" s="7" t="str">
        <f t="shared" si="166"/>
        <v>(2022,34,'2022.08.20',5,17,31,61,68),</v>
      </c>
    </row>
    <row r="3418" spans="1:18" x14ac:dyDescent="0.25">
      <c r="A3418" s="11">
        <f t="shared" si="162"/>
        <v>2022</v>
      </c>
      <c r="B3418" s="8">
        <f t="shared" si="163"/>
        <v>35</v>
      </c>
      <c r="C3418" s="10">
        <f t="shared" si="165"/>
        <v>44800</v>
      </c>
      <c r="D3418" t="s">
        <v>11</v>
      </c>
      <c r="E3418" t="s">
        <v>12</v>
      </c>
      <c r="F3418" t="s">
        <v>74</v>
      </c>
      <c r="G3418" t="s">
        <v>75</v>
      </c>
      <c r="H3418" t="s">
        <v>76</v>
      </c>
      <c r="I3418" t="s">
        <v>77</v>
      </c>
      <c r="J3418" t="s">
        <v>78</v>
      </c>
      <c r="K3418" t="s">
        <v>79</v>
      </c>
      <c r="L3418" s="12" t="s">
        <v>31</v>
      </c>
      <c r="M3418" s="12" t="s">
        <v>55</v>
      </c>
      <c r="N3418" s="12" t="s">
        <v>80</v>
      </c>
      <c r="O3418" s="12" t="s">
        <v>81</v>
      </c>
      <c r="P3418" s="12" t="s">
        <v>82</v>
      </c>
      <c r="Q3418" s="7" t="str">
        <f t="shared" si="164"/>
        <v>(2022,35,'2022.08.27',12,19,32,47,59,0),</v>
      </c>
      <c r="R3418" s="7" t="str">
        <f t="shared" si="166"/>
        <v>(2022,35,'2022.08.27',12,19,32,47,59),</v>
      </c>
    </row>
    <row r="3419" spans="1:18" x14ac:dyDescent="0.25">
      <c r="A3419" s="11">
        <f t="shared" si="162"/>
        <v>2022</v>
      </c>
      <c r="B3419" s="8">
        <f t="shared" si="163"/>
        <v>36</v>
      </c>
      <c r="C3419" s="10">
        <f t="shared" si="165"/>
        <v>44807</v>
      </c>
      <c r="D3419" t="s">
        <v>11</v>
      </c>
      <c r="E3419" t="s">
        <v>12</v>
      </c>
      <c r="F3419" t="s">
        <v>65</v>
      </c>
      <c r="G3419" t="s">
        <v>66</v>
      </c>
      <c r="H3419" t="s">
        <v>67</v>
      </c>
      <c r="I3419" t="s">
        <v>68</v>
      </c>
      <c r="J3419" t="s">
        <v>69</v>
      </c>
      <c r="K3419" t="s">
        <v>70</v>
      </c>
      <c r="L3419" s="12" t="s">
        <v>54</v>
      </c>
      <c r="M3419" s="12" t="s">
        <v>71</v>
      </c>
      <c r="N3419" s="12" t="s">
        <v>23</v>
      </c>
      <c r="O3419" s="12" t="s">
        <v>72</v>
      </c>
      <c r="P3419" s="12" t="s">
        <v>73</v>
      </c>
      <c r="Q3419" s="7" t="str">
        <f t="shared" si="164"/>
        <v>(2022,36,'2022.09.03',15,31,60,67,76,0),</v>
      </c>
      <c r="R3419" s="7" t="str">
        <f t="shared" si="166"/>
        <v>(2022,36,'2022.09.03',15,31,60,67,76),</v>
      </c>
    </row>
    <row r="3420" spans="1:18" x14ac:dyDescent="0.25">
      <c r="A3420" s="11">
        <f t="shared" si="162"/>
        <v>2022</v>
      </c>
      <c r="B3420" s="8">
        <f t="shared" si="163"/>
        <v>37</v>
      </c>
      <c r="C3420" s="10">
        <f t="shared" si="165"/>
        <v>44814</v>
      </c>
      <c r="D3420" t="s">
        <v>11</v>
      </c>
      <c r="E3420" t="s">
        <v>12</v>
      </c>
      <c r="F3420" t="s">
        <v>25</v>
      </c>
      <c r="G3420" t="s">
        <v>57</v>
      </c>
      <c r="H3420" t="s">
        <v>58</v>
      </c>
      <c r="I3420" t="s">
        <v>59</v>
      </c>
      <c r="J3420" t="s">
        <v>60</v>
      </c>
      <c r="K3420" t="s">
        <v>61</v>
      </c>
      <c r="L3420" s="12" t="s">
        <v>53</v>
      </c>
      <c r="M3420" s="12" t="s">
        <v>62</v>
      </c>
      <c r="N3420" s="12" t="s">
        <v>20</v>
      </c>
      <c r="O3420" s="12" t="s">
        <v>25</v>
      </c>
      <c r="P3420" s="12" t="s">
        <v>63</v>
      </c>
      <c r="Q3420" s="7" t="str">
        <f t="shared" si="164"/>
        <v>(2022,37,'2022.09.10',7,10,33,34,78,0),</v>
      </c>
      <c r="R3420" s="7" t="str">
        <f t="shared" si="166"/>
        <v>(2022,37,'2022.09.10',7,10,33,34,78),</v>
      </c>
    </row>
    <row r="3421" spans="1:18" x14ac:dyDescent="0.25">
      <c r="A3421" s="11">
        <f t="shared" si="162"/>
        <v>2022</v>
      </c>
      <c r="B3421" s="8">
        <f t="shared" si="163"/>
        <v>38</v>
      </c>
      <c r="C3421" s="10">
        <f t="shared" si="165"/>
        <v>44821</v>
      </c>
      <c r="D3421" t="s">
        <v>11</v>
      </c>
      <c r="E3421" t="s">
        <v>12</v>
      </c>
      <c r="F3421" t="s">
        <v>47</v>
      </c>
      <c r="G3421" t="s">
        <v>48</v>
      </c>
      <c r="H3421" t="s">
        <v>49</v>
      </c>
      <c r="I3421" t="s">
        <v>50</v>
      </c>
      <c r="J3421" t="s">
        <v>51</v>
      </c>
      <c r="K3421" t="s">
        <v>52</v>
      </c>
      <c r="L3421" s="12" t="s">
        <v>53</v>
      </c>
      <c r="M3421" s="12" t="s">
        <v>54</v>
      </c>
      <c r="N3421" s="12" t="s">
        <v>55</v>
      </c>
      <c r="O3421" s="12" t="s">
        <v>20</v>
      </c>
      <c r="P3421" s="12" t="s">
        <v>56</v>
      </c>
      <c r="Q3421" s="7" t="str">
        <f t="shared" si="164"/>
        <v>(2022,38,'2022.09.17',7,15,19,33,71,0),</v>
      </c>
      <c r="R3421" s="7" t="str">
        <f t="shared" si="166"/>
        <v>(2022,38,'2022.09.17',7,15,19,33,71),</v>
      </c>
    </row>
    <row r="3422" spans="1:18" x14ac:dyDescent="0.25">
      <c r="A3422" s="11">
        <f t="shared" si="162"/>
        <v>2022</v>
      </c>
      <c r="B3422" s="8">
        <f t="shared" si="163"/>
        <v>39</v>
      </c>
      <c r="C3422" s="10">
        <f t="shared" si="165"/>
        <v>44828</v>
      </c>
      <c r="D3422" t="s">
        <v>11</v>
      </c>
      <c r="E3422" t="s">
        <v>12</v>
      </c>
      <c r="F3422" t="s">
        <v>13</v>
      </c>
      <c r="G3422" t="s">
        <v>37</v>
      </c>
      <c r="H3422" t="s">
        <v>38</v>
      </c>
      <c r="I3422" t="s">
        <v>39</v>
      </c>
      <c r="J3422" t="s">
        <v>40</v>
      </c>
      <c r="K3422" t="s">
        <v>41</v>
      </c>
      <c r="L3422" s="12" t="s">
        <v>42</v>
      </c>
      <c r="M3422" s="12" t="s">
        <v>43</v>
      </c>
      <c r="N3422" s="12" t="s">
        <v>44</v>
      </c>
      <c r="O3422" s="12" t="s">
        <v>45</v>
      </c>
      <c r="P3422" s="12" t="s">
        <v>23</v>
      </c>
      <c r="Q3422" s="7" t="str">
        <f t="shared" si="164"/>
        <v>(2022,39,'2022.09.24',3,16,21,43,60,0),</v>
      </c>
      <c r="R3422" s="7" t="str">
        <f t="shared" si="166"/>
        <v>(2022,39,'2022.09.24',3,16,21,43,60),</v>
      </c>
    </row>
    <row r="3423" spans="1:18" x14ac:dyDescent="0.25">
      <c r="A3423" s="11">
        <f t="shared" si="162"/>
        <v>2022</v>
      </c>
      <c r="B3423" s="8">
        <f t="shared" si="163"/>
        <v>40</v>
      </c>
      <c r="C3423" s="10">
        <f t="shared" si="165"/>
        <v>44835</v>
      </c>
      <c r="D3423" t="s">
        <v>11</v>
      </c>
      <c r="E3423" t="s">
        <v>12</v>
      </c>
      <c r="F3423" t="s">
        <v>25</v>
      </c>
      <c r="G3423" t="s">
        <v>26</v>
      </c>
      <c r="H3423" t="s">
        <v>27</v>
      </c>
      <c r="I3423" t="s">
        <v>28</v>
      </c>
      <c r="J3423" t="s">
        <v>29</v>
      </c>
      <c r="K3423" t="s">
        <v>30</v>
      </c>
      <c r="L3423" s="12" t="s">
        <v>31</v>
      </c>
      <c r="M3423" s="12" t="s">
        <v>32</v>
      </c>
      <c r="N3423" s="12" t="s">
        <v>33</v>
      </c>
      <c r="O3423" s="12" t="s">
        <v>34</v>
      </c>
      <c r="P3423" s="12" t="s">
        <v>35</v>
      </c>
      <c r="Q3423" s="7" t="str">
        <f t="shared" si="164"/>
        <v>(2022,40,'2022.10.01',12,22,24,49,65,0),</v>
      </c>
      <c r="R3423" s="7" t="str">
        <f t="shared" si="166"/>
        <v>(2022,40,'2022.10.01',12,22,24,49,65),</v>
      </c>
    </row>
    <row r="3424" spans="1:18" x14ac:dyDescent="0.25">
      <c r="A3424" s="11">
        <f t="shared" si="162"/>
        <v>2022</v>
      </c>
      <c r="B3424" s="8">
        <f t="shared" si="163"/>
        <v>41</v>
      </c>
      <c r="C3424" s="10">
        <f t="shared" si="165"/>
        <v>44842</v>
      </c>
      <c r="D3424" t="s">
        <v>11</v>
      </c>
      <c r="E3424" t="s">
        <v>12</v>
      </c>
      <c r="F3424" t="s">
        <v>13</v>
      </c>
      <c r="G3424" t="s">
        <v>14</v>
      </c>
      <c r="H3424" t="s">
        <v>15</v>
      </c>
      <c r="I3424" t="s">
        <v>16</v>
      </c>
      <c r="J3424" t="s">
        <v>17</v>
      </c>
      <c r="K3424" t="s">
        <v>18</v>
      </c>
      <c r="L3424" s="12" t="s">
        <v>19</v>
      </c>
      <c r="M3424" s="12" t="s">
        <v>20</v>
      </c>
      <c r="N3424" s="12" t="s">
        <v>21</v>
      </c>
      <c r="O3424" s="12" t="s">
        <v>22</v>
      </c>
      <c r="P3424" s="12" t="s">
        <v>23</v>
      </c>
      <c r="Q3424" s="7" t="str">
        <f t="shared" si="164"/>
        <v>(2022,41,'2022.10.08',18,33,36,48,60,0),</v>
      </c>
      <c r="R3424" s="7" t="str">
        <f t="shared" si="166"/>
        <v>(2022,41,'2022.10.08',18,33,36,48,60),</v>
      </c>
    </row>
    <row r="3425" spans="1:18" x14ac:dyDescent="0.25">
      <c r="A3425" s="11">
        <f t="shared" si="162"/>
        <v>2022</v>
      </c>
      <c r="B3425" s="8">
        <f t="shared" si="163"/>
        <v>42</v>
      </c>
      <c r="C3425" s="10">
        <f t="shared" si="165"/>
        <v>44849</v>
      </c>
      <c r="D3425" t="s">
        <v>11</v>
      </c>
      <c r="E3425" t="s">
        <v>12</v>
      </c>
      <c r="F3425" t="s">
        <v>163</v>
      </c>
      <c r="G3425" t="s">
        <v>5880</v>
      </c>
      <c r="H3425" t="s">
        <v>1503</v>
      </c>
      <c r="I3425" t="s">
        <v>5881</v>
      </c>
      <c r="J3425" t="s">
        <v>5882</v>
      </c>
      <c r="K3425" t="s">
        <v>197</v>
      </c>
      <c r="L3425" s="12" t="s">
        <v>108</v>
      </c>
      <c r="M3425" s="12" t="s">
        <v>53</v>
      </c>
      <c r="N3425" s="12" t="s">
        <v>24</v>
      </c>
      <c r="O3425" s="12" t="s">
        <v>10</v>
      </c>
      <c r="P3425" s="12" t="s">
        <v>169</v>
      </c>
      <c r="Q3425" s="7" t="str">
        <f t="shared" si="164"/>
        <v>(2022,42,'2022.10.15',1,7,39,40,58,0),</v>
      </c>
      <c r="R3425" s="7" t="str">
        <f t="shared" si="166"/>
        <v>(2022,42,'2022.10.15',1,7,39,40,58),</v>
      </c>
    </row>
    <row r="3426" spans="1:18" x14ac:dyDescent="0.25">
      <c r="A3426" s="11">
        <f t="shared" si="162"/>
        <v>2022</v>
      </c>
      <c r="B3426" s="8">
        <f t="shared" si="163"/>
        <v>43</v>
      </c>
      <c r="C3426" s="10">
        <f t="shared" si="165"/>
        <v>44856</v>
      </c>
      <c r="D3426" t="s">
        <v>207</v>
      </c>
      <c r="E3426" t="s">
        <v>5875</v>
      </c>
      <c r="F3426" t="s">
        <v>269</v>
      </c>
      <c r="G3426" t="s">
        <v>5876</v>
      </c>
      <c r="H3426" t="s">
        <v>5877</v>
      </c>
      <c r="I3426" t="s">
        <v>5878</v>
      </c>
      <c r="J3426" t="s">
        <v>5879</v>
      </c>
      <c r="K3426" t="s">
        <v>307</v>
      </c>
      <c r="L3426" s="12" t="s">
        <v>168</v>
      </c>
      <c r="M3426" s="12" t="s">
        <v>232</v>
      </c>
      <c r="N3426" s="12" t="s">
        <v>31</v>
      </c>
      <c r="O3426" s="12" t="s">
        <v>10</v>
      </c>
      <c r="P3426" s="12" t="s">
        <v>142</v>
      </c>
      <c r="Q3426" s="7" t="str">
        <f t="shared" si="164"/>
        <v>(2022,43,'2022.10.22',4,8,12,40,44,0),</v>
      </c>
      <c r="R3426" s="7" t="str">
        <f t="shared" si="166"/>
        <v>(2022,43,'2022.10.22',4,8,12,40,44),</v>
      </c>
    </row>
    <row r="3427" spans="1:18" x14ac:dyDescent="0.25">
      <c r="A3427" s="11">
        <f t="shared" si="162"/>
        <v>2022</v>
      </c>
      <c r="B3427" s="8">
        <f t="shared" si="163"/>
        <v>44</v>
      </c>
      <c r="C3427" s="10">
        <f t="shared" si="165"/>
        <v>44863</v>
      </c>
      <c r="D3427" t="s">
        <v>11</v>
      </c>
      <c r="E3427" t="s">
        <v>12</v>
      </c>
      <c r="F3427" t="s">
        <v>163</v>
      </c>
      <c r="G3427" t="s">
        <v>5873</v>
      </c>
      <c r="H3427" t="s">
        <v>1543</v>
      </c>
      <c r="I3427" t="s">
        <v>3063</v>
      </c>
      <c r="J3427" t="s">
        <v>5874</v>
      </c>
      <c r="K3427" t="s">
        <v>534</v>
      </c>
      <c r="L3427" s="12" t="s">
        <v>207</v>
      </c>
      <c r="M3427" s="12" t="s">
        <v>42</v>
      </c>
      <c r="N3427" s="12" t="s">
        <v>32</v>
      </c>
      <c r="O3427" s="12" t="s">
        <v>98</v>
      </c>
      <c r="P3427" s="12" t="s">
        <v>175</v>
      </c>
      <c r="Q3427" s="7" t="str">
        <f t="shared" si="164"/>
        <v>(2022,44,'2022.10.29',2,3,22,42,55,0),</v>
      </c>
      <c r="R3427" s="7" t="str">
        <f t="shared" si="166"/>
        <v>(2022,44,'2022.10.29',2,3,22,42,55),</v>
      </c>
    </row>
    <row r="3428" spans="1:18" x14ac:dyDescent="0.25">
      <c r="A3428" s="11">
        <f t="shared" ref="A3428:A3432" si="167">IF(YEAR(C3427)=YEAR(C3428),A3427,A3427+1)</f>
        <v>2022</v>
      </c>
      <c r="B3428" s="8">
        <f t="shared" ref="B3428:B3432" si="168">IF(YEAR(C3427)=YEAR(C3428),B3427+1,1)</f>
        <v>45</v>
      </c>
      <c r="C3428" s="10">
        <f t="shared" ref="C3428:C3432" si="169">+C3427+7</f>
        <v>44870</v>
      </c>
      <c r="D3428" t="s">
        <v>11</v>
      </c>
      <c r="E3428" t="s">
        <v>12</v>
      </c>
      <c r="F3428" t="s">
        <v>90</v>
      </c>
      <c r="G3428" t="s">
        <v>5895</v>
      </c>
      <c r="H3428" t="s">
        <v>2739</v>
      </c>
      <c r="I3428" t="s">
        <v>5896</v>
      </c>
      <c r="J3428" t="s">
        <v>5897</v>
      </c>
      <c r="K3428" t="s">
        <v>5898</v>
      </c>
      <c r="L3428" s="12" t="s">
        <v>54</v>
      </c>
      <c r="M3428" s="12" t="s">
        <v>64</v>
      </c>
      <c r="N3428" s="12" t="s">
        <v>46</v>
      </c>
      <c r="O3428" s="12" t="s">
        <v>192</v>
      </c>
      <c r="P3428" s="12" t="s">
        <v>201</v>
      </c>
      <c r="Q3428" s="7" t="str">
        <f t="shared" si="164"/>
        <v>(2022,45,'2022.11.05',15,35,37,46,72,0),</v>
      </c>
      <c r="R3428" s="7" t="str">
        <f t="shared" si="166"/>
        <v>(2022,45,'2022.11.05',15,35,37,46,72),</v>
      </c>
    </row>
    <row r="3429" spans="1:18" x14ac:dyDescent="0.25">
      <c r="A3429" s="11">
        <f t="shared" si="167"/>
        <v>2022</v>
      </c>
      <c r="B3429" s="8">
        <f t="shared" si="168"/>
        <v>46</v>
      </c>
      <c r="C3429" s="10">
        <f t="shared" si="169"/>
        <v>44877</v>
      </c>
      <c r="D3429" t="s">
        <v>11</v>
      </c>
      <c r="E3429" t="s">
        <v>12</v>
      </c>
      <c r="F3429" t="s">
        <v>163</v>
      </c>
      <c r="G3429" t="s">
        <v>5890</v>
      </c>
      <c r="H3429" t="s">
        <v>5891</v>
      </c>
      <c r="I3429" t="s">
        <v>5892</v>
      </c>
      <c r="J3429" t="s">
        <v>5893</v>
      </c>
      <c r="K3429" t="s">
        <v>5894</v>
      </c>
      <c r="L3429" s="12" t="s">
        <v>43</v>
      </c>
      <c r="M3429" s="12" t="s">
        <v>107</v>
      </c>
      <c r="N3429" s="12" t="s">
        <v>80</v>
      </c>
      <c r="O3429" s="12" t="s">
        <v>169</v>
      </c>
      <c r="P3429" s="12" t="s">
        <v>151</v>
      </c>
      <c r="Q3429" s="7" t="str">
        <f>"("&amp;A3429&amp;","&amp;B3429&amp;",'"&amp;TEXT(C3429,"éééé.hh.nn")&amp;"',"&amp;L3429&amp;","&amp;M3429&amp;","&amp;N3429&amp;","&amp;O3429&amp;","&amp;P3429&amp;",0)"&amp;IF(P3430&lt;&gt;0,",","")</f>
        <v>(2022,46,'2022.11.12',16,30,32,58,79,0),</v>
      </c>
      <c r="R3429" s="7" t="str">
        <f t="shared" si="166"/>
        <v>(2022,46,'2022.11.12',16,30,32,58,79),</v>
      </c>
    </row>
    <row r="3430" spans="1:18" x14ac:dyDescent="0.25">
      <c r="A3430" s="11">
        <f t="shared" si="167"/>
        <v>2022</v>
      </c>
      <c r="B3430" s="8">
        <f t="shared" si="168"/>
        <v>47</v>
      </c>
      <c r="C3430" s="10">
        <f t="shared" si="169"/>
        <v>44884</v>
      </c>
      <c r="D3430" t="s">
        <v>11</v>
      </c>
      <c r="E3430" t="s">
        <v>12</v>
      </c>
      <c r="F3430" t="s">
        <v>36</v>
      </c>
      <c r="G3430" t="s">
        <v>5899</v>
      </c>
      <c r="H3430" t="s">
        <v>5900</v>
      </c>
      <c r="I3430" t="s">
        <v>2463</v>
      </c>
      <c r="J3430" t="s">
        <v>5901</v>
      </c>
      <c r="K3430" t="s">
        <v>5902</v>
      </c>
      <c r="L3430" s="12" t="s">
        <v>89</v>
      </c>
      <c r="M3430" s="12" t="s">
        <v>44</v>
      </c>
      <c r="N3430" s="12" t="s">
        <v>80</v>
      </c>
      <c r="O3430" s="12" t="s">
        <v>36</v>
      </c>
      <c r="P3430" s="12" t="s">
        <v>215</v>
      </c>
      <c r="Q3430" s="7" t="str">
        <f>"("&amp;A3430&amp;","&amp;B3430&amp;",'"&amp;TEXT(C3430,"éééé.hh.nn")&amp;"',"&amp;L3430&amp;","&amp;M3430&amp;","&amp;N3430&amp;","&amp;O3430&amp;","&amp;P3430&amp;",0)"&amp;IF(P3431&lt;&gt;0,",","")</f>
        <v>(2022,47,'2022.11.19',5,21,32,38,81,0),</v>
      </c>
      <c r="R3430" s="7" t="str">
        <f t="shared" si="166"/>
        <v>(2022,47,'2022.11.19',5,21,32,38,81),</v>
      </c>
    </row>
    <row r="3431" spans="1:18" x14ac:dyDescent="0.25">
      <c r="A3431" s="11">
        <f t="shared" si="167"/>
        <v>2022</v>
      </c>
      <c r="B3431" s="8">
        <f t="shared" si="168"/>
        <v>48</v>
      </c>
      <c r="C3431" s="10">
        <f t="shared" si="169"/>
        <v>44891</v>
      </c>
      <c r="D3431" t="s">
        <v>11</v>
      </c>
      <c r="E3431" t="s">
        <v>12</v>
      </c>
      <c r="F3431" t="s">
        <v>33</v>
      </c>
      <c r="G3431" t="s">
        <v>5903</v>
      </c>
      <c r="H3431" t="s">
        <v>1741</v>
      </c>
      <c r="I3431" t="s">
        <v>5904</v>
      </c>
      <c r="J3431" t="s">
        <v>5905</v>
      </c>
      <c r="K3431" t="s">
        <v>5906</v>
      </c>
      <c r="L3431" s="12" t="s">
        <v>168</v>
      </c>
      <c r="M3431" s="12" t="s">
        <v>19</v>
      </c>
      <c r="N3431" s="12" t="s">
        <v>24</v>
      </c>
      <c r="O3431" s="12" t="s">
        <v>13</v>
      </c>
      <c r="P3431" s="12" t="s">
        <v>123</v>
      </c>
      <c r="Q3431" s="7" t="str">
        <f>"("&amp;A3431&amp;","&amp;B3431&amp;",'"&amp;TEXT(C3431,"éééé.hh.nn")&amp;"',"&amp;L3431&amp;","&amp;M3431&amp;","&amp;N3431&amp;","&amp;O3431&amp;","&amp;P3431&amp;",0)"&amp;IF(P3432&lt;&gt;0,",","")</f>
        <v>(2022,48,'2022.11.26',4,18,39,41,54,0),</v>
      </c>
      <c r="R3431" s="7" t="str">
        <f t="shared" si="166"/>
        <v>(2022,48,'2022.11.26',4,18,39,41,54),</v>
      </c>
    </row>
    <row r="3432" spans="1:18" x14ac:dyDescent="0.25">
      <c r="A3432" s="11">
        <f t="shared" si="167"/>
        <v>2022</v>
      </c>
      <c r="B3432" s="8">
        <f t="shared" si="168"/>
        <v>49</v>
      </c>
      <c r="C3432" s="10">
        <f t="shared" si="169"/>
        <v>44898</v>
      </c>
      <c r="D3432" t="s">
        <v>11</v>
      </c>
      <c r="E3432" t="s">
        <v>12</v>
      </c>
      <c r="F3432" t="s">
        <v>33</v>
      </c>
      <c r="G3432" t="s">
        <v>5907</v>
      </c>
      <c r="H3432" t="s">
        <v>5289</v>
      </c>
      <c r="I3432" t="s">
        <v>5908</v>
      </c>
      <c r="J3432" t="s">
        <v>5909</v>
      </c>
      <c r="K3432" t="s">
        <v>5910</v>
      </c>
      <c r="L3432" s="12" t="s">
        <v>232</v>
      </c>
      <c r="M3432" s="12" t="s">
        <v>135</v>
      </c>
      <c r="N3432" s="12" t="s">
        <v>23</v>
      </c>
      <c r="O3432" s="12" t="s">
        <v>56</v>
      </c>
      <c r="P3432" s="12" t="s">
        <v>106</v>
      </c>
      <c r="Q3432" s="7" t="str">
        <f>"("&amp;A3432&amp;","&amp;B3432&amp;",'"&amp;TEXT(C3432,"éééé.hh.nn")&amp;"',"&amp;L3432&amp;","&amp;M3432&amp;","&amp;N3432&amp;","&amp;O3432&amp;","&amp;P3432&amp;",0)"&amp;IF(P3433&lt;&gt;0,",","")</f>
        <v>(2022,49,'2022.12.03',8,27,60,71,75,0),</v>
      </c>
      <c r="R3432" s="7" t="str">
        <f t="shared" si="166"/>
        <v>(2022,49,'2022.12.03',8,27,60,71,75),</v>
      </c>
    </row>
    <row r="3433" spans="1:18" x14ac:dyDescent="0.25">
      <c r="A3433" s="11">
        <f>IF(YEAR(C3432)=YEAR(C3433),A3432,A3432+1)</f>
        <v>2022</v>
      </c>
      <c r="B3433" s="8">
        <f>IF(YEAR(C3432)=YEAR(C3433),B3432+1,1)</f>
        <v>50</v>
      </c>
      <c r="C3433" s="10">
        <f>+C3432+7</f>
        <v>44905</v>
      </c>
      <c r="D3433" t="s">
        <v>11</v>
      </c>
      <c r="E3433" t="s">
        <v>12</v>
      </c>
      <c r="F3433" t="s">
        <v>115</v>
      </c>
      <c r="G3433" t="s">
        <v>5911</v>
      </c>
      <c r="H3433" t="s">
        <v>5912</v>
      </c>
      <c r="I3433" t="s">
        <v>5913</v>
      </c>
      <c r="J3433" t="s">
        <v>5914</v>
      </c>
      <c r="K3433" t="s">
        <v>5915</v>
      </c>
      <c r="L3433" s="12" t="s">
        <v>89</v>
      </c>
      <c r="M3433" s="12" t="s">
        <v>115</v>
      </c>
      <c r="N3433" s="12" t="s">
        <v>46</v>
      </c>
      <c r="O3433" s="12" t="s">
        <v>106</v>
      </c>
      <c r="P3433" s="12" t="s">
        <v>63</v>
      </c>
      <c r="R3433" s="7" t="str">
        <f t="shared" si="166"/>
        <v>(2022,50,'2022.12.10',5,20,37,75,78),</v>
      </c>
    </row>
    <row r="3434" spans="1:18" x14ac:dyDescent="0.25">
      <c r="A3434" s="11">
        <f t="shared" ref="A3434:A3441" si="170">IF(YEAR(C3433)=YEAR(C3434),A3433,A3433+1)</f>
        <v>2022</v>
      </c>
      <c r="B3434" s="8">
        <f t="shared" ref="B3434:B3441" si="171">IF(YEAR(C3433)=YEAR(C3434),B3433+1,1)</f>
        <v>51</v>
      </c>
      <c r="C3434" s="10">
        <f t="shared" ref="C3434:C3495" si="172">+C3433+7</f>
        <v>44912</v>
      </c>
      <c r="D3434" t="s">
        <v>11</v>
      </c>
      <c r="E3434" t="s">
        <v>12</v>
      </c>
      <c r="F3434" t="s">
        <v>83</v>
      </c>
      <c r="G3434" t="s">
        <v>5916</v>
      </c>
      <c r="H3434" t="s">
        <v>5917</v>
      </c>
      <c r="I3434" t="s">
        <v>5918</v>
      </c>
      <c r="J3434" t="s">
        <v>5919</v>
      </c>
      <c r="K3434" t="s">
        <v>5920</v>
      </c>
      <c r="L3434" s="12" t="s">
        <v>89</v>
      </c>
      <c r="M3434" s="12" t="s">
        <v>24</v>
      </c>
      <c r="N3434" s="12" t="s">
        <v>122</v>
      </c>
      <c r="O3434" s="12" t="s">
        <v>125</v>
      </c>
      <c r="P3434" s="12" t="s">
        <v>246</v>
      </c>
      <c r="R3434" s="7" t="str">
        <f t="shared" si="166"/>
        <v>(2022,51,'2022.12.17',5,39,51,83,84),</v>
      </c>
    </row>
    <row r="3435" spans="1:18" x14ac:dyDescent="0.25">
      <c r="A3435" s="11">
        <f t="shared" si="170"/>
        <v>2022</v>
      </c>
      <c r="B3435" s="8">
        <f t="shared" si="171"/>
        <v>52</v>
      </c>
      <c r="C3435" s="10">
        <f t="shared" si="172"/>
        <v>44919</v>
      </c>
      <c r="D3435" t="s">
        <v>11</v>
      </c>
      <c r="E3435" t="s">
        <v>12</v>
      </c>
      <c r="F3435" t="s">
        <v>115</v>
      </c>
      <c r="G3435" t="s">
        <v>5921</v>
      </c>
      <c r="H3435" t="s">
        <v>5922</v>
      </c>
      <c r="I3435" t="s">
        <v>5923</v>
      </c>
      <c r="J3435" t="s">
        <v>5924</v>
      </c>
      <c r="K3435" t="s">
        <v>268</v>
      </c>
      <c r="L3435" s="12" t="s">
        <v>207</v>
      </c>
      <c r="M3435" s="12" t="s">
        <v>168</v>
      </c>
      <c r="N3435" s="12" t="s">
        <v>45</v>
      </c>
      <c r="O3435" s="12" t="s">
        <v>199</v>
      </c>
      <c r="P3435" s="12" t="s">
        <v>200</v>
      </c>
      <c r="R3435" s="7" t="str">
        <f t="shared" si="166"/>
        <v>(2022,52,'2022.12.24',2,4,43,53,70),</v>
      </c>
    </row>
    <row r="3436" spans="1:18" x14ac:dyDescent="0.25">
      <c r="A3436" s="11">
        <f t="shared" si="170"/>
        <v>2022</v>
      </c>
      <c r="B3436" s="8">
        <f t="shared" si="171"/>
        <v>53</v>
      </c>
      <c r="C3436" s="10">
        <f t="shared" si="172"/>
        <v>44926</v>
      </c>
      <c r="D3436" t="s">
        <v>11</v>
      </c>
      <c r="E3436" t="s">
        <v>12</v>
      </c>
      <c r="F3436" t="s">
        <v>46</v>
      </c>
      <c r="G3436" t="s">
        <v>5925</v>
      </c>
      <c r="H3436" t="s">
        <v>5926</v>
      </c>
      <c r="I3436" t="s">
        <v>5927</v>
      </c>
      <c r="J3436" t="s">
        <v>5928</v>
      </c>
      <c r="K3436" t="s">
        <v>5929</v>
      </c>
      <c r="L3436" s="12" t="s">
        <v>89</v>
      </c>
      <c r="M3436" s="12" t="s">
        <v>80</v>
      </c>
      <c r="N3436" s="12" t="s">
        <v>21</v>
      </c>
      <c r="O3436" s="12" t="s">
        <v>22</v>
      </c>
      <c r="P3436" s="12" t="s">
        <v>91</v>
      </c>
      <c r="R3436" s="7" t="str">
        <f t="shared" si="166"/>
        <v>(2022,53,'2022.12.31',5,32,36,48,61),</v>
      </c>
    </row>
    <row r="3437" spans="1:18" x14ac:dyDescent="0.25">
      <c r="A3437" s="11">
        <f t="shared" si="170"/>
        <v>2023</v>
      </c>
      <c r="B3437" s="8">
        <f t="shared" si="171"/>
        <v>1</v>
      </c>
      <c r="C3437" s="10">
        <f t="shared" si="172"/>
        <v>44933</v>
      </c>
      <c r="D3437" t="s">
        <v>108</v>
      </c>
      <c r="E3437" t="s">
        <v>5930</v>
      </c>
      <c r="F3437" t="s">
        <v>36</v>
      </c>
      <c r="G3437" t="s">
        <v>5931</v>
      </c>
      <c r="H3437" t="s">
        <v>5932</v>
      </c>
      <c r="I3437" t="s">
        <v>5933</v>
      </c>
      <c r="J3437" t="s">
        <v>5934</v>
      </c>
      <c r="K3437" t="s">
        <v>5935</v>
      </c>
      <c r="L3437" s="12">
        <v>20</v>
      </c>
      <c r="M3437" s="12">
        <v>58</v>
      </c>
      <c r="N3437" s="12">
        <v>72</v>
      </c>
      <c r="O3437" s="12">
        <v>80</v>
      </c>
      <c r="P3437" s="12">
        <v>90</v>
      </c>
      <c r="R3437" s="7" t="str">
        <f t="shared" si="166"/>
        <v>(2023,1,'2023.01.07',20,58,72,80,90),</v>
      </c>
    </row>
    <row r="3438" spans="1:18" x14ac:dyDescent="0.25">
      <c r="A3438" s="11">
        <f t="shared" si="170"/>
        <v>2023</v>
      </c>
      <c r="B3438" s="8">
        <f t="shared" si="171"/>
        <v>2</v>
      </c>
      <c r="C3438" s="10">
        <f t="shared" si="172"/>
        <v>44940</v>
      </c>
      <c r="D3438" t="s">
        <v>207</v>
      </c>
      <c r="E3438" t="s">
        <v>5936</v>
      </c>
      <c r="F3438" t="s">
        <v>24</v>
      </c>
      <c r="G3438" t="s">
        <v>5937</v>
      </c>
      <c r="H3438" t="s">
        <v>362</v>
      </c>
      <c r="I3438" t="s">
        <v>5938</v>
      </c>
      <c r="J3438" t="s">
        <v>5939</v>
      </c>
      <c r="K3438" t="s">
        <v>5940</v>
      </c>
      <c r="L3438" s="8">
        <v>16</v>
      </c>
      <c r="M3438" s="8">
        <v>25</v>
      </c>
      <c r="N3438" s="8">
        <v>32</v>
      </c>
      <c r="O3438" s="8">
        <v>72</v>
      </c>
      <c r="P3438" s="8">
        <v>85</v>
      </c>
      <c r="R3438" s="7" t="str">
        <f t="shared" si="166"/>
        <v>(2023,2,'2023.01.14',16,25,32,72,85),</v>
      </c>
    </row>
    <row r="3439" spans="1:18" x14ac:dyDescent="0.25">
      <c r="A3439" s="11">
        <f t="shared" si="170"/>
        <v>2023</v>
      </c>
      <c r="B3439" s="8">
        <f t="shared" si="171"/>
        <v>3</v>
      </c>
      <c r="C3439" s="10">
        <f t="shared" si="172"/>
        <v>44947</v>
      </c>
      <c r="D3439" t="s">
        <v>42</v>
      </c>
      <c r="E3439" t="s">
        <v>5941</v>
      </c>
      <c r="F3439" t="s">
        <v>10</v>
      </c>
      <c r="G3439" t="s">
        <v>5942</v>
      </c>
      <c r="H3439" t="s">
        <v>5413</v>
      </c>
      <c r="I3439" t="s">
        <v>5943</v>
      </c>
      <c r="J3439" t="s">
        <v>5944</v>
      </c>
      <c r="K3439" t="s">
        <v>5945</v>
      </c>
      <c r="L3439" s="8">
        <v>11</v>
      </c>
      <c r="M3439" s="8">
        <v>36</v>
      </c>
      <c r="N3439" s="8">
        <v>39</v>
      </c>
      <c r="O3439" s="8">
        <v>68</v>
      </c>
      <c r="P3439" s="8">
        <v>84</v>
      </c>
      <c r="R3439" s="7" t="str">
        <f t="shared" si="166"/>
        <v>(2023,3,'2023.01.21',11,36,39,68,84),</v>
      </c>
    </row>
    <row r="3440" spans="1:18" x14ac:dyDescent="0.25">
      <c r="A3440" s="11">
        <f t="shared" si="170"/>
        <v>2023</v>
      </c>
      <c r="B3440" s="8">
        <f t="shared" si="171"/>
        <v>4</v>
      </c>
      <c r="C3440" s="10">
        <f t="shared" si="172"/>
        <v>44954</v>
      </c>
      <c r="D3440" t="s">
        <v>168</v>
      </c>
      <c r="E3440" t="s">
        <v>5946</v>
      </c>
      <c r="F3440" t="s">
        <v>13</v>
      </c>
      <c r="G3440" t="s">
        <v>5947</v>
      </c>
      <c r="H3440" t="s">
        <v>5948</v>
      </c>
      <c r="I3440" t="s">
        <v>5949</v>
      </c>
      <c r="J3440" t="s">
        <v>5950</v>
      </c>
      <c r="K3440" t="s">
        <v>5951</v>
      </c>
      <c r="L3440" s="8">
        <v>20</v>
      </c>
      <c r="M3440" s="8">
        <v>51</v>
      </c>
      <c r="N3440" s="8">
        <v>54</v>
      </c>
      <c r="O3440" s="8">
        <v>59</v>
      </c>
      <c r="P3440" s="8">
        <v>86</v>
      </c>
      <c r="R3440" s="7" t="str">
        <f t="shared" si="166"/>
        <v>(2023,4,'2023.01.28',20,51,54,59,86),</v>
      </c>
    </row>
    <row r="3441" spans="1:18" x14ac:dyDescent="0.25">
      <c r="A3441" s="11">
        <f t="shared" si="170"/>
        <v>2023</v>
      </c>
      <c r="B3441" s="8">
        <f t="shared" si="171"/>
        <v>5</v>
      </c>
      <c r="C3441" s="10">
        <f t="shared" si="172"/>
        <v>44961</v>
      </c>
      <c r="D3441" t="s">
        <v>89</v>
      </c>
      <c r="E3441" t="s">
        <v>5952</v>
      </c>
      <c r="F3441" t="s">
        <v>98</v>
      </c>
      <c r="G3441" t="s">
        <v>5953</v>
      </c>
      <c r="H3441" t="s">
        <v>5954</v>
      </c>
      <c r="I3441" t="s">
        <v>5955</v>
      </c>
      <c r="J3441" t="s">
        <v>5956</v>
      </c>
      <c r="K3441" t="s">
        <v>5957</v>
      </c>
      <c r="L3441" s="8">
        <v>8</v>
      </c>
      <c r="M3441" s="8">
        <v>15</v>
      </c>
      <c r="N3441" s="8">
        <v>20</v>
      </c>
      <c r="O3441" s="8">
        <v>32</v>
      </c>
      <c r="P3441" s="8">
        <v>34</v>
      </c>
      <c r="R3441" s="7" t="str">
        <f t="shared" si="166"/>
        <v>(2023,5,'2023.02.04',8,15,20,32,34),</v>
      </c>
    </row>
    <row r="3442" spans="1:18" x14ac:dyDescent="0.25">
      <c r="A3442" s="11">
        <f t="shared" ref="A3442:A3452" si="173">IF(YEAR(C3441)=YEAR(C3442),A3441,A3441+1)</f>
        <v>2023</v>
      </c>
      <c r="B3442" s="8">
        <f t="shared" ref="B3442:B3452" si="174">IF(YEAR(C3441)=YEAR(C3442),B3441+1,1)</f>
        <v>6</v>
      </c>
      <c r="C3442" s="10">
        <f t="shared" si="172"/>
        <v>44968</v>
      </c>
      <c r="D3442" t="s">
        <v>270</v>
      </c>
      <c r="E3442" t="s">
        <v>5981</v>
      </c>
      <c r="F3442" t="s">
        <v>45</v>
      </c>
      <c r="G3442" t="s">
        <v>5982</v>
      </c>
      <c r="H3442" t="s">
        <v>1983</v>
      </c>
      <c r="I3442" t="s">
        <v>5983</v>
      </c>
      <c r="J3442" t="s">
        <v>5984</v>
      </c>
      <c r="K3442" t="s">
        <v>5985</v>
      </c>
      <c r="L3442" s="8">
        <v>10</v>
      </c>
      <c r="M3442" s="8">
        <v>32</v>
      </c>
      <c r="N3442" s="8">
        <v>40</v>
      </c>
      <c r="O3442" s="8">
        <v>70</v>
      </c>
      <c r="P3442" s="8">
        <v>82</v>
      </c>
      <c r="R3442" s="7" t="str">
        <f t="shared" si="166"/>
        <v>(2023,6,'2023.02.11',10,32,40,70,82),</v>
      </c>
    </row>
    <row r="3443" spans="1:18" x14ac:dyDescent="0.25">
      <c r="A3443" s="11">
        <f t="shared" si="173"/>
        <v>2023</v>
      </c>
      <c r="B3443" s="8">
        <f t="shared" si="174"/>
        <v>7</v>
      </c>
      <c r="C3443" s="10">
        <f t="shared" si="172"/>
        <v>44975</v>
      </c>
      <c r="D3443" t="s">
        <v>53</v>
      </c>
      <c r="E3443" t="s">
        <v>5986</v>
      </c>
      <c r="F3443" t="s">
        <v>142</v>
      </c>
      <c r="G3443" t="s">
        <v>5987</v>
      </c>
      <c r="H3443" t="s">
        <v>2636</v>
      </c>
      <c r="I3443" t="s">
        <v>5988</v>
      </c>
      <c r="J3443" t="s">
        <v>5989</v>
      </c>
      <c r="K3443" t="s">
        <v>5990</v>
      </c>
      <c r="L3443" s="8">
        <v>28</v>
      </c>
      <c r="M3443" s="8">
        <v>37</v>
      </c>
      <c r="N3443" s="8">
        <v>53</v>
      </c>
      <c r="O3443" s="8">
        <v>68</v>
      </c>
      <c r="P3443" s="8">
        <v>84</v>
      </c>
      <c r="R3443" s="7" t="str">
        <f t="shared" si="166"/>
        <v>(2023,7,'2023.02.18',28,37,53,68,84),</v>
      </c>
    </row>
    <row r="3444" spans="1:18" x14ac:dyDescent="0.25">
      <c r="A3444" s="11">
        <f t="shared" si="173"/>
        <v>2023</v>
      </c>
      <c r="B3444" s="8">
        <f t="shared" si="174"/>
        <v>8</v>
      </c>
      <c r="C3444" s="10">
        <f t="shared" si="172"/>
        <v>44982</v>
      </c>
      <c r="D3444" t="s">
        <v>232</v>
      </c>
      <c r="E3444" t="s">
        <v>5991</v>
      </c>
      <c r="F3444" t="s">
        <v>133</v>
      </c>
      <c r="G3444" t="s">
        <v>5992</v>
      </c>
      <c r="H3444" t="s">
        <v>5993</v>
      </c>
      <c r="I3444" t="s">
        <v>5994</v>
      </c>
      <c r="J3444" t="s">
        <v>5995</v>
      </c>
      <c r="K3444" t="s">
        <v>3162</v>
      </c>
      <c r="L3444" s="8">
        <v>2</v>
      </c>
      <c r="M3444" s="8">
        <v>43</v>
      </c>
      <c r="N3444" s="8">
        <v>72</v>
      </c>
      <c r="O3444" s="8">
        <v>74</v>
      </c>
      <c r="P3444" s="8">
        <v>82</v>
      </c>
      <c r="R3444" s="7" t="str">
        <f t="shared" si="166"/>
        <v>(2023,8,'2023.02.25',2,43,72,74,82),</v>
      </c>
    </row>
    <row r="3445" spans="1:18" x14ac:dyDescent="0.25">
      <c r="A3445" s="11">
        <f t="shared" si="173"/>
        <v>2023</v>
      </c>
      <c r="B3445" s="8">
        <f t="shared" si="174"/>
        <v>9</v>
      </c>
      <c r="C3445" s="10">
        <f t="shared" si="172"/>
        <v>44989</v>
      </c>
      <c r="D3445" t="s">
        <v>198</v>
      </c>
      <c r="E3445" t="s">
        <v>5996</v>
      </c>
      <c r="F3445" t="s">
        <v>192</v>
      </c>
      <c r="G3445" t="s">
        <v>5997</v>
      </c>
      <c r="H3445" t="s">
        <v>5998</v>
      </c>
      <c r="I3445" t="s">
        <v>5999</v>
      </c>
      <c r="J3445" t="s">
        <v>6000</v>
      </c>
      <c r="K3445" t="s">
        <v>6001</v>
      </c>
      <c r="L3445" s="8">
        <v>2</v>
      </c>
      <c r="M3445" s="8">
        <v>4</v>
      </c>
      <c r="N3445" s="8">
        <v>44</v>
      </c>
      <c r="O3445" s="8">
        <v>48</v>
      </c>
      <c r="P3445" s="8">
        <v>73</v>
      </c>
      <c r="R3445" s="7" t="str">
        <f t="shared" si="166"/>
        <v>(2023,9,'2023.03.04',2,4,44,48,73),</v>
      </c>
    </row>
    <row r="3446" spans="1:18" x14ac:dyDescent="0.25">
      <c r="A3446" s="11">
        <f t="shared" si="173"/>
        <v>2023</v>
      </c>
      <c r="B3446" s="8">
        <f t="shared" si="174"/>
        <v>10</v>
      </c>
      <c r="C3446" s="10">
        <f t="shared" si="172"/>
        <v>44996</v>
      </c>
      <c r="D3446" t="s">
        <v>62</v>
      </c>
      <c r="E3446" t="s">
        <v>6002</v>
      </c>
      <c r="F3446" t="s">
        <v>81</v>
      </c>
      <c r="G3446" t="s">
        <v>6003</v>
      </c>
      <c r="H3446" t="s">
        <v>6004</v>
      </c>
      <c r="I3446" t="s">
        <v>6005</v>
      </c>
      <c r="J3446" t="s">
        <v>6006</v>
      </c>
      <c r="K3446" t="s">
        <v>5343</v>
      </c>
      <c r="L3446" s="8">
        <v>25</v>
      </c>
      <c r="M3446" s="8">
        <v>40</v>
      </c>
      <c r="N3446" s="8">
        <v>48</v>
      </c>
      <c r="O3446" s="8">
        <v>68</v>
      </c>
      <c r="P3446" s="8">
        <v>82</v>
      </c>
      <c r="R3446" s="7" t="str">
        <f t="shared" si="166"/>
        <v>(2023,10,'2023.03.11',25,40,48,68,82),</v>
      </c>
    </row>
    <row r="3447" spans="1:18" x14ac:dyDescent="0.25">
      <c r="A3447" s="11">
        <f t="shared" si="173"/>
        <v>2023</v>
      </c>
      <c r="B3447" s="8">
        <f t="shared" si="174"/>
        <v>11</v>
      </c>
      <c r="C3447" s="10">
        <f t="shared" si="172"/>
        <v>45003</v>
      </c>
      <c r="D3447" t="s">
        <v>83</v>
      </c>
      <c r="E3447" t="s">
        <v>6007</v>
      </c>
      <c r="F3447" t="s">
        <v>22</v>
      </c>
      <c r="G3447" t="s">
        <v>6008</v>
      </c>
      <c r="H3447" t="s">
        <v>6009</v>
      </c>
      <c r="I3447" t="s">
        <v>6010</v>
      </c>
      <c r="J3447" t="s">
        <v>6011</v>
      </c>
      <c r="K3447" t="s">
        <v>6012</v>
      </c>
      <c r="L3447" s="8">
        <v>27</v>
      </c>
      <c r="M3447" s="8">
        <v>50</v>
      </c>
      <c r="N3447" s="8">
        <v>65</v>
      </c>
      <c r="O3447" s="8">
        <v>67</v>
      </c>
      <c r="P3447" s="8">
        <v>83</v>
      </c>
      <c r="R3447" s="7" t="str">
        <f t="shared" si="166"/>
        <v>(2023,11,'2023.03.18',27,50,65,67,83),</v>
      </c>
    </row>
    <row r="3448" spans="1:18" x14ac:dyDescent="0.25">
      <c r="A3448" s="11">
        <f t="shared" si="173"/>
        <v>2023</v>
      </c>
      <c r="B3448" s="8">
        <f t="shared" si="174"/>
        <v>12</v>
      </c>
      <c r="C3448" s="10">
        <f t="shared" si="172"/>
        <v>45010</v>
      </c>
      <c r="D3448" t="s">
        <v>31</v>
      </c>
      <c r="E3448" t="s">
        <v>6013</v>
      </c>
      <c r="F3448" t="s">
        <v>34</v>
      </c>
      <c r="G3448" t="s">
        <v>6014</v>
      </c>
      <c r="H3448" t="s">
        <v>2006</v>
      </c>
      <c r="I3448" t="s">
        <v>6015</v>
      </c>
      <c r="J3448" t="s">
        <v>6016</v>
      </c>
      <c r="K3448" t="s">
        <v>6017</v>
      </c>
      <c r="L3448" s="8">
        <v>13</v>
      </c>
      <c r="M3448" s="8">
        <v>24</v>
      </c>
      <c r="N3448" s="8">
        <v>34</v>
      </c>
      <c r="O3448" s="8">
        <v>45</v>
      </c>
      <c r="P3448" s="8">
        <v>59</v>
      </c>
      <c r="R3448" s="7" t="str">
        <f t="shared" si="166"/>
        <v>(2023,12,'2023.03.25',13,24,34,45,59),</v>
      </c>
    </row>
    <row r="3449" spans="1:18" x14ac:dyDescent="0.25">
      <c r="A3449" s="11">
        <f t="shared" si="173"/>
        <v>2023</v>
      </c>
      <c r="B3449" s="8">
        <f t="shared" si="174"/>
        <v>13</v>
      </c>
      <c r="C3449" s="10">
        <f t="shared" si="172"/>
        <v>45017</v>
      </c>
      <c r="D3449" t="s">
        <v>65</v>
      </c>
      <c r="E3449" t="s">
        <v>6018</v>
      </c>
      <c r="F3449" t="s">
        <v>105</v>
      </c>
      <c r="G3449" t="s">
        <v>6019</v>
      </c>
      <c r="H3449" t="s">
        <v>6020</v>
      </c>
      <c r="I3449" t="s">
        <v>6021</v>
      </c>
      <c r="J3449" t="s">
        <v>6022</v>
      </c>
      <c r="K3449" t="s">
        <v>6023</v>
      </c>
      <c r="L3449" s="8">
        <v>6</v>
      </c>
      <c r="M3449" s="8">
        <v>9</v>
      </c>
      <c r="N3449" s="8">
        <v>35</v>
      </c>
      <c r="O3449" s="8">
        <v>79</v>
      </c>
      <c r="P3449" s="8">
        <v>85</v>
      </c>
      <c r="R3449" s="7" t="str">
        <f t="shared" si="166"/>
        <v>(2023,13,'2023.04.01',6,9,35,79,85),</v>
      </c>
    </row>
    <row r="3450" spans="1:18" x14ac:dyDescent="0.25">
      <c r="A3450" s="11">
        <f t="shared" si="173"/>
        <v>2023</v>
      </c>
      <c r="B3450" s="8">
        <f t="shared" si="174"/>
        <v>14</v>
      </c>
      <c r="C3450" s="10">
        <f t="shared" si="172"/>
        <v>45024</v>
      </c>
      <c r="D3450" t="s">
        <v>127</v>
      </c>
      <c r="E3450" t="s">
        <v>6024</v>
      </c>
      <c r="F3450" t="s">
        <v>122</v>
      </c>
      <c r="G3450" t="s">
        <v>6025</v>
      </c>
      <c r="H3450" t="s">
        <v>6026</v>
      </c>
      <c r="I3450" t="s">
        <v>6027</v>
      </c>
      <c r="J3450" t="s">
        <v>6028</v>
      </c>
      <c r="K3450" t="s">
        <v>6029</v>
      </c>
      <c r="L3450" s="8">
        <v>19</v>
      </c>
      <c r="M3450" s="8">
        <v>38</v>
      </c>
      <c r="N3450" s="8">
        <v>53</v>
      </c>
      <c r="O3450" s="8">
        <v>58</v>
      </c>
      <c r="P3450" s="8">
        <v>71</v>
      </c>
      <c r="R3450" s="7" t="str">
        <f t="shared" si="166"/>
        <v>(2023,14,'2023.04.08',19,38,53,58,71),</v>
      </c>
    </row>
    <row r="3451" spans="1:18" x14ac:dyDescent="0.25">
      <c r="A3451" s="11">
        <f t="shared" si="173"/>
        <v>2023</v>
      </c>
      <c r="B3451" s="8">
        <f t="shared" si="174"/>
        <v>15</v>
      </c>
      <c r="C3451" s="10">
        <f t="shared" si="172"/>
        <v>45031</v>
      </c>
      <c r="D3451" t="s">
        <v>54</v>
      </c>
      <c r="E3451" t="s">
        <v>6030</v>
      </c>
      <c r="F3451" t="s">
        <v>99</v>
      </c>
      <c r="G3451" t="s">
        <v>6031</v>
      </c>
      <c r="H3451" t="s">
        <v>6032</v>
      </c>
      <c r="I3451" t="s">
        <v>6033</v>
      </c>
      <c r="J3451" t="s">
        <v>6034</v>
      </c>
      <c r="K3451" t="s">
        <v>6035</v>
      </c>
      <c r="L3451" s="8">
        <v>15</v>
      </c>
      <c r="M3451" s="8">
        <v>27</v>
      </c>
      <c r="N3451" s="8">
        <v>54</v>
      </c>
      <c r="O3451" s="8">
        <v>62</v>
      </c>
      <c r="P3451" s="8">
        <v>76</v>
      </c>
      <c r="R3451" s="7" t="str">
        <f t="shared" si="166"/>
        <v>(2023,15,'2023.04.15',15,27,54,62,76),</v>
      </c>
    </row>
    <row r="3452" spans="1:18" x14ac:dyDescent="0.25">
      <c r="A3452" s="11">
        <f t="shared" si="173"/>
        <v>2023</v>
      </c>
      <c r="B3452" s="8">
        <f t="shared" si="174"/>
        <v>16</v>
      </c>
      <c r="C3452" s="10">
        <f t="shared" si="172"/>
        <v>45038</v>
      </c>
      <c r="D3452" t="s">
        <v>43</v>
      </c>
      <c r="E3452" t="s">
        <v>6036</v>
      </c>
      <c r="F3452" t="s">
        <v>199</v>
      </c>
      <c r="G3452" t="s">
        <v>6037</v>
      </c>
      <c r="H3452" t="s">
        <v>6038</v>
      </c>
      <c r="I3452" t="s">
        <v>6039</v>
      </c>
      <c r="J3452" t="s">
        <v>6040</v>
      </c>
      <c r="K3452" t="s">
        <v>6041</v>
      </c>
      <c r="L3452" s="8">
        <v>10</v>
      </c>
      <c r="M3452" s="8">
        <v>17</v>
      </c>
      <c r="N3452" s="8">
        <v>25</v>
      </c>
      <c r="O3452" s="8">
        <v>30</v>
      </c>
      <c r="P3452" s="8">
        <v>83</v>
      </c>
      <c r="R3452" s="7" t="str">
        <f t="shared" si="166"/>
        <v>(2023,16,'2023.04.22',10,17,25,30,83),</v>
      </c>
    </row>
    <row r="3453" spans="1:18" x14ac:dyDescent="0.25">
      <c r="A3453" s="11">
        <f t="shared" ref="A3453:A3495" si="175">IF(YEAR(C3452)=YEAR(C3453),A3452,A3452+1)</f>
        <v>2023</v>
      </c>
      <c r="B3453" s="8">
        <f t="shared" ref="B3453:B3495" si="176">IF(YEAR(C3452)=YEAR(C3453),B3452+1,1)</f>
        <v>17</v>
      </c>
      <c r="C3453" s="10">
        <f t="shared" si="172"/>
        <v>45045</v>
      </c>
      <c r="D3453" t="s">
        <v>90</v>
      </c>
      <c r="E3453" t="s">
        <v>6042</v>
      </c>
      <c r="F3453" t="s">
        <v>123</v>
      </c>
      <c r="G3453" t="s">
        <v>6043</v>
      </c>
      <c r="H3453" t="s">
        <v>1221</v>
      </c>
      <c r="I3453" t="s">
        <v>6044</v>
      </c>
      <c r="J3453" t="s">
        <v>6045</v>
      </c>
      <c r="K3453" t="s">
        <v>6046</v>
      </c>
      <c r="L3453" s="8">
        <v>7</v>
      </c>
      <c r="M3453" s="8">
        <v>13</v>
      </c>
      <c r="N3453" s="8">
        <v>28</v>
      </c>
      <c r="O3453" s="8">
        <v>47</v>
      </c>
      <c r="P3453" s="8">
        <v>58</v>
      </c>
      <c r="R3453" s="7" t="str">
        <f t="shared" si="166"/>
        <v>(2023,17,'2023.04.29',7,13,28,47,58),</v>
      </c>
    </row>
    <row r="3454" spans="1:18" x14ac:dyDescent="0.25">
      <c r="A3454" s="11">
        <f t="shared" si="175"/>
        <v>2023</v>
      </c>
      <c r="B3454" s="8">
        <f t="shared" si="176"/>
        <v>18</v>
      </c>
      <c r="C3454" s="10">
        <f t="shared" si="172"/>
        <v>45052</v>
      </c>
      <c r="D3454" t="s">
        <v>19</v>
      </c>
      <c r="E3454" t="s">
        <v>6047</v>
      </c>
      <c r="F3454" t="s">
        <v>175</v>
      </c>
      <c r="G3454" t="s">
        <v>6048</v>
      </c>
      <c r="H3454" t="s">
        <v>4806</v>
      </c>
      <c r="I3454" t="s">
        <v>6049</v>
      </c>
      <c r="J3454" t="s">
        <v>6050</v>
      </c>
      <c r="K3454" t="s">
        <v>6051</v>
      </c>
      <c r="L3454" s="8">
        <v>7</v>
      </c>
      <c r="M3454" s="8">
        <v>11</v>
      </c>
      <c r="N3454" s="8">
        <v>15</v>
      </c>
      <c r="O3454" s="8">
        <v>55</v>
      </c>
      <c r="P3454" s="8">
        <v>74</v>
      </c>
      <c r="R3454" s="7" t="str">
        <f t="shared" si="166"/>
        <v>(2023,18,'2023.05.06',7,11,15,55,74),</v>
      </c>
    </row>
    <row r="3455" spans="1:18" x14ac:dyDescent="0.25">
      <c r="A3455" s="11">
        <f t="shared" si="175"/>
        <v>2023</v>
      </c>
      <c r="B3455" s="8">
        <f t="shared" si="176"/>
        <v>19</v>
      </c>
      <c r="C3455" s="10">
        <f t="shared" si="172"/>
        <v>45059</v>
      </c>
      <c r="D3455" t="s">
        <v>55</v>
      </c>
      <c r="E3455" t="s">
        <v>6052</v>
      </c>
      <c r="F3455" t="s">
        <v>134</v>
      </c>
      <c r="G3455" t="s">
        <v>6053</v>
      </c>
      <c r="H3455" t="s">
        <v>1283</v>
      </c>
      <c r="I3455" t="s">
        <v>6054</v>
      </c>
      <c r="J3455" t="s">
        <v>6055</v>
      </c>
      <c r="K3455" t="s">
        <v>6056</v>
      </c>
      <c r="L3455" s="8">
        <v>35</v>
      </c>
      <c r="M3455" s="8">
        <v>39</v>
      </c>
      <c r="N3455" s="8">
        <v>80</v>
      </c>
      <c r="O3455" s="8">
        <v>88</v>
      </c>
      <c r="P3455" s="8">
        <v>90</v>
      </c>
      <c r="R3455" s="7" t="str">
        <f t="shared" si="166"/>
        <v>(2023,19,'2023.05.13',35,39,80,88,90),</v>
      </c>
    </row>
    <row r="3456" spans="1:18" x14ac:dyDescent="0.25">
      <c r="A3456" s="11">
        <f t="shared" si="175"/>
        <v>2023</v>
      </c>
      <c r="B3456" s="8">
        <f t="shared" si="176"/>
        <v>20</v>
      </c>
      <c r="C3456" s="10">
        <f t="shared" si="172"/>
        <v>45066</v>
      </c>
      <c r="D3456" t="s">
        <v>115</v>
      </c>
      <c r="E3456" t="s">
        <v>6057</v>
      </c>
      <c r="F3456" t="s">
        <v>150</v>
      </c>
      <c r="G3456" t="s">
        <v>6058</v>
      </c>
      <c r="H3456" t="s">
        <v>6059</v>
      </c>
      <c r="I3456" t="s">
        <v>6060</v>
      </c>
      <c r="J3456" t="s">
        <v>6061</v>
      </c>
      <c r="K3456" t="s">
        <v>6062</v>
      </c>
      <c r="L3456" s="8">
        <v>1</v>
      </c>
      <c r="M3456" s="8">
        <v>20</v>
      </c>
      <c r="N3456" s="8">
        <v>42</v>
      </c>
      <c r="O3456" s="8">
        <v>43</v>
      </c>
      <c r="P3456" s="8">
        <v>62</v>
      </c>
      <c r="R3456" s="7" t="str">
        <f t="shared" si="166"/>
        <v>(2023,20,'2023.05.20',1,20,42,43,62),</v>
      </c>
    </row>
    <row r="3457" spans="1:18" x14ac:dyDescent="0.25">
      <c r="A3457" s="11">
        <f t="shared" si="175"/>
        <v>2023</v>
      </c>
      <c r="B3457" s="8">
        <f t="shared" si="176"/>
        <v>21</v>
      </c>
      <c r="C3457" s="10">
        <f t="shared" si="172"/>
        <v>45073</v>
      </c>
      <c r="D3457" t="s">
        <v>44</v>
      </c>
      <c r="E3457" t="s">
        <v>6063</v>
      </c>
      <c r="F3457" t="s">
        <v>169</v>
      </c>
      <c r="G3457" t="s">
        <v>6064</v>
      </c>
      <c r="H3457" t="s">
        <v>1741</v>
      </c>
      <c r="I3457" t="s">
        <v>6065</v>
      </c>
      <c r="J3457" t="s">
        <v>6066</v>
      </c>
      <c r="K3457" t="s">
        <v>850</v>
      </c>
      <c r="L3457" s="8">
        <v>15</v>
      </c>
      <c r="M3457" s="8">
        <v>26</v>
      </c>
      <c r="N3457" s="8">
        <v>29</v>
      </c>
      <c r="O3457" s="8">
        <v>50</v>
      </c>
      <c r="P3457" s="8">
        <v>70</v>
      </c>
      <c r="R3457" s="7" t="str">
        <f t="shared" si="166"/>
        <v>(2023,21,'2023.05.27',15,26,29,50,70),</v>
      </c>
    </row>
    <row r="3458" spans="1:18" x14ac:dyDescent="0.25">
      <c r="A3458" s="11">
        <f t="shared" si="175"/>
        <v>2023</v>
      </c>
      <c r="B3458" s="8">
        <f t="shared" si="176"/>
        <v>22</v>
      </c>
      <c r="C3458" s="10">
        <f t="shared" si="172"/>
        <v>45080</v>
      </c>
      <c r="D3458" t="s">
        <v>32</v>
      </c>
      <c r="E3458" t="s">
        <v>6067</v>
      </c>
      <c r="F3458" t="s">
        <v>82</v>
      </c>
      <c r="G3458" t="s">
        <v>6068</v>
      </c>
      <c r="H3458" t="s">
        <v>3227</v>
      </c>
      <c r="I3458" t="s">
        <v>6069</v>
      </c>
      <c r="J3458" t="s">
        <v>6070</v>
      </c>
      <c r="K3458" t="s">
        <v>6071</v>
      </c>
      <c r="L3458" s="8">
        <v>29</v>
      </c>
      <c r="M3458" s="8">
        <v>35</v>
      </c>
      <c r="N3458" s="8">
        <v>36</v>
      </c>
      <c r="O3458" s="8">
        <v>48</v>
      </c>
      <c r="P3458" s="8">
        <v>83</v>
      </c>
      <c r="R3458" s="7" t="str">
        <f t="shared" si="166"/>
        <v>(2023,22,'2023.06.03',29,35,36,48,83),</v>
      </c>
    </row>
    <row r="3459" spans="1:18" x14ac:dyDescent="0.25">
      <c r="A3459" s="11">
        <f t="shared" si="175"/>
        <v>2023</v>
      </c>
      <c r="B3459" s="8">
        <f t="shared" si="176"/>
        <v>23</v>
      </c>
      <c r="C3459" s="10">
        <f t="shared" si="172"/>
        <v>45087</v>
      </c>
      <c r="D3459" t="s">
        <v>163</v>
      </c>
      <c r="E3459" t="s">
        <v>6072</v>
      </c>
      <c r="F3459" t="s">
        <v>23</v>
      </c>
      <c r="G3459" t="s">
        <v>6073</v>
      </c>
      <c r="H3459" t="s">
        <v>1173</v>
      </c>
      <c r="I3459" t="s">
        <v>6074</v>
      </c>
      <c r="J3459" t="s">
        <v>6075</v>
      </c>
      <c r="K3459" t="s">
        <v>6076</v>
      </c>
      <c r="L3459" s="8">
        <v>24</v>
      </c>
      <c r="M3459" s="8">
        <v>27</v>
      </c>
      <c r="N3459" s="8">
        <v>50</v>
      </c>
      <c r="O3459" s="8">
        <v>54</v>
      </c>
      <c r="P3459" s="8">
        <v>71</v>
      </c>
      <c r="R3459" s="7" t="str">
        <f t="shared" ref="R3459:R3495" si="177">IF(TRIM(P3459)="","","("&amp;A3459&amp;","&amp;B3459&amp;",'"&amp;TEXT(C3459,"éééé.hh.nn")&amp;"',"&amp;L3459&amp;","&amp;M3459&amp;","&amp;N3459&amp;","&amp;O3459&amp;","&amp;P3459&amp;")"&amp;IF(P3460=0,";",","))</f>
        <v>(2023,23,'2023.06.10',24,27,50,54,71),</v>
      </c>
    </row>
    <row r="3460" spans="1:18" x14ac:dyDescent="0.25">
      <c r="A3460" s="11">
        <f t="shared" si="175"/>
        <v>2023</v>
      </c>
      <c r="B3460" s="8">
        <f t="shared" si="176"/>
        <v>24</v>
      </c>
      <c r="C3460" s="10">
        <f t="shared" si="172"/>
        <v>45094</v>
      </c>
      <c r="D3460" t="s">
        <v>33</v>
      </c>
      <c r="E3460" t="s">
        <v>6077</v>
      </c>
      <c r="F3460" t="s">
        <v>91</v>
      </c>
      <c r="G3460" t="s">
        <v>6078</v>
      </c>
      <c r="H3460" t="s">
        <v>6079</v>
      </c>
      <c r="I3460" t="s">
        <v>6080</v>
      </c>
      <c r="J3460" t="s">
        <v>6081</v>
      </c>
      <c r="K3460" t="s">
        <v>6082</v>
      </c>
      <c r="L3460" s="8">
        <v>12</v>
      </c>
      <c r="M3460" s="8">
        <v>37</v>
      </c>
      <c r="N3460" s="8">
        <v>50</v>
      </c>
      <c r="O3460" s="8">
        <v>74</v>
      </c>
      <c r="P3460" s="8">
        <v>77</v>
      </c>
      <c r="R3460" s="7" t="str">
        <f t="shared" si="177"/>
        <v>(2023,24,'2023.06.17',12,37,50,74,77),</v>
      </c>
    </row>
    <row r="3461" spans="1:18" x14ac:dyDescent="0.25">
      <c r="A3461" s="11">
        <f t="shared" si="175"/>
        <v>2023</v>
      </c>
      <c r="B3461" s="8">
        <f t="shared" si="176"/>
        <v>25</v>
      </c>
      <c r="C3461" s="10">
        <f t="shared" si="172"/>
        <v>45101</v>
      </c>
      <c r="D3461" t="s">
        <v>152</v>
      </c>
      <c r="E3461" t="s">
        <v>6083</v>
      </c>
      <c r="F3461" t="s">
        <v>124</v>
      </c>
      <c r="G3461" t="s">
        <v>6084</v>
      </c>
      <c r="H3461" t="s">
        <v>6085</v>
      </c>
      <c r="I3461" t="s">
        <v>6086</v>
      </c>
      <c r="J3461" t="s">
        <v>6087</v>
      </c>
      <c r="K3461" t="s">
        <v>6088</v>
      </c>
      <c r="L3461" s="8">
        <v>25</v>
      </c>
      <c r="M3461" s="8">
        <v>36</v>
      </c>
      <c r="N3461" s="8">
        <v>38</v>
      </c>
      <c r="O3461" s="8">
        <v>51</v>
      </c>
      <c r="P3461" s="8">
        <v>89</v>
      </c>
      <c r="R3461" s="7" t="str">
        <f t="shared" si="177"/>
        <v>(2023,25,'2023.06.24',25,36,38,51,89),</v>
      </c>
    </row>
    <row r="3462" spans="1:18" x14ac:dyDescent="0.25">
      <c r="A3462" s="11">
        <f t="shared" si="175"/>
        <v>2023</v>
      </c>
      <c r="B3462" s="8">
        <f t="shared" si="176"/>
        <v>26</v>
      </c>
      <c r="C3462" s="10">
        <f t="shared" si="172"/>
        <v>45108</v>
      </c>
      <c r="D3462" t="s">
        <v>74</v>
      </c>
      <c r="E3462" t="s">
        <v>6089</v>
      </c>
      <c r="F3462" t="s">
        <v>248</v>
      </c>
      <c r="G3462" t="s">
        <v>6090</v>
      </c>
      <c r="H3462" t="s">
        <v>3947</v>
      </c>
      <c r="I3462" t="s">
        <v>6091</v>
      </c>
      <c r="J3462" t="s">
        <v>6092</v>
      </c>
      <c r="K3462" t="s">
        <v>6093</v>
      </c>
      <c r="L3462" s="8">
        <v>18</v>
      </c>
      <c r="M3462" s="8">
        <v>42</v>
      </c>
      <c r="N3462" s="8">
        <v>44</v>
      </c>
      <c r="O3462" s="8">
        <v>48</v>
      </c>
      <c r="P3462" s="8">
        <v>86</v>
      </c>
      <c r="R3462" s="7" t="str">
        <f t="shared" si="177"/>
        <v>(2023,26,'2023.07.01',18,42,44,48,86),</v>
      </c>
    </row>
    <row r="3463" spans="1:18" x14ac:dyDescent="0.25">
      <c r="A3463" s="11">
        <f t="shared" si="175"/>
        <v>2023</v>
      </c>
      <c r="B3463" s="8">
        <f t="shared" si="176"/>
        <v>27</v>
      </c>
      <c r="C3463" s="10">
        <f t="shared" si="172"/>
        <v>45115</v>
      </c>
      <c r="D3463" t="s">
        <v>135</v>
      </c>
      <c r="E3463" t="s">
        <v>6094</v>
      </c>
      <c r="F3463" t="s">
        <v>214</v>
      </c>
      <c r="G3463" t="s">
        <v>6095</v>
      </c>
      <c r="H3463" t="s">
        <v>5086</v>
      </c>
      <c r="I3463" t="s">
        <v>6096</v>
      </c>
      <c r="J3463" t="s">
        <v>6097</v>
      </c>
      <c r="K3463" t="s">
        <v>6098</v>
      </c>
      <c r="L3463" s="8">
        <v>4</v>
      </c>
      <c r="M3463" s="8">
        <v>17</v>
      </c>
      <c r="N3463" s="8">
        <v>55</v>
      </c>
      <c r="O3463" s="8">
        <v>67</v>
      </c>
      <c r="P3463" s="8">
        <v>89</v>
      </c>
      <c r="R3463" s="7" t="str">
        <f t="shared" si="177"/>
        <v>(2023,27,'2023.07.08',4,17,55,67,89),</v>
      </c>
    </row>
    <row r="3464" spans="1:18" x14ac:dyDescent="0.25">
      <c r="A3464" s="11">
        <f t="shared" si="175"/>
        <v>2023</v>
      </c>
      <c r="B3464" s="8">
        <f t="shared" si="176"/>
        <v>28</v>
      </c>
      <c r="C3464" s="10">
        <f t="shared" si="172"/>
        <v>45122</v>
      </c>
      <c r="D3464" t="s">
        <v>126</v>
      </c>
      <c r="E3464" t="s">
        <v>6099</v>
      </c>
      <c r="F3464" t="s">
        <v>35</v>
      </c>
      <c r="G3464" t="s">
        <v>6100</v>
      </c>
      <c r="H3464" t="s">
        <v>694</v>
      </c>
      <c r="I3464" t="s">
        <v>6101</v>
      </c>
      <c r="J3464" t="s">
        <v>6102</v>
      </c>
      <c r="K3464" t="s">
        <v>6103</v>
      </c>
      <c r="L3464" s="8">
        <v>27</v>
      </c>
      <c r="M3464" s="8">
        <v>56</v>
      </c>
      <c r="N3464" s="8">
        <v>75</v>
      </c>
      <c r="O3464" s="8">
        <v>76</v>
      </c>
      <c r="P3464" s="8">
        <v>81</v>
      </c>
      <c r="R3464" s="7" t="str">
        <f t="shared" si="177"/>
        <v>(2023,28,'2023.07.15',27,56,75,76,81),</v>
      </c>
    </row>
    <row r="3465" spans="1:18" x14ac:dyDescent="0.25">
      <c r="A3465" s="11">
        <f t="shared" si="175"/>
        <v>2023</v>
      </c>
      <c r="B3465" s="8">
        <f t="shared" si="176"/>
        <v>29</v>
      </c>
      <c r="C3465" s="10">
        <f t="shared" si="172"/>
        <v>45129</v>
      </c>
      <c r="D3465" t="s">
        <v>116</v>
      </c>
      <c r="E3465" t="s">
        <v>6104</v>
      </c>
      <c r="F3465" t="s">
        <v>233</v>
      </c>
      <c r="G3465" t="s">
        <v>6105</v>
      </c>
      <c r="H3465" t="s">
        <v>6106</v>
      </c>
      <c r="I3465" t="s">
        <v>6107</v>
      </c>
      <c r="J3465" t="s">
        <v>6108</v>
      </c>
      <c r="K3465" t="s">
        <v>6109</v>
      </c>
      <c r="L3465" s="8">
        <v>20</v>
      </c>
      <c r="M3465" s="8">
        <v>25</v>
      </c>
      <c r="N3465" s="8">
        <v>30</v>
      </c>
      <c r="O3465" s="8">
        <v>35</v>
      </c>
      <c r="P3465" s="8">
        <v>73</v>
      </c>
      <c r="R3465" s="7" t="str">
        <f t="shared" si="177"/>
        <v>(2023,29,'2023.07.22',20,25,30,35,73),</v>
      </c>
    </row>
    <row r="3466" spans="1:18" x14ac:dyDescent="0.25">
      <c r="A3466" s="11">
        <f t="shared" si="175"/>
        <v>2023</v>
      </c>
      <c r="B3466" s="8">
        <f t="shared" si="176"/>
        <v>30</v>
      </c>
      <c r="C3466" s="10">
        <f t="shared" si="172"/>
        <v>45136</v>
      </c>
      <c r="D3466" t="s">
        <v>107</v>
      </c>
      <c r="E3466" t="s">
        <v>6110</v>
      </c>
      <c r="F3466" t="s">
        <v>72</v>
      </c>
      <c r="G3466" t="s">
        <v>6111</v>
      </c>
      <c r="H3466" t="s">
        <v>6112</v>
      </c>
      <c r="I3466" t="s">
        <v>6113</v>
      </c>
      <c r="J3466" t="s">
        <v>1555</v>
      </c>
      <c r="K3466" t="s">
        <v>6114</v>
      </c>
      <c r="L3466" s="8">
        <v>10</v>
      </c>
      <c r="M3466" s="8">
        <v>22</v>
      </c>
      <c r="N3466" s="8">
        <v>23</v>
      </c>
      <c r="O3466" s="8">
        <v>50</v>
      </c>
      <c r="P3466" s="8">
        <v>61</v>
      </c>
      <c r="R3466" s="7" t="str">
        <f t="shared" si="177"/>
        <v>(2023,30,'2023.07.29',10,22,23,50,61),</v>
      </c>
    </row>
    <row r="3467" spans="1:18" x14ac:dyDescent="0.25">
      <c r="A3467" s="11">
        <f t="shared" si="175"/>
        <v>2023</v>
      </c>
      <c r="B3467" s="8">
        <f t="shared" si="176"/>
        <v>31</v>
      </c>
      <c r="C3467" s="10">
        <f t="shared" si="172"/>
        <v>45143</v>
      </c>
      <c r="D3467" t="s">
        <v>71</v>
      </c>
      <c r="E3467" t="s">
        <v>6115</v>
      </c>
      <c r="F3467" t="s">
        <v>92</v>
      </c>
      <c r="G3467" t="s">
        <v>6116</v>
      </c>
      <c r="H3467" t="s">
        <v>6117</v>
      </c>
      <c r="I3467" t="s">
        <v>6118</v>
      </c>
      <c r="J3467" t="s">
        <v>6119</v>
      </c>
      <c r="K3467" t="s">
        <v>6120</v>
      </c>
      <c r="L3467" s="8">
        <v>1</v>
      </c>
      <c r="M3467" s="8">
        <v>4</v>
      </c>
      <c r="N3467" s="8">
        <v>33</v>
      </c>
      <c r="O3467" s="8">
        <v>43</v>
      </c>
      <c r="P3467" s="8">
        <v>65</v>
      </c>
      <c r="R3467" s="7" t="str">
        <f t="shared" si="177"/>
        <v>(2023,31,'2023.08.05',1,4,33,43,65),</v>
      </c>
    </row>
    <row r="3468" spans="1:18" x14ac:dyDescent="0.25">
      <c r="A3468" s="11">
        <f t="shared" si="175"/>
        <v>2023</v>
      </c>
      <c r="B3468" s="8">
        <f t="shared" si="176"/>
        <v>32</v>
      </c>
      <c r="C3468" s="10">
        <f t="shared" si="172"/>
        <v>45150</v>
      </c>
      <c r="D3468" t="s">
        <v>80</v>
      </c>
      <c r="E3468" t="s">
        <v>6121</v>
      </c>
      <c r="F3468" t="s">
        <v>47</v>
      </c>
      <c r="G3468" t="s">
        <v>6122</v>
      </c>
      <c r="H3468" t="s">
        <v>6123</v>
      </c>
      <c r="I3468" t="s">
        <v>6124</v>
      </c>
      <c r="J3468" t="s">
        <v>6125</v>
      </c>
      <c r="K3468" t="s">
        <v>6126</v>
      </c>
      <c r="L3468" s="8">
        <v>16</v>
      </c>
      <c r="M3468" s="8">
        <v>65</v>
      </c>
      <c r="N3468" s="8">
        <v>68</v>
      </c>
      <c r="O3468" s="8">
        <v>70</v>
      </c>
      <c r="P3468" s="8">
        <v>90</v>
      </c>
      <c r="R3468" s="7" t="str">
        <f t="shared" si="177"/>
        <v>(2023,32,'2023.08.12',16,65,68,70,90),</v>
      </c>
    </row>
    <row r="3469" spans="1:18" x14ac:dyDescent="0.25">
      <c r="A3469" s="11">
        <f t="shared" si="175"/>
        <v>2023</v>
      </c>
      <c r="B3469" s="8">
        <f t="shared" si="176"/>
        <v>33</v>
      </c>
      <c r="C3469" s="10">
        <f t="shared" si="172"/>
        <v>45157</v>
      </c>
      <c r="D3469" t="s">
        <v>20</v>
      </c>
      <c r="E3469" t="s">
        <v>6127</v>
      </c>
      <c r="F3469" t="s">
        <v>200</v>
      </c>
      <c r="G3469" t="s">
        <v>6128</v>
      </c>
      <c r="H3469" t="s">
        <v>6129</v>
      </c>
      <c r="I3469" t="s">
        <v>6130</v>
      </c>
      <c r="J3469" t="s">
        <v>6131</v>
      </c>
      <c r="K3469" t="s">
        <v>6132</v>
      </c>
      <c r="L3469" s="8">
        <v>22</v>
      </c>
      <c r="M3469" s="8">
        <v>46</v>
      </c>
      <c r="N3469" s="8">
        <v>53</v>
      </c>
      <c r="O3469" s="8">
        <v>56</v>
      </c>
      <c r="P3469" s="8">
        <v>67</v>
      </c>
      <c r="R3469" s="7" t="str">
        <f t="shared" si="177"/>
        <v>(2023,33,'2023.08.19',22,46,53,56,67),</v>
      </c>
    </row>
    <row r="3470" spans="1:18" x14ac:dyDescent="0.25">
      <c r="A3470" s="11">
        <f t="shared" si="175"/>
        <v>2023</v>
      </c>
      <c r="B3470" s="8">
        <f t="shared" si="176"/>
        <v>34</v>
      </c>
      <c r="C3470" s="10">
        <f t="shared" si="172"/>
        <v>45164</v>
      </c>
      <c r="D3470" t="s">
        <v>25</v>
      </c>
      <c r="E3470" t="s">
        <v>6133</v>
      </c>
      <c r="F3470" t="s">
        <v>56</v>
      </c>
      <c r="G3470" t="s">
        <v>6134</v>
      </c>
      <c r="H3470" t="s">
        <v>6135</v>
      </c>
      <c r="I3470" t="s">
        <v>6136</v>
      </c>
      <c r="J3470" t="s">
        <v>6137</v>
      </c>
      <c r="K3470" t="s">
        <v>6138</v>
      </c>
      <c r="L3470" s="8">
        <v>7</v>
      </c>
      <c r="M3470" s="8">
        <v>8</v>
      </c>
      <c r="N3470" s="8">
        <v>14</v>
      </c>
      <c r="O3470" s="8">
        <v>20</v>
      </c>
      <c r="P3470" s="8">
        <v>47</v>
      </c>
      <c r="R3470" s="7" t="str">
        <f t="shared" si="177"/>
        <v>(2023,34,'2023.08.26',7,8,14,20,47),</v>
      </c>
    </row>
    <row r="3471" spans="1:18" x14ac:dyDescent="0.25">
      <c r="A3471" s="11">
        <f t="shared" si="175"/>
        <v>2023</v>
      </c>
      <c r="B3471" s="8">
        <f t="shared" si="176"/>
        <v>35</v>
      </c>
      <c r="C3471" s="10">
        <f t="shared" si="172"/>
        <v>45171</v>
      </c>
      <c r="D3471" t="s">
        <v>64</v>
      </c>
      <c r="E3471" t="s">
        <v>6139</v>
      </c>
      <c r="F3471" t="s">
        <v>201</v>
      </c>
      <c r="G3471" t="s">
        <v>6140</v>
      </c>
      <c r="H3471" t="s">
        <v>3304</v>
      </c>
      <c r="I3471" t="s">
        <v>6141</v>
      </c>
      <c r="J3471" t="s">
        <v>6142</v>
      </c>
      <c r="K3471" t="s">
        <v>6143</v>
      </c>
      <c r="L3471" s="8">
        <v>9</v>
      </c>
      <c r="M3471" s="8">
        <v>46</v>
      </c>
      <c r="N3471" s="8">
        <v>47</v>
      </c>
      <c r="O3471" s="8">
        <v>61</v>
      </c>
      <c r="P3471" s="8">
        <v>86</v>
      </c>
      <c r="R3471" s="7" t="str">
        <f t="shared" si="177"/>
        <v>(2023,35,'2023.09.02',9,46,47,61,86),</v>
      </c>
    </row>
    <row r="3472" spans="1:18" x14ac:dyDescent="0.25">
      <c r="A3472" s="11">
        <f t="shared" si="175"/>
        <v>2023</v>
      </c>
      <c r="B3472" s="8">
        <f t="shared" si="176"/>
        <v>36</v>
      </c>
      <c r="C3472" s="10">
        <f t="shared" si="172"/>
        <v>45178</v>
      </c>
      <c r="D3472" t="s">
        <v>21</v>
      </c>
      <c r="E3472" t="s">
        <v>6144</v>
      </c>
      <c r="F3472" t="s">
        <v>239</v>
      </c>
      <c r="G3472" t="s">
        <v>6145</v>
      </c>
      <c r="H3472" t="s">
        <v>6146</v>
      </c>
      <c r="I3472" t="s">
        <v>6147</v>
      </c>
      <c r="J3472" t="s">
        <v>6148</v>
      </c>
      <c r="K3472" t="s">
        <v>6149</v>
      </c>
      <c r="L3472" s="8">
        <v>51</v>
      </c>
      <c r="M3472" s="8">
        <v>61</v>
      </c>
      <c r="N3472" s="8">
        <v>63</v>
      </c>
      <c r="O3472" s="8">
        <v>67</v>
      </c>
      <c r="P3472" s="8">
        <v>75</v>
      </c>
      <c r="R3472" s="7" t="str">
        <f t="shared" si="177"/>
        <v>(2023,36,'2023.09.09',51,61,63,67,75),</v>
      </c>
    </row>
    <row r="3473" spans="1:18" x14ac:dyDescent="0.25">
      <c r="A3473" s="11">
        <f t="shared" si="175"/>
        <v>2023</v>
      </c>
      <c r="B3473" s="8">
        <f t="shared" si="176"/>
        <v>37</v>
      </c>
      <c r="C3473" s="10">
        <f t="shared" si="172"/>
        <v>45185</v>
      </c>
      <c r="D3473" t="s">
        <v>46</v>
      </c>
      <c r="E3473" t="s">
        <v>6150</v>
      </c>
      <c r="F3473" t="s">
        <v>245</v>
      </c>
      <c r="G3473" t="s">
        <v>6151</v>
      </c>
      <c r="H3473" t="s">
        <v>3153</v>
      </c>
      <c r="I3473" t="s">
        <v>6152</v>
      </c>
      <c r="J3473" t="s">
        <v>6153</v>
      </c>
      <c r="K3473" t="s">
        <v>6154</v>
      </c>
      <c r="L3473" s="8">
        <v>3</v>
      </c>
      <c r="M3473" s="8">
        <v>24</v>
      </c>
      <c r="N3473" s="8">
        <v>28</v>
      </c>
      <c r="O3473" s="8">
        <v>56</v>
      </c>
      <c r="P3473" s="8">
        <v>87</v>
      </c>
      <c r="R3473" s="7" t="str">
        <f t="shared" si="177"/>
        <v>(2023,37,'2023.09.16',3,24,28,56,87),</v>
      </c>
    </row>
    <row r="3474" spans="1:18" x14ac:dyDescent="0.25">
      <c r="A3474" s="11">
        <f t="shared" si="175"/>
        <v>2023</v>
      </c>
      <c r="B3474" s="8">
        <f t="shared" si="176"/>
        <v>38</v>
      </c>
      <c r="C3474" s="10">
        <f t="shared" si="172"/>
        <v>45192</v>
      </c>
      <c r="D3474" t="s">
        <v>36</v>
      </c>
      <c r="E3474" t="s">
        <v>6155</v>
      </c>
      <c r="F3474" t="s">
        <v>106</v>
      </c>
      <c r="G3474" t="s">
        <v>6156</v>
      </c>
      <c r="H3474" t="s">
        <v>400</v>
      </c>
      <c r="I3474" t="s">
        <v>6157</v>
      </c>
      <c r="J3474" t="s">
        <v>6158</v>
      </c>
      <c r="K3474" t="s">
        <v>6159</v>
      </c>
      <c r="L3474" s="8">
        <v>14</v>
      </c>
      <c r="M3474" s="8">
        <v>18</v>
      </c>
      <c r="N3474" s="8">
        <v>25</v>
      </c>
      <c r="O3474" s="8">
        <v>41</v>
      </c>
      <c r="P3474" s="8">
        <v>86</v>
      </c>
      <c r="R3474" s="7" t="str">
        <f t="shared" si="177"/>
        <v>(2023,38,'2023.09.23',14,18,25,41,86),</v>
      </c>
    </row>
    <row r="3475" spans="1:18" x14ac:dyDescent="0.25">
      <c r="A3475" s="11">
        <f t="shared" si="175"/>
        <v>2023</v>
      </c>
      <c r="B3475" s="8">
        <f t="shared" si="176"/>
        <v>39</v>
      </c>
      <c r="C3475" s="10">
        <f t="shared" si="172"/>
        <v>45199</v>
      </c>
      <c r="D3475" t="s">
        <v>24</v>
      </c>
      <c r="E3475" t="s">
        <v>6160</v>
      </c>
      <c r="F3475" t="s">
        <v>73</v>
      </c>
      <c r="G3475" t="s">
        <v>6161</v>
      </c>
      <c r="H3475" t="s">
        <v>6162</v>
      </c>
      <c r="I3475" t="s">
        <v>6163</v>
      </c>
      <c r="J3475" t="s">
        <v>6164</v>
      </c>
      <c r="K3475" t="s">
        <v>6165</v>
      </c>
      <c r="L3475" s="8">
        <v>17</v>
      </c>
      <c r="M3475" s="8">
        <v>32</v>
      </c>
      <c r="N3475" s="8">
        <v>47</v>
      </c>
      <c r="O3475" s="8">
        <v>72</v>
      </c>
      <c r="P3475" s="8">
        <v>82</v>
      </c>
      <c r="R3475" s="7" t="str">
        <f t="shared" si="177"/>
        <v>(2023,39,'2023.09.30',17,32,47,72,82),</v>
      </c>
    </row>
    <row r="3476" spans="1:18" x14ac:dyDescent="0.25">
      <c r="A3476" s="11">
        <f t="shared" si="175"/>
        <v>2023</v>
      </c>
      <c r="B3476" s="8">
        <f t="shared" si="176"/>
        <v>40</v>
      </c>
      <c r="C3476" s="10">
        <f t="shared" si="172"/>
        <v>45206</v>
      </c>
      <c r="D3476" t="s">
        <v>10</v>
      </c>
      <c r="E3476" t="s">
        <v>6166</v>
      </c>
      <c r="F3476" t="s">
        <v>143</v>
      </c>
      <c r="G3476" t="s">
        <v>6167</v>
      </c>
      <c r="H3476" t="s">
        <v>6168</v>
      </c>
      <c r="I3476" t="s">
        <v>6169</v>
      </c>
      <c r="J3476" t="s">
        <v>6170</v>
      </c>
      <c r="K3476" t="s">
        <v>6171</v>
      </c>
      <c r="L3476" s="8">
        <v>9</v>
      </c>
      <c r="M3476" s="8">
        <v>10</v>
      </c>
      <c r="N3476" s="8">
        <v>33</v>
      </c>
      <c r="O3476" s="8">
        <v>54</v>
      </c>
      <c r="P3476" s="8">
        <v>75</v>
      </c>
      <c r="R3476" s="7" t="str">
        <f t="shared" si="177"/>
        <v>(2023,40,'2023.10.07',9,10,33,54,75),</v>
      </c>
    </row>
    <row r="3477" spans="1:18" x14ac:dyDescent="0.25">
      <c r="A3477" s="11">
        <f t="shared" si="175"/>
        <v>2023</v>
      </c>
      <c r="B3477" s="8">
        <f t="shared" si="176"/>
        <v>41</v>
      </c>
      <c r="C3477" s="10">
        <f t="shared" si="172"/>
        <v>45213</v>
      </c>
      <c r="D3477" t="s">
        <v>13</v>
      </c>
      <c r="E3477" t="s">
        <v>6172</v>
      </c>
      <c r="F3477" t="s">
        <v>63</v>
      </c>
      <c r="G3477" t="s">
        <v>6173</v>
      </c>
      <c r="H3477" t="s">
        <v>6174</v>
      </c>
      <c r="I3477" t="s">
        <v>6175</v>
      </c>
      <c r="J3477" t="s">
        <v>6176</v>
      </c>
      <c r="K3477" t="s">
        <v>6177</v>
      </c>
      <c r="L3477" s="8">
        <v>5</v>
      </c>
      <c r="M3477" s="8">
        <v>20</v>
      </c>
      <c r="N3477" s="8">
        <v>24</v>
      </c>
      <c r="O3477" s="8">
        <v>74</v>
      </c>
      <c r="P3477" s="8">
        <v>77</v>
      </c>
      <c r="R3477" s="7" t="str">
        <f t="shared" si="177"/>
        <v>(2023,41,'2023.10.14',5,20,24,74,77),</v>
      </c>
    </row>
    <row r="3478" spans="1:18" x14ac:dyDescent="0.25">
      <c r="A3478" s="11">
        <f t="shared" si="175"/>
        <v>2023</v>
      </c>
      <c r="B3478" s="8">
        <f t="shared" si="176"/>
        <v>42</v>
      </c>
      <c r="C3478" s="10">
        <f t="shared" si="172"/>
        <v>45220</v>
      </c>
      <c r="D3478" t="s">
        <v>98</v>
      </c>
      <c r="E3478" t="s">
        <v>6178</v>
      </c>
      <c r="F3478" t="s">
        <v>151</v>
      </c>
      <c r="G3478" t="s">
        <v>6179</v>
      </c>
      <c r="H3478" t="s">
        <v>6180</v>
      </c>
      <c r="I3478" t="s">
        <v>6181</v>
      </c>
      <c r="J3478" t="s">
        <v>6182</v>
      </c>
      <c r="K3478" t="s">
        <v>6183</v>
      </c>
      <c r="L3478" s="8">
        <v>10</v>
      </c>
      <c r="M3478" s="8">
        <v>17</v>
      </c>
      <c r="N3478" s="8">
        <v>48</v>
      </c>
      <c r="O3478" s="8">
        <v>73</v>
      </c>
      <c r="P3478" s="8">
        <v>74</v>
      </c>
      <c r="R3478" s="7" t="str">
        <f t="shared" si="177"/>
        <v>(2023,42,'2023.10.21',10,17,48,73,74),</v>
      </c>
    </row>
    <row r="3479" spans="1:18" x14ac:dyDescent="0.25">
      <c r="A3479" s="11">
        <f t="shared" si="175"/>
        <v>2023</v>
      </c>
      <c r="B3479" s="8">
        <f t="shared" si="176"/>
        <v>43</v>
      </c>
      <c r="C3479" s="10">
        <f t="shared" si="172"/>
        <v>45227</v>
      </c>
      <c r="D3479" t="s">
        <v>45</v>
      </c>
      <c r="E3479" t="s">
        <v>6184</v>
      </c>
      <c r="F3479" t="s">
        <v>301</v>
      </c>
      <c r="G3479" t="s">
        <v>6185</v>
      </c>
      <c r="H3479" t="s">
        <v>2755</v>
      </c>
      <c r="I3479" t="s">
        <v>6186</v>
      </c>
      <c r="J3479" t="s">
        <v>6187</v>
      </c>
      <c r="K3479" t="s">
        <v>6188</v>
      </c>
      <c r="L3479" s="8">
        <v>5</v>
      </c>
      <c r="M3479" s="8">
        <v>8</v>
      </c>
      <c r="N3479" s="8">
        <v>47</v>
      </c>
      <c r="O3479" s="8">
        <v>55</v>
      </c>
      <c r="P3479" s="8">
        <v>87</v>
      </c>
      <c r="R3479" s="7" t="str">
        <f t="shared" si="177"/>
        <v>(2023,43,'2023.10.28',5,8,47,55,87),</v>
      </c>
    </row>
    <row r="3480" spans="1:18" x14ac:dyDescent="0.25">
      <c r="A3480" s="11">
        <f t="shared" si="175"/>
        <v>2023</v>
      </c>
      <c r="B3480" s="8">
        <f t="shared" si="176"/>
        <v>44</v>
      </c>
      <c r="C3480" s="10">
        <f t="shared" si="172"/>
        <v>45234</v>
      </c>
      <c r="D3480" t="s">
        <v>142</v>
      </c>
      <c r="E3480" t="s">
        <v>6189</v>
      </c>
      <c r="F3480" t="s">
        <v>215</v>
      </c>
      <c r="G3480" t="s">
        <v>6190</v>
      </c>
      <c r="H3480" t="s">
        <v>6191</v>
      </c>
      <c r="I3480" t="s">
        <v>6192</v>
      </c>
      <c r="J3480" t="s">
        <v>6193</v>
      </c>
      <c r="K3480" t="s">
        <v>6194</v>
      </c>
      <c r="L3480" s="8">
        <v>4</v>
      </c>
      <c r="M3480" s="8">
        <v>17</v>
      </c>
      <c r="N3480" s="8">
        <v>68</v>
      </c>
      <c r="O3480" s="8">
        <v>80</v>
      </c>
      <c r="P3480" s="8">
        <v>84</v>
      </c>
      <c r="R3480" s="7" t="str">
        <f t="shared" si="177"/>
        <v>(2023,44,'2023.11.04',4,17,68,80,84),</v>
      </c>
    </row>
    <row r="3481" spans="1:18" x14ac:dyDescent="0.25">
      <c r="A3481" s="11">
        <f t="shared" si="175"/>
        <v>2023</v>
      </c>
      <c r="B3481" s="8">
        <f t="shared" si="176"/>
        <v>45</v>
      </c>
      <c r="C3481" s="10">
        <f t="shared" si="172"/>
        <v>45241</v>
      </c>
      <c r="D3481" t="s">
        <v>133</v>
      </c>
      <c r="E3481" t="s">
        <v>6195</v>
      </c>
      <c r="F3481" t="s">
        <v>622</v>
      </c>
      <c r="G3481" t="s">
        <v>6196</v>
      </c>
      <c r="H3481" t="s">
        <v>6197</v>
      </c>
      <c r="I3481" t="s">
        <v>6198</v>
      </c>
      <c r="J3481" t="s">
        <v>6199</v>
      </c>
      <c r="K3481" t="s">
        <v>6200</v>
      </c>
      <c r="L3481" s="8">
        <v>42</v>
      </c>
      <c r="M3481" s="8">
        <v>49</v>
      </c>
      <c r="N3481" s="8">
        <v>55</v>
      </c>
      <c r="O3481" s="8">
        <v>77</v>
      </c>
      <c r="P3481" s="8">
        <v>89</v>
      </c>
      <c r="R3481" s="7" t="str">
        <f t="shared" si="177"/>
        <v>(2023,45,'2023.11.11',42,49,55,77,89);</v>
      </c>
    </row>
    <row r="3482" spans="1:18" x14ac:dyDescent="0.25">
      <c r="A3482" s="11">
        <f t="shared" si="175"/>
        <v>2023</v>
      </c>
      <c r="B3482" s="8">
        <f t="shared" si="176"/>
        <v>46</v>
      </c>
      <c r="C3482" s="10">
        <f t="shared" si="172"/>
        <v>45248</v>
      </c>
      <c r="D3482" t="s">
        <v>192</v>
      </c>
      <c r="E3482" t="s">
        <v>6201</v>
      </c>
      <c r="F3482" t="s">
        <v>125</v>
      </c>
      <c r="G3482" t="s">
        <v>6202</v>
      </c>
      <c r="H3482" t="s">
        <v>6203</v>
      </c>
      <c r="I3482" t="s">
        <v>6204</v>
      </c>
      <c r="J3482" t="s">
        <v>6205</v>
      </c>
      <c r="K3482" t="s">
        <v>6206</v>
      </c>
      <c r="L3482" s="8" t="s">
        <v>5889</v>
      </c>
      <c r="R3482" s="7" t="str">
        <f t="shared" si="177"/>
        <v/>
      </c>
    </row>
    <row r="3483" spans="1:18" x14ac:dyDescent="0.25">
      <c r="A3483" s="11">
        <f t="shared" si="175"/>
        <v>2023</v>
      </c>
      <c r="B3483" s="8">
        <f t="shared" si="176"/>
        <v>47</v>
      </c>
      <c r="C3483" s="10">
        <f t="shared" si="172"/>
        <v>45255</v>
      </c>
      <c r="D3483" t="s">
        <v>81</v>
      </c>
      <c r="E3483" t="s">
        <v>6207</v>
      </c>
      <c r="F3483" t="s">
        <v>246</v>
      </c>
      <c r="G3483" t="s">
        <v>6208</v>
      </c>
      <c r="H3483" t="s">
        <v>3277</v>
      </c>
      <c r="I3483" t="s">
        <v>6209</v>
      </c>
      <c r="J3483" t="s">
        <v>6210</v>
      </c>
      <c r="K3483" t="s">
        <v>6211</v>
      </c>
      <c r="L3483" s="8" t="s">
        <v>5889</v>
      </c>
      <c r="R3483" s="7" t="str">
        <f t="shared" si="177"/>
        <v/>
      </c>
    </row>
    <row r="3484" spans="1:18" x14ac:dyDescent="0.25">
      <c r="A3484" s="11">
        <f t="shared" si="175"/>
        <v>2023</v>
      </c>
      <c r="B3484" s="8">
        <f t="shared" si="176"/>
        <v>48</v>
      </c>
      <c r="C3484" s="10">
        <f t="shared" si="172"/>
        <v>45262</v>
      </c>
      <c r="D3484" t="s">
        <v>22</v>
      </c>
      <c r="E3484" t="s">
        <v>6212</v>
      </c>
      <c r="F3484" t="s">
        <v>468</v>
      </c>
      <c r="G3484" t="s">
        <v>6213</v>
      </c>
      <c r="H3484" t="s">
        <v>6214</v>
      </c>
      <c r="I3484" t="s">
        <v>6215</v>
      </c>
      <c r="J3484" t="s">
        <v>6216</v>
      </c>
      <c r="K3484" t="s">
        <v>6217</v>
      </c>
      <c r="L3484" s="8" t="s">
        <v>5889</v>
      </c>
      <c r="R3484" s="7" t="str">
        <f t="shared" si="177"/>
        <v/>
      </c>
    </row>
    <row r="3485" spans="1:18" x14ac:dyDescent="0.25">
      <c r="A3485" s="11">
        <f t="shared" si="175"/>
        <v>2023</v>
      </c>
      <c r="B3485" s="8">
        <f t="shared" si="176"/>
        <v>49</v>
      </c>
      <c r="C3485" s="10">
        <f t="shared" si="172"/>
        <v>45269</v>
      </c>
      <c r="D3485" t="s">
        <v>34</v>
      </c>
      <c r="E3485" t="s">
        <v>6218</v>
      </c>
      <c r="F3485" t="s">
        <v>308</v>
      </c>
      <c r="G3485" t="s">
        <v>6219</v>
      </c>
      <c r="H3485" t="s">
        <v>6220</v>
      </c>
      <c r="I3485" t="s">
        <v>6221</v>
      </c>
      <c r="J3485" t="s">
        <v>6222</v>
      </c>
      <c r="K3485" t="s">
        <v>6223</v>
      </c>
      <c r="L3485" s="8" t="s">
        <v>5889</v>
      </c>
      <c r="R3485" s="7" t="str">
        <f t="shared" si="177"/>
        <v/>
      </c>
    </row>
    <row r="3486" spans="1:18" x14ac:dyDescent="0.25">
      <c r="A3486" s="11">
        <f t="shared" si="175"/>
        <v>2023</v>
      </c>
      <c r="B3486" s="8">
        <f t="shared" si="176"/>
        <v>50</v>
      </c>
      <c r="C3486" s="10">
        <f t="shared" si="172"/>
        <v>45276</v>
      </c>
      <c r="D3486" t="s">
        <v>105</v>
      </c>
      <c r="E3486" t="s">
        <v>6224</v>
      </c>
      <c r="F3486" t="s">
        <v>269</v>
      </c>
      <c r="G3486" t="s">
        <v>6225</v>
      </c>
      <c r="H3486" t="s">
        <v>2396</v>
      </c>
      <c r="I3486" t="s">
        <v>6226</v>
      </c>
      <c r="J3486" t="s">
        <v>6227</v>
      </c>
      <c r="K3486" t="s">
        <v>6228</v>
      </c>
      <c r="L3486" s="8" t="s">
        <v>5889</v>
      </c>
      <c r="R3486" s="7" t="str">
        <f t="shared" si="177"/>
        <v/>
      </c>
    </row>
    <row r="3487" spans="1:18" x14ac:dyDescent="0.25">
      <c r="A3487" s="11">
        <f t="shared" si="175"/>
        <v>2023</v>
      </c>
      <c r="B3487" s="8">
        <f t="shared" si="176"/>
        <v>51</v>
      </c>
      <c r="C3487" s="10">
        <f t="shared" si="172"/>
        <v>45283</v>
      </c>
      <c r="D3487" t="s">
        <v>122</v>
      </c>
      <c r="E3487" t="s">
        <v>6229</v>
      </c>
      <c r="F3487" t="s">
        <v>208</v>
      </c>
      <c r="G3487" t="s">
        <v>6230</v>
      </c>
      <c r="H3487" t="s">
        <v>1301</v>
      </c>
      <c r="I3487" t="s">
        <v>6231</v>
      </c>
      <c r="J3487" t="s">
        <v>6232</v>
      </c>
      <c r="K3487" t="s">
        <v>6233</v>
      </c>
      <c r="L3487" s="8" t="s">
        <v>5889</v>
      </c>
      <c r="R3487" s="7" t="str">
        <f t="shared" si="177"/>
        <v/>
      </c>
    </row>
    <row r="3488" spans="1:18" x14ac:dyDescent="0.25">
      <c r="A3488" s="11">
        <f t="shared" si="175"/>
        <v>2023</v>
      </c>
      <c r="B3488" s="8">
        <f t="shared" si="176"/>
        <v>52</v>
      </c>
      <c r="C3488" s="10">
        <f t="shared" si="172"/>
        <v>45290</v>
      </c>
      <c r="D3488" t="s">
        <v>99</v>
      </c>
      <c r="E3488" t="s">
        <v>6234</v>
      </c>
      <c r="F3488" t="s">
        <v>379</v>
      </c>
      <c r="G3488" t="s">
        <v>6235</v>
      </c>
      <c r="H3488" t="s">
        <v>3632</v>
      </c>
      <c r="I3488" t="s">
        <v>6236</v>
      </c>
      <c r="J3488" t="s">
        <v>6237</v>
      </c>
      <c r="K3488" t="s">
        <v>6238</v>
      </c>
      <c r="L3488" s="8" t="s">
        <v>5889</v>
      </c>
      <c r="R3488" s="7" t="str">
        <f t="shared" si="177"/>
        <v/>
      </c>
    </row>
    <row r="3489" spans="1:18" x14ac:dyDescent="0.25">
      <c r="A3489" s="11">
        <f t="shared" si="175"/>
        <v>2024</v>
      </c>
      <c r="B3489" s="8">
        <f t="shared" si="176"/>
        <v>1</v>
      </c>
      <c r="C3489" s="10">
        <f t="shared" si="172"/>
        <v>45297</v>
      </c>
      <c r="D3489" t="s">
        <v>199</v>
      </c>
      <c r="E3489" t="s">
        <v>6239</v>
      </c>
      <c r="F3489" t="s">
        <v>186</v>
      </c>
      <c r="G3489" t="s">
        <v>6240</v>
      </c>
      <c r="H3489" t="s">
        <v>6241</v>
      </c>
      <c r="I3489" t="s">
        <v>6242</v>
      </c>
      <c r="J3489" t="s">
        <v>6243</v>
      </c>
      <c r="K3489" t="s">
        <v>6244</v>
      </c>
      <c r="L3489" s="8" t="s">
        <v>5889</v>
      </c>
      <c r="R3489" s="7" t="str">
        <f t="shared" si="177"/>
        <v/>
      </c>
    </row>
    <row r="3490" spans="1:18" x14ac:dyDescent="0.25">
      <c r="A3490" s="11">
        <f t="shared" si="175"/>
        <v>2024</v>
      </c>
      <c r="B3490" s="8">
        <f t="shared" si="176"/>
        <v>2</v>
      </c>
      <c r="C3490" s="10">
        <f t="shared" si="172"/>
        <v>45304</v>
      </c>
      <c r="D3490" t="s">
        <v>123</v>
      </c>
      <c r="E3490" t="s">
        <v>6245</v>
      </c>
      <c r="F3490" t="s">
        <v>1961</v>
      </c>
      <c r="G3490" t="s">
        <v>6246</v>
      </c>
      <c r="H3490" t="s">
        <v>2655</v>
      </c>
      <c r="I3490" t="s">
        <v>6247</v>
      </c>
      <c r="J3490" t="s">
        <v>6248</v>
      </c>
      <c r="K3490" t="s">
        <v>6249</v>
      </c>
      <c r="L3490" s="8" t="s">
        <v>5889</v>
      </c>
      <c r="R3490" s="7" t="str">
        <f t="shared" si="177"/>
        <v/>
      </c>
    </row>
    <row r="3491" spans="1:18" x14ac:dyDescent="0.25">
      <c r="A3491" s="11">
        <f t="shared" si="175"/>
        <v>2024</v>
      </c>
      <c r="B3491" s="8">
        <f t="shared" si="176"/>
        <v>3</v>
      </c>
      <c r="C3491" s="10">
        <f t="shared" si="172"/>
        <v>45311</v>
      </c>
      <c r="D3491" t="s">
        <v>175</v>
      </c>
      <c r="E3491" t="s">
        <v>6250</v>
      </c>
      <c r="F3491" t="s">
        <v>3093</v>
      </c>
      <c r="G3491" t="s">
        <v>6251</v>
      </c>
      <c r="H3491" t="s">
        <v>1805</v>
      </c>
      <c r="I3491" t="s">
        <v>6252</v>
      </c>
      <c r="J3491" t="s">
        <v>6253</v>
      </c>
      <c r="K3491" t="s">
        <v>6254</v>
      </c>
      <c r="L3491" s="8" t="s">
        <v>5889</v>
      </c>
      <c r="R3491" s="7" t="str">
        <f t="shared" si="177"/>
        <v/>
      </c>
    </row>
    <row r="3492" spans="1:18" x14ac:dyDescent="0.25">
      <c r="A3492" s="11">
        <f t="shared" si="175"/>
        <v>2024</v>
      </c>
      <c r="B3492" s="8">
        <f t="shared" si="176"/>
        <v>4</v>
      </c>
      <c r="C3492" s="10">
        <f t="shared" si="172"/>
        <v>45318</v>
      </c>
      <c r="D3492" t="s">
        <v>134</v>
      </c>
      <c r="E3492" t="s">
        <v>6255</v>
      </c>
      <c r="F3492" t="s">
        <v>3160</v>
      </c>
      <c r="G3492" t="s">
        <v>6256</v>
      </c>
      <c r="H3492" t="s">
        <v>6257</v>
      </c>
      <c r="I3492" t="s">
        <v>6258</v>
      </c>
      <c r="J3492" t="s">
        <v>6259</v>
      </c>
      <c r="K3492" t="s">
        <v>6260</v>
      </c>
      <c r="L3492" s="8" t="s">
        <v>5889</v>
      </c>
      <c r="R3492" s="7" t="str">
        <f t="shared" si="177"/>
        <v/>
      </c>
    </row>
    <row r="3493" spans="1:18" x14ac:dyDescent="0.25">
      <c r="A3493" s="11">
        <f t="shared" si="175"/>
        <v>2024</v>
      </c>
      <c r="B3493" s="8">
        <f t="shared" si="176"/>
        <v>5</v>
      </c>
      <c r="C3493" s="10">
        <f t="shared" si="172"/>
        <v>45325</v>
      </c>
      <c r="D3493" t="s">
        <v>150</v>
      </c>
      <c r="E3493" t="s">
        <v>6261</v>
      </c>
      <c r="F3493" t="s">
        <v>5695</v>
      </c>
      <c r="G3493" t="s">
        <v>6262</v>
      </c>
      <c r="H3493" t="s">
        <v>5137</v>
      </c>
      <c r="I3493" t="s">
        <v>6263</v>
      </c>
      <c r="J3493" t="s">
        <v>6264</v>
      </c>
      <c r="K3493" t="s">
        <v>6265</v>
      </c>
      <c r="L3493" s="8" t="s">
        <v>5889</v>
      </c>
      <c r="R3493" s="7" t="str">
        <f t="shared" si="177"/>
        <v/>
      </c>
    </row>
    <row r="3494" spans="1:18" x14ac:dyDescent="0.25">
      <c r="A3494" s="11">
        <f t="shared" si="175"/>
        <v>2024</v>
      </c>
      <c r="B3494" s="8">
        <f t="shared" si="176"/>
        <v>6</v>
      </c>
      <c r="C3494" s="10">
        <f t="shared" si="172"/>
        <v>45332</v>
      </c>
      <c r="D3494" t="s">
        <v>169</v>
      </c>
      <c r="E3494" t="s">
        <v>6266</v>
      </c>
      <c r="F3494" t="s">
        <v>2131</v>
      </c>
      <c r="G3494" t="s">
        <v>6267</v>
      </c>
      <c r="H3494" t="s">
        <v>6268</v>
      </c>
      <c r="I3494" t="s">
        <v>6269</v>
      </c>
      <c r="J3494" t="s">
        <v>6270</v>
      </c>
      <c r="K3494" t="s">
        <v>6271</v>
      </c>
      <c r="L3494" s="8" t="s">
        <v>5889</v>
      </c>
      <c r="R3494" s="7" t="str">
        <f t="shared" si="177"/>
        <v/>
      </c>
    </row>
    <row r="3495" spans="1:18" x14ac:dyDescent="0.25">
      <c r="A3495" s="11">
        <f t="shared" si="175"/>
        <v>2024</v>
      </c>
      <c r="B3495" s="8">
        <f t="shared" si="176"/>
        <v>7</v>
      </c>
      <c r="C3495" s="10">
        <f t="shared" si="172"/>
        <v>45339</v>
      </c>
      <c r="D3495" t="s">
        <v>82</v>
      </c>
      <c r="E3495" t="s">
        <v>6272</v>
      </c>
      <c r="F3495" t="s">
        <v>6273</v>
      </c>
      <c r="G3495" t="s">
        <v>6274</v>
      </c>
      <c r="H3495" t="s">
        <v>1425</v>
      </c>
      <c r="I3495" t="s">
        <v>6275</v>
      </c>
      <c r="J3495" t="s">
        <v>6276</v>
      </c>
      <c r="K3495" t="s">
        <v>6277</v>
      </c>
      <c r="L3495" s="8" t="s">
        <v>5889</v>
      </c>
      <c r="R3495" s="7" t="str">
        <f t="shared" si="177"/>
        <v/>
      </c>
    </row>
  </sheetData>
  <autoFilter ref="A1:Q3442" xr:uid="{00000000-0001-0000-0000-000000000000}"/>
  <sortState xmlns:xlrd2="http://schemas.microsoft.com/office/spreadsheetml/2017/richdata2" ref="A2:P3424">
    <sortCondition ref="A2:A3424"/>
    <sortCondition ref="B2:B3424"/>
  </sortState>
  <phoneticPr fontId="1" type="noConversion"/>
  <pageMargins left="0.7" right="0.7" top="0.75" bottom="0.75" header="0.3" footer="0.3"/>
  <pageSetup paperSize="9" orientation="portrait" horizontalDpi="300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634A-316C-4836-AA68-1D76127C932E}">
  <dimension ref="A2:E24"/>
  <sheetViews>
    <sheetView workbookViewId="0">
      <selection activeCell="E7" sqref="E7"/>
    </sheetView>
  </sheetViews>
  <sheetFormatPr defaultRowHeight="15.75" x14ac:dyDescent="0.25"/>
  <cols>
    <col min="3" max="3" width="12.625" customWidth="1"/>
    <col min="5" max="5" width="16.25" customWidth="1"/>
    <col min="6" max="6" width="14.375" customWidth="1"/>
    <col min="8" max="8" width="13.5" bestFit="1" customWidth="1"/>
  </cols>
  <sheetData>
    <row r="2" spans="1:5" x14ac:dyDescent="0.25">
      <c r="A2" s="14"/>
      <c r="B2" s="15" t="s">
        <v>5978</v>
      </c>
    </row>
    <row r="3" spans="1:5" x14ac:dyDescent="0.25">
      <c r="A3">
        <v>90</v>
      </c>
      <c r="B3">
        <v>1</v>
      </c>
      <c r="C3" s="13">
        <f>FACT(A3)/FACT(A3-B3)/FACT(B3)</f>
        <v>89.999999999999915</v>
      </c>
    </row>
    <row r="4" spans="1:5" x14ac:dyDescent="0.25">
      <c r="A4">
        <v>90</v>
      </c>
      <c r="B4">
        <v>2</v>
      </c>
      <c r="C4" s="13">
        <f>FACT(A4)/FACT(A4-B4)/FACT(B4)</f>
        <v>4004.9999999999982</v>
      </c>
    </row>
    <row r="5" spans="1:5" x14ac:dyDescent="0.25">
      <c r="A5">
        <v>90</v>
      </c>
      <c r="B5">
        <v>3</v>
      </c>
      <c r="C5" s="13">
        <f>FACT(A5)/FACT(A5-B5)/FACT(B5)</f>
        <v>117479.99999999996</v>
      </c>
    </row>
    <row r="6" spans="1:5" x14ac:dyDescent="0.25">
      <c r="A6">
        <v>90</v>
      </c>
      <c r="B6">
        <v>4</v>
      </c>
      <c r="C6" s="13">
        <f t="shared" ref="C6:C7" si="0">FACT(A6)/FACT(A6-B6)/FACT(B6)</f>
        <v>2555189.9999999972</v>
      </c>
    </row>
    <row r="7" spans="1:5" x14ac:dyDescent="0.25">
      <c r="A7">
        <v>90</v>
      </c>
      <c r="B7">
        <v>5</v>
      </c>
      <c r="C7" s="13">
        <f t="shared" si="0"/>
        <v>43949267.999999985</v>
      </c>
      <c r="E7" s="13">
        <f>300*C7</f>
        <v>13184780399.999996</v>
      </c>
    </row>
    <row r="9" spans="1:5" x14ac:dyDescent="0.25">
      <c r="B9" s="15" t="s">
        <v>5979</v>
      </c>
    </row>
    <row r="10" spans="1:5" x14ac:dyDescent="0.25">
      <c r="A10">
        <v>45</v>
      </c>
      <c r="B10">
        <v>1</v>
      </c>
      <c r="C10" s="13">
        <f>FACT(A10)/FACT(A10-B10)/FACT(B10)</f>
        <v>44.999999999999993</v>
      </c>
    </row>
    <row r="11" spans="1:5" x14ac:dyDescent="0.25">
      <c r="A11">
        <v>45</v>
      </c>
      <c r="B11">
        <v>2</v>
      </c>
      <c r="C11" s="13">
        <f>FACT(A11)/FACT(A11-B11)/FACT(B11)</f>
        <v>990</v>
      </c>
    </row>
    <row r="12" spans="1:5" x14ac:dyDescent="0.25">
      <c r="A12">
        <v>45</v>
      </c>
      <c r="B12">
        <v>3</v>
      </c>
      <c r="C12" s="13">
        <f>FACT(A12)/FACT(A12-B12)/FACT(B12)</f>
        <v>14190</v>
      </c>
    </row>
    <row r="13" spans="1:5" x14ac:dyDescent="0.25">
      <c r="A13">
        <v>45</v>
      </c>
      <c r="B13">
        <v>4</v>
      </c>
      <c r="C13" s="13">
        <f t="shared" ref="C13:C14" si="1">FACT(A13)/FACT(A13-B13)/FACT(B13)</f>
        <v>148995.00000000006</v>
      </c>
    </row>
    <row r="14" spans="1:5" x14ac:dyDescent="0.25">
      <c r="A14">
        <v>45</v>
      </c>
      <c r="B14">
        <v>5</v>
      </c>
      <c r="C14" s="13">
        <f t="shared" si="1"/>
        <v>1221758.9999999998</v>
      </c>
    </row>
    <row r="15" spans="1:5" x14ac:dyDescent="0.25">
      <c r="A15">
        <v>45</v>
      </c>
      <c r="B15">
        <v>6</v>
      </c>
      <c r="C15" s="13">
        <f t="shared" ref="C15" si="2">FACT(A15)/FACT(A15-B15)/FACT(B15)</f>
        <v>8145060</v>
      </c>
    </row>
    <row r="16" spans="1:5" x14ac:dyDescent="0.25">
      <c r="C16" s="13"/>
    </row>
    <row r="17" spans="1:3" x14ac:dyDescent="0.25">
      <c r="B17" s="15" t="s">
        <v>5980</v>
      </c>
    </row>
    <row r="18" spans="1:3" x14ac:dyDescent="0.25">
      <c r="A18">
        <v>35</v>
      </c>
      <c r="B18">
        <v>1</v>
      </c>
      <c r="C18" s="13">
        <f>FACT(A18)/FACT(A18-B18)/FACT(B18)</f>
        <v>35.000000000000007</v>
      </c>
    </row>
    <row r="19" spans="1:3" x14ac:dyDescent="0.25">
      <c r="A19">
        <v>35</v>
      </c>
      <c r="B19">
        <v>2</v>
      </c>
      <c r="C19" s="13">
        <f>FACT(A19)/FACT(A19-B19)/FACT(B19)</f>
        <v>594.99999999999977</v>
      </c>
    </row>
    <row r="20" spans="1:3" x14ac:dyDescent="0.25">
      <c r="A20">
        <v>35</v>
      </c>
      <c r="B20">
        <v>3</v>
      </c>
      <c r="C20" s="13">
        <f>FACT(A20)/FACT(A20-B20)/FACT(B20)</f>
        <v>6544.9999999999991</v>
      </c>
    </row>
    <row r="21" spans="1:3" x14ac:dyDescent="0.25">
      <c r="A21">
        <v>35</v>
      </c>
      <c r="B21">
        <v>4</v>
      </c>
      <c r="C21" s="13">
        <f t="shared" ref="C21:C23" si="3">FACT(A21)/FACT(A21-B21)/FACT(B21)</f>
        <v>52359.999999999993</v>
      </c>
    </row>
    <row r="22" spans="1:3" x14ac:dyDescent="0.25">
      <c r="A22">
        <v>35</v>
      </c>
      <c r="B22">
        <v>5</v>
      </c>
      <c r="C22" s="13">
        <f t="shared" si="3"/>
        <v>324631.99999999994</v>
      </c>
    </row>
    <row r="23" spans="1:3" x14ac:dyDescent="0.25">
      <c r="A23">
        <v>35</v>
      </c>
      <c r="B23">
        <v>6</v>
      </c>
      <c r="C23" s="13">
        <f t="shared" si="3"/>
        <v>1623160</v>
      </c>
    </row>
    <row r="24" spans="1:3" x14ac:dyDescent="0.25">
      <c r="A24">
        <v>35</v>
      </c>
      <c r="B24">
        <v>7</v>
      </c>
      <c r="C24" s="13">
        <f t="shared" ref="C24" si="4">FACT(A24)/FACT(A24-B24)/FACT(B24)</f>
        <v>6724520.0000000009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417F-5486-4039-8308-A8D3495F50FC}">
  <dimension ref="A1:F91"/>
  <sheetViews>
    <sheetView topLeftCell="A79" zoomScaleNormal="100" workbookViewId="0">
      <selection activeCell="A91" sqref="A91"/>
    </sheetView>
  </sheetViews>
  <sheetFormatPr defaultRowHeight="15.75" x14ac:dyDescent="0.25"/>
  <cols>
    <col min="4" max="4" width="13.25" bestFit="1" customWidth="1"/>
    <col min="5" max="5" width="19.375" customWidth="1"/>
  </cols>
  <sheetData>
    <row r="1" spans="1:6" x14ac:dyDescent="0.25">
      <c r="E1" t="str">
        <f>"INSERT INTO `otosalapszamok` (`nyeroszam`, `nev`) VALUES"</f>
        <v>INSERT INTO `otosalapszamok` (`nyeroszam`, `nev`) VALUES</v>
      </c>
    </row>
    <row r="2" spans="1:6" x14ac:dyDescent="0.25">
      <c r="A2">
        <v>1</v>
      </c>
      <c r="C2" t="s">
        <v>5958</v>
      </c>
      <c r="D2" t="str">
        <f>TRIM(B2)&amp;TRIM(C2)</f>
        <v>egy</v>
      </c>
      <c r="E2" t="str">
        <f t="shared" ref="E2:E65" si="0">"("&amp;A2&amp;",'"&amp;TRIM(D2)&amp;"')"&amp;IF(A3=0,";",",")</f>
        <v>(1,'egy'),</v>
      </c>
      <c r="F2" t="str">
        <f>E2</f>
        <v>(1,'egy'),</v>
      </c>
    </row>
    <row r="3" spans="1:6" x14ac:dyDescent="0.25">
      <c r="A3">
        <f t="shared" ref="A3:A66" si="1">+A2+1</f>
        <v>2</v>
      </c>
      <c r="C3" t="s">
        <v>5959</v>
      </c>
      <c r="D3" t="str">
        <f t="shared" ref="D3:D66" si="2">TRIM(B3)&amp;TRIM(C3)</f>
        <v>kettő</v>
      </c>
      <c r="E3" t="str">
        <f t="shared" si="0"/>
        <v>(2,'kettő'),</v>
      </c>
      <c r="F3" t="str">
        <f>TRIM(F2)&amp;TRIM(E3)</f>
        <v>(1,'egy'),(2,'kettő'),</v>
      </c>
    </row>
    <row r="4" spans="1:6" x14ac:dyDescent="0.25">
      <c r="A4">
        <f t="shared" si="1"/>
        <v>3</v>
      </c>
      <c r="C4" t="s">
        <v>5960</v>
      </c>
      <c r="D4" t="str">
        <f t="shared" si="2"/>
        <v>három</v>
      </c>
      <c r="E4" t="str">
        <f t="shared" si="0"/>
        <v>(3,'három'),</v>
      </c>
      <c r="F4" t="str">
        <f t="shared" ref="F4:F67" si="3">TRIM(F3)&amp;TRIM(E4)</f>
        <v>(1,'egy'),(2,'kettő'),(3,'három'),</v>
      </c>
    </row>
    <row r="5" spans="1:6" x14ac:dyDescent="0.25">
      <c r="A5">
        <f t="shared" si="1"/>
        <v>4</v>
      </c>
      <c r="C5" t="s">
        <v>5961</v>
      </c>
      <c r="D5" t="str">
        <f t="shared" si="2"/>
        <v>négy</v>
      </c>
      <c r="E5" t="str">
        <f t="shared" si="0"/>
        <v>(4,'négy'),</v>
      </c>
      <c r="F5" t="str">
        <f t="shared" si="3"/>
        <v>(1,'egy'),(2,'kettő'),(3,'három'),(4,'négy'),</v>
      </c>
    </row>
    <row r="6" spans="1:6" x14ac:dyDescent="0.25">
      <c r="A6">
        <f t="shared" si="1"/>
        <v>5</v>
      </c>
      <c r="C6" t="s">
        <v>5962</v>
      </c>
      <c r="D6" t="str">
        <f t="shared" si="2"/>
        <v>öt</v>
      </c>
      <c r="E6" t="str">
        <f t="shared" si="0"/>
        <v>(5,'öt'),</v>
      </c>
      <c r="F6" t="str">
        <f t="shared" si="3"/>
        <v>(1,'egy'),(2,'kettő'),(3,'három'),(4,'négy'),(5,'öt'),</v>
      </c>
    </row>
    <row r="7" spans="1:6" x14ac:dyDescent="0.25">
      <c r="A7">
        <f t="shared" si="1"/>
        <v>6</v>
      </c>
      <c r="C7" t="s">
        <v>5963</v>
      </c>
      <c r="D7" t="str">
        <f t="shared" si="2"/>
        <v>hat</v>
      </c>
      <c r="E7" t="str">
        <f t="shared" si="0"/>
        <v>(6,'hat'),</v>
      </c>
      <c r="F7" t="str">
        <f t="shared" si="3"/>
        <v>(1,'egy'),(2,'kettő'),(3,'három'),(4,'négy'),(5,'öt'),(6,'hat'),</v>
      </c>
    </row>
    <row r="8" spans="1:6" x14ac:dyDescent="0.25">
      <c r="A8">
        <f t="shared" si="1"/>
        <v>7</v>
      </c>
      <c r="C8" t="s">
        <v>5964</v>
      </c>
      <c r="D8" t="str">
        <f t="shared" si="2"/>
        <v>hét</v>
      </c>
      <c r="E8" t="str">
        <f t="shared" si="0"/>
        <v>(7,'hét'),</v>
      </c>
      <c r="F8" t="str">
        <f t="shared" si="3"/>
        <v>(1,'egy'),(2,'kettő'),(3,'három'),(4,'négy'),(5,'öt'),(6,'hat'),(7,'hét'),</v>
      </c>
    </row>
    <row r="9" spans="1:6" x14ac:dyDescent="0.25">
      <c r="A9">
        <f t="shared" si="1"/>
        <v>8</v>
      </c>
      <c r="C9" t="s">
        <v>5965</v>
      </c>
      <c r="D9" t="str">
        <f t="shared" si="2"/>
        <v>nyolc</v>
      </c>
      <c r="E9" t="str">
        <f t="shared" si="0"/>
        <v>(8,'nyolc'),</v>
      </c>
      <c r="F9" t="str">
        <f t="shared" si="3"/>
        <v>(1,'egy'),(2,'kettő'),(3,'három'),(4,'négy'),(5,'öt'),(6,'hat'),(7,'hét'),(8,'nyolc'),</v>
      </c>
    </row>
    <row r="10" spans="1:6" x14ac:dyDescent="0.25">
      <c r="A10">
        <f t="shared" si="1"/>
        <v>9</v>
      </c>
      <c r="C10" t="s">
        <v>5966</v>
      </c>
      <c r="D10" t="str">
        <f t="shared" si="2"/>
        <v>kilenc</v>
      </c>
      <c r="E10" t="str">
        <f t="shared" si="0"/>
        <v>(9,'kilenc'),</v>
      </c>
      <c r="F10" t="str">
        <f t="shared" si="3"/>
        <v>(1,'egy'),(2,'kettő'),(3,'három'),(4,'négy'),(5,'öt'),(6,'hat'),(7,'hét'),(8,'nyolc'),(9,'kilenc'),</v>
      </c>
    </row>
    <row r="11" spans="1:6" x14ac:dyDescent="0.25">
      <c r="A11">
        <f t="shared" si="1"/>
        <v>10</v>
      </c>
      <c r="C11" t="s">
        <v>5967</v>
      </c>
      <c r="D11" t="str">
        <f t="shared" si="2"/>
        <v>tíz</v>
      </c>
      <c r="E11" t="str">
        <f t="shared" si="0"/>
        <v>(10,'tíz'),</v>
      </c>
      <c r="F11" t="str">
        <f t="shared" si="3"/>
        <v>(1,'egy'),(2,'kettő'),(3,'három'),(4,'négy'),(5,'öt'),(6,'hat'),(7,'hét'),(8,'nyolc'),(9,'kilenc'),(10,'tíz'),</v>
      </c>
    </row>
    <row r="12" spans="1:6" x14ac:dyDescent="0.25">
      <c r="A12">
        <f t="shared" si="1"/>
        <v>11</v>
      </c>
      <c r="B12" t="s">
        <v>5968</v>
      </c>
      <c r="C12" t="str">
        <f>C2</f>
        <v>egy</v>
      </c>
      <c r="D12" t="str">
        <f t="shared" si="2"/>
        <v>tizenegy</v>
      </c>
      <c r="E12" t="str">
        <f t="shared" si="0"/>
        <v>(11,'tizenegy'),</v>
      </c>
      <c r="F12" t="str">
        <f t="shared" si="3"/>
        <v>(1,'egy'),(2,'kettő'),(3,'három'),(4,'négy'),(5,'öt'),(6,'hat'),(7,'hét'),(8,'nyolc'),(9,'kilenc'),(10,'tíz'),(11,'tizenegy'),</v>
      </c>
    </row>
    <row r="13" spans="1:6" x14ac:dyDescent="0.25">
      <c r="A13">
        <f t="shared" si="1"/>
        <v>12</v>
      </c>
      <c r="B13" t="s">
        <v>5968</v>
      </c>
      <c r="C13" t="str">
        <f t="shared" ref="C13:C20" si="4">C3</f>
        <v>kettő</v>
      </c>
      <c r="D13" t="str">
        <f t="shared" si="2"/>
        <v>tizenkettő</v>
      </c>
      <c r="E13" t="str">
        <f t="shared" si="0"/>
        <v>(12,'tizenkettő'),</v>
      </c>
      <c r="F13" t="str">
        <f t="shared" si="3"/>
        <v>(1,'egy'),(2,'kettő'),(3,'három'),(4,'négy'),(5,'öt'),(6,'hat'),(7,'hét'),(8,'nyolc'),(9,'kilenc'),(10,'tíz'),(11,'tizenegy'),(12,'tizenkettő'),</v>
      </c>
    </row>
    <row r="14" spans="1:6" x14ac:dyDescent="0.25">
      <c r="A14">
        <f t="shared" si="1"/>
        <v>13</v>
      </c>
      <c r="B14" t="s">
        <v>5968</v>
      </c>
      <c r="C14" t="str">
        <f t="shared" si="4"/>
        <v>három</v>
      </c>
      <c r="D14" t="str">
        <f t="shared" si="2"/>
        <v>tizenhárom</v>
      </c>
      <c r="E14" t="str">
        <f t="shared" si="0"/>
        <v>(13,'tizenhárom'),</v>
      </c>
      <c r="F14" t="str">
        <f t="shared" si="3"/>
        <v>(1,'egy'),(2,'kettő'),(3,'három'),(4,'négy'),(5,'öt'),(6,'hat'),(7,'hét'),(8,'nyolc'),(9,'kilenc'),(10,'tíz'),(11,'tizenegy'),(12,'tizenkettő'),(13,'tizenhárom'),</v>
      </c>
    </row>
    <row r="15" spans="1:6" x14ac:dyDescent="0.25">
      <c r="A15">
        <f t="shared" si="1"/>
        <v>14</v>
      </c>
      <c r="B15" t="s">
        <v>5968</v>
      </c>
      <c r="C15" t="str">
        <f t="shared" si="4"/>
        <v>négy</v>
      </c>
      <c r="D15" t="str">
        <f t="shared" si="2"/>
        <v>tizennégy</v>
      </c>
      <c r="E15" t="str">
        <f t="shared" si="0"/>
        <v>(14,'tizennégy'),</v>
      </c>
      <c r="F15" t="str">
        <f t="shared" si="3"/>
        <v>(1,'egy'),(2,'kettő'),(3,'három'),(4,'négy'),(5,'öt'),(6,'hat'),(7,'hét'),(8,'nyolc'),(9,'kilenc'),(10,'tíz'),(11,'tizenegy'),(12,'tizenkettő'),(13,'tizenhárom'),(14,'tizennégy'),</v>
      </c>
    </row>
    <row r="16" spans="1:6" x14ac:dyDescent="0.25">
      <c r="A16">
        <f t="shared" si="1"/>
        <v>15</v>
      </c>
      <c r="B16" t="s">
        <v>5968</v>
      </c>
      <c r="C16" t="str">
        <f t="shared" si="4"/>
        <v>öt</v>
      </c>
      <c r="D16" t="str">
        <f t="shared" si="2"/>
        <v>tizenöt</v>
      </c>
      <c r="E16" t="str">
        <f t="shared" si="0"/>
        <v>(15,'tizenöt'),</v>
      </c>
      <c r="F16" t="str">
        <f t="shared" si="3"/>
        <v>(1,'egy'),(2,'kettő'),(3,'három'),(4,'négy'),(5,'öt'),(6,'hat'),(7,'hét'),(8,'nyolc'),(9,'kilenc'),(10,'tíz'),(11,'tizenegy'),(12,'tizenkettő'),(13,'tizenhárom'),(14,'tizennégy'),(15,'tizenöt'),</v>
      </c>
    </row>
    <row r="17" spans="1:6" x14ac:dyDescent="0.25">
      <c r="A17">
        <f t="shared" si="1"/>
        <v>16</v>
      </c>
      <c r="B17" t="s">
        <v>5968</v>
      </c>
      <c r="C17" t="str">
        <f t="shared" si="4"/>
        <v>hat</v>
      </c>
      <c r="D17" t="str">
        <f t="shared" si="2"/>
        <v>tizenhat</v>
      </c>
      <c r="E17" t="str">
        <f t="shared" si="0"/>
        <v>(16,'tizenhat'),</v>
      </c>
      <c r="F17" t="str">
        <f t="shared" si="3"/>
        <v>(1,'egy'),(2,'kettő'),(3,'három'),(4,'négy'),(5,'öt'),(6,'hat'),(7,'hét'),(8,'nyolc'),(9,'kilenc'),(10,'tíz'),(11,'tizenegy'),(12,'tizenkettő'),(13,'tizenhárom'),(14,'tizennégy'),(15,'tizenöt'),(16,'tizenhat'),</v>
      </c>
    </row>
    <row r="18" spans="1:6" x14ac:dyDescent="0.25">
      <c r="A18">
        <f t="shared" si="1"/>
        <v>17</v>
      </c>
      <c r="B18" t="s">
        <v>5968</v>
      </c>
      <c r="C18" t="str">
        <f t="shared" si="4"/>
        <v>hét</v>
      </c>
      <c r="D18" t="str">
        <f t="shared" si="2"/>
        <v>tizenhét</v>
      </c>
      <c r="E18" t="str">
        <f t="shared" si="0"/>
        <v>(17,'tizenhét'),</v>
      </c>
      <c r="F18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</v>
      </c>
    </row>
    <row r="19" spans="1:6" x14ac:dyDescent="0.25">
      <c r="A19">
        <f t="shared" si="1"/>
        <v>18</v>
      </c>
      <c r="B19" t="s">
        <v>5968</v>
      </c>
      <c r="C19" t="str">
        <f t="shared" si="4"/>
        <v>nyolc</v>
      </c>
      <c r="D19" t="str">
        <f t="shared" si="2"/>
        <v>tizennyolc</v>
      </c>
      <c r="E19" t="str">
        <f t="shared" si="0"/>
        <v>(18,'tizennyolc'),</v>
      </c>
      <c r="F19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</v>
      </c>
    </row>
    <row r="20" spans="1:6" x14ac:dyDescent="0.25">
      <c r="A20">
        <f t="shared" si="1"/>
        <v>19</v>
      </c>
      <c r="B20" t="s">
        <v>5968</v>
      </c>
      <c r="C20" t="str">
        <f t="shared" si="4"/>
        <v>kilenc</v>
      </c>
      <c r="D20" t="str">
        <f t="shared" si="2"/>
        <v>tizenkilenc</v>
      </c>
      <c r="E20" t="str">
        <f t="shared" si="0"/>
        <v>(19,'tizenkilenc'),</v>
      </c>
      <c r="F20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</v>
      </c>
    </row>
    <row r="21" spans="1:6" x14ac:dyDescent="0.25">
      <c r="A21">
        <f t="shared" si="1"/>
        <v>20</v>
      </c>
      <c r="C21" t="s">
        <v>5977</v>
      </c>
      <c r="D21" t="str">
        <f t="shared" si="2"/>
        <v>húsz</v>
      </c>
      <c r="E21" t="str">
        <f t="shared" si="0"/>
        <v>(20,'húsz'),</v>
      </c>
      <c r="F21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</v>
      </c>
    </row>
    <row r="22" spans="1:6" x14ac:dyDescent="0.25">
      <c r="A22">
        <f t="shared" si="1"/>
        <v>21</v>
      </c>
      <c r="B22" t="s">
        <v>5969</v>
      </c>
      <c r="C22" t="str">
        <f t="shared" ref="C22:C30" si="5">C12</f>
        <v>egy</v>
      </c>
      <c r="D22" t="str">
        <f t="shared" si="2"/>
        <v>huszonegy</v>
      </c>
      <c r="E22" t="str">
        <f t="shared" si="0"/>
        <v>(21,'huszonegy'),</v>
      </c>
      <c r="F22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</v>
      </c>
    </row>
    <row r="23" spans="1:6" x14ac:dyDescent="0.25">
      <c r="A23">
        <f t="shared" si="1"/>
        <v>22</v>
      </c>
      <c r="B23" t="s">
        <v>5969</v>
      </c>
      <c r="C23" t="str">
        <f t="shared" si="5"/>
        <v>kettő</v>
      </c>
      <c r="D23" t="str">
        <f t="shared" si="2"/>
        <v>huszonkettő</v>
      </c>
      <c r="E23" t="str">
        <f t="shared" si="0"/>
        <v>(22,'huszonkettő'),</v>
      </c>
      <c r="F23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</v>
      </c>
    </row>
    <row r="24" spans="1:6" x14ac:dyDescent="0.25">
      <c r="A24">
        <f t="shared" si="1"/>
        <v>23</v>
      </c>
      <c r="B24" t="s">
        <v>5969</v>
      </c>
      <c r="C24" t="str">
        <f t="shared" si="5"/>
        <v>három</v>
      </c>
      <c r="D24" t="str">
        <f t="shared" si="2"/>
        <v>huszonhárom</v>
      </c>
      <c r="E24" t="str">
        <f t="shared" si="0"/>
        <v>(23,'huszonhárom'),</v>
      </c>
      <c r="F24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</v>
      </c>
    </row>
    <row r="25" spans="1:6" x14ac:dyDescent="0.25">
      <c r="A25">
        <f t="shared" si="1"/>
        <v>24</v>
      </c>
      <c r="B25" t="s">
        <v>5969</v>
      </c>
      <c r="C25" t="str">
        <f t="shared" si="5"/>
        <v>négy</v>
      </c>
      <c r="D25" t="str">
        <f t="shared" si="2"/>
        <v>huszonnégy</v>
      </c>
      <c r="E25" t="str">
        <f t="shared" si="0"/>
        <v>(24,'huszonnégy'),</v>
      </c>
      <c r="F25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</v>
      </c>
    </row>
    <row r="26" spans="1:6" x14ac:dyDescent="0.25">
      <c r="A26">
        <f t="shared" si="1"/>
        <v>25</v>
      </c>
      <c r="B26" t="s">
        <v>5969</v>
      </c>
      <c r="C26" t="str">
        <f t="shared" si="5"/>
        <v>öt</v>
      </c>
      <c r="D26" t="str">
        <f t="shared" si="2"/>
        <v>huszonöt</v>
      </c>
      <c r="E26" t="str">
        <f t="shared" si="0"/>
        <v>(25,'huszonöt'),</v>
      </c>
      <c r="F26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</v>
      </c>
    </row>
    <row r="27" spans="1:6" x14ac:dyDescent="0.25">
      <c r="A27">
        <f t="shared" si="1"/>
        <v>26</v>
      </c>
      <c r="B27" t="s">
        <v>5969</v>
      </c>
      <c r="C27" t="str">
        <f t="shared" si="5"/>
        <v>hat</v>
      </c>
      <c r="D27" t="str">
        <f t="shared" si="2"/>
        <v>huszonhat</v>
      </c>
      <c r="E27" t="str">
        <f t="shared" si="0"/>
        <v>(26,'huszonhat'),</v>
      </c>
      <c r="F27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</v>
      </c>
    </row>
    <row r="28" spans="1:6" x14ac:dyDescent="0.25">
      <c r="A28">
        <f t="shared" si="1"/>
        <v>27</v>
      </c>
      <c r="B28" t="s">
        <v>5969</v>
      </c>
      <c r="C28" t="str">
        <f t="shared" si="5"/>
        <v>hét</v>
      </c>
      <c r="D28" t="str">
        <f t="shared" si="2"/>
        <v>huszonhét</v>
      </c>
      <c r="E28" t="str">
        <f t="shared" si="0"/>
        <v>(27,'huszonhét'),</v>
      </c>
      <c r="F28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</v>
      </c>
    </row>
    <row r="29" spans="1:6" x14ac:dyDescent="0.25">
      <c r="A29">
        <f t="shared" si="1"/>
        <v>28</v>
      </c>
      <c r="B29" t="s">
        <v>5969</v>
      </c>
      <c r="C29" t="str">
        <f t="shared" si="5"/>
        <v>nyolc</v>
      </c>
      <c r="D29" t="str">
        <f t="shared" si="2"/>
        <v>huszonnyolc</v>
      </c>
      <c r="E29" t="str">
        <f t="shared" si="0"/>
        <v>(28,'huszonnyolc'),</v>
      </c>
      <c r="F29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</v>
      </c>
    </row>
    <row r="30" spans="1:6" x14ac:dyDescent="0.25">
      <c r="A30">
        <f t="shared" si="1"/>
        <v>29</v>
      </c>
      <c r="B30" t="s">
        <v>5969</v>
      </c>
      <c r="C30" t="str">
        <f t="shared" si="5"/>
        <v>kilenc</v>
      </c>
      <c r="D30" t="str">
        <f t="shared" si="2"/>
        <v>huszonkilenc</v>
      </c>
      <c r="E30" t="str">
        <f t="shared" si="0"/>
        <v>(29,'huszonkilenc'),</v>
      </c>
      <c r="F30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</v>
      </c>
    </row>
    <row r="31" spans="1:6" x14ac:dyDescent="0.25">
      <c r="A31">
        <f t="shared" si="1"/>
        <v>30</v>
      </c>
      <c r="C31" t="s">
        <v>5970</v>
      </c>
      <c r="D31" t="str">
        <f t="shared" si="2"/>
        <v>harminc</v>
      </c>
      <c r="E31" t="str">
        <f t="shared" si="0"/>
        <v>(30,'harminc'),</v>
      </c>
      <c r="F31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</v>
      </c>
    </row>
    <row r="32" spans="1:6" x14ac:dyDescent="0.25">
      <c r="A32">
        <f t="shared" si="1"/>
        <v>31</v>
      </c>
      <c r="B32" t="s">
        <v>5970</v>
      </c>
      <c r="C32" t="str">
        <f t="shared" ref="C32:C40" si="6">C22</f>
        <v>egy</v>
      </c>
      <c r="D32" t="str">
        <f t="shared" si="2"/>
        <v>harmincegy</v>
      </c>
      <c r="E32" t="str">
        <f t="shared" si="0"/>
        <v>(31,'harmincegy'),</v>
      </c>
      <c r="F32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</v>
      </c>
    </row>
    <row r="33" spans="1:6" x14ac:dyDescent="0.25">
      <c r="A33">
        <f t="shared" si="1"/>
        <v>32</v>
      </c>
      <c r="B33" t="s">
        <v>5970</v>
      </c>
      <c r="C33" t="str">
        <f t="shared" si="6"/>
        <v>kettő</v>
      </c>
      <c r="D33" t="str">
        <f t="shared" si="2"/>
        <v>harminckettő</v>
      </c>
      <c r="E33" t="str">
        <f t="shared" si="0"/>
        <v>(32,'harminckettő'),</v>
      </c>
      <c r="F33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</v>
      </c>
    </row>
    <row r="34" spans="1:6" x14ac:dyDescent="0.25">
      <c r="A34">
        <f t="shared" si="1"/>
        <v>33</v>
      </c>
      <c r="B34" t="s">
        <v>5970</v>
      </c>
      <c r="C34" t="str">
        <f t="shared" si="6"/>
        <v>három</v>
      </c>
      <c r="D34" t="str">
        <f t="shared" si="2"/>
        <v>harminchárom</v>
      </c>
      <c r="E34" t="str">
        <f t="shared" si="0"/>
        <v>(33,'harminchárom'),</v>
      </c>
      <c r="F34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</v>
      </c>
    </row>
    <row r="35" spans="1:6" x14ac:dyDescent="0.25">
      <c r="A35">
        <f t="shared" si="1"/>
        <v>34</v>
      </c>
      <c r="B35" t="s">
        <v>5970</v>
      </c>
      <c r="C35" t="str">
        <f t="shared" si="6"/>
        <v>négy</v>
      </c>
      <c r="D35" t="str">
        <f t="shared" si="2"/>
        <v>harmincnégy</v>
      </c>
      <c r="E35" t="str">
        <f t="shared" si="0"/>
        <v>(34,'harmincnégy'),</v>
      </c>
      <c r="F35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</v>
      </c>
    </row>
    <row r="36" spans="1:6" x14ac:dyDescent="0.25">
      <c r="A36">
        <f t="shared" si="1"/>
        <v>35</v>
      </c>
      <c r="B36" t="s">
        <v>5970</v>
      </c>
      <c r="C36" t="str">
        <f t="shared" si="6"/>
        <v>öt</v>
      </c>
      <c r="D36" t="str">
        <f t="shared" si="2"/>
        <v>harmincöt</v>
      </c>
      <c r="E36" t="str">
        <f t="shared" si="0"/>
        <v>(35,'harmincöt'),</v>
      </c>
      <c r="F36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</v>
      </c>
    </row>
    <row r="37" spans="1:6" x14ac:dyDescent="0.25">
      <c r="A37">
        <f t="shared" si="1"/>
        <v>36</v>
      </c>
      <c r="B37" t="s">
        <v>5970</v>
      </c>
      <c r="C37" t="str">
        <f t="shared" si="6"/>
        <v>hat</v>
      </c>
      <c r="D37" t="str">
        <f t="shared" si="2"/>
        <v>harminchat</v>
      </c>
      <c r="E37" t="str">
        <f t="shared" si="0"/>
        <v>(36,'harminchat'),</v>
      </c>
      <c r="F37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</v>
      </c>
    </row>
    <row r="38" spans="1:6" x14ac:dyDescent="0.25">
      <c r="A38">
        <f t="shared" si="1"/>
        <v>37</v>
      </c>
      <c r="B38" t="s">
        <v>5970</v>
      </c>
      <c r="C38" t="str">
        <f t="shared" si="6"/>
        <v>hét</v>
      </c>
      <c r="D38" t="str">
        <f t="shared" si="2"/>
        <v>harminchét</v>
      </c>
      <c r="E38" t="str">
        <f t="shared" si="0"/>
        <v>(37,'harminchét'),</v>
      </c>
      <c r="F38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</v>
      </c>
    </row>
    <row r="39" spans="1:6" x14ac:dyDescent="0.25">
      <c r="A39">
        <f t="shared" si="1"/>
        <v>38</v>
      </c>
      <c r="B39" t="s">
        <v>5970</v>
      </c>
      <c r="C39" t="str">
        <f t="shared" si="6"/>
        <v>nyolc</v>
      </c>
      <c r="D39" t="str">
        <f t="shared" si="2"/>
        <v>harmincnyolc</v>
      </c>
      <c r="E39" t="str">
        <f t="shared" si="0"/>
        <v>(38,'harmincnyolc'),</v>
      </c>
      <c r="F39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</v>
      </c>
    </row>
    <row r="40" spans="1:6" x14ac:dyDescent="0.25">
      <c r="A40">
        <f t="shared" si="1"/>
        <v>39</v>
      </c>
      <c r="B40" t="s">
        <v>5970</v>
      </c>
      <c r="C40" t="str">
        <f t="shared" si="6"/>
        <v>kilenc</v>
      </c>
      <c r="D40" t="str">
        <f t="shared" si="2"/>
        <v>harminckilenc</v>
      </c>
      <c r="E40" t="str">
        <f t="shared" si="0"/>
        <v>(39,'harminckilenc'),</v>
      </c>
      <c r="F40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</v>
      </c>
    </row>
    <row r="41" spans="1:6" x14ac:dyDescent="0.25">
      <c r="A41">
        <f t="shared" si="1"/>
        <v>40</v>
      </c>
      <c r="C41" t="s">
        <v>5971</v>
      </c>
      <c r="D41" t="str">
        <f t="shared" si="2"/>
        <v>negyven</v>
      </c>
      <c r="E41" t="str">
        <f t="shared" si="0"/>
        <v>(40,'negyven'),</v>
      </c>
      <c r="F41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</v>
      </c>
    </row>
    <row r="42" spans="1:6" x14ac:dyDescent="0.25">
      <c r="A42">
        <f t="shared" si="1"/>
        <v>41</v>
      </c>
      <c r="B42" t="s">
        <v>5971</v>
      </c>
      <c r="C42" t="str">
        <f t="shared" ref="C42:C50" si="7">C32</f>
        <v>egy</v>
      </c>
      <c r="D42" t="str">
        <f t="shared" si="2"/>
        <v>negyvenegy</v>
      </c>
      <c r="E42" t="str">
        <f t="shared" si="0"/>
        <v>(41,'negyvenegy'),</v>
      </c>
      <c r="F42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</v>
      </c>
    </row>
    <row r="43" spans="1:6" x14ac:dyDescent="0.25">
      <c r="A43">
        <f t="shared" si="1"/>
        <v>42</v>
      </c>
      <c r="B43" t="s">
        <v>5971</v>
      </c>
      <c r="C43" t="str">
        <f t="shared" si="7"/>
        <v>kettő</v>
      </c>
      <c r="D43" t="str">
        <f t="shared" si="2"/>
        <v>negyvenkettő</v>
      </c>
      <c r="E43" t="str">
        <f t="shared" si="0"/>
        <v>(42,'negyvenkettő'),</v>
      </c>
      <c r="F43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</v>
      </c>
    </row>
    <row r="44" spans="1:6" x14ac:dyDescent="0.25">
      <c r="A44">
        <f t="shared" si="1"/>
        <v>43</v>
      </c>
      <c r="B44" t="s">
        <v>5971</v>
      </c>
      <c r="C44" t="str">
        <f t="shared" si="7"/>
        <v>három</v>
      </c>
      <c r="D44" t="str">
        <f t="shared" si="2"/>
        <v>negyvenhárom</v>
      </c>
      <c r="E44" t="str">
        <f t="shared" si="0"/>
        <v>(43,'negyvenhárom'),</v>
      </c>
      <c r="F44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</v>
      </c>
    </row>
    <row r="45" spans="1:6" x14ac:dyDescent="0.25">
      <c r="A45">
        <f t="shared" si="1"/>
        <v>44</v>
      </c>
      <c r="B45" t="s">
        <v>5971</v>
      </c>
      <c r="C45" t="str">
        <f t="shared" si="7"/>
        <v>négy</v>
      </c>
      <c r="D45" t="str">
        <f t="shared" si="2"/>
        <v>negyvennégy</v>
      </c>
      <c r="E45" t="str">
        <f t="shared" si="0"/>
        <v>(44,'negyvennégy'),</v>
      </c>
      <c r="F45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</v>
      </c>
    </row>
    <row r="46" spans="1:6" x14ac:dyDescent="0.25">
      <c r="A46">
        <f t="shared" si="1"/>
        <v>45</v>
      </c>
      <c r="B46" t="s">
        <v>5971</v>
      </c>
      <c r="C46" t="str">
        <f t="shared" si="7"/>
        <v>öt</v>
      </c>
      <c r="D46" t="str">
        <f t="shared" si="2"/>
        <v>negyvenöt</v>
      </c>
      <c r="E46" t="str">
        <f t="shared" si="0"/>
        <v>(45,'negyvenöt'),</v>
      </c>
      <c r="F46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</v>
      </c>
    </row>
    <row r="47" spans="1:6" x14ac:dyDescent="0.25">
      <c r="A47">
        <f t="shared" si="1"/>
        <v>46</v>
      </c>
      <c r="B47" t="s">
        <v>5971</v>
      </c>
      <c r="C47" t="str">
        <f t="shared" si="7"/>
        <v>hat</v>
      </c>
      <c r="D47" t="str">
        <f t="shared" si="2"/>
        <v>negyvenhat</v>
      </c>
      <c r="E47" t="str">
        <f t="shared" si="0"/>
        <v>(46,'negyvenhat'),</v>
      </c>
      <c r="F47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</v>
      </c>
    </row>
    <row r="48" spans="1:6" x14ac:dyDescent="0.25">
      <c r="A48">
        <f t="shared" si="1"/>
        <v>47</v>
      </c>
      <c r="B48" t="s">
        <v>5971</v>
      </c>
      <c r="C48" t="str">
        <f t="shared" si="7"/>
        <v>hét</v>
      </c>
      <c r="D48" t="str">
        <f t="shared" si="2"/>
        <v>negyvenhét</v>
      </c>
      <c r="E48" t="str">
        <f t="shared" si="0"/>
        <v>(47,'negyvenhét'),</v>
      </c>
      <c r="F48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</v>
      </c>
    </row>
    <row r="49" spans="1:6" x14ac:dyDescent="0.25">
      <c r="A49">
        <f t="shared" si="1"/>
        <v>48</v>
      </c>
      <c r="B49" t="s">
        <v>5971</v>
      </c>
      <c r="C49" t="str">
        <f t="shared" si="7"/>
        <v>nyolc</v>
      </c>
      <c r="D49" t="str">
        <f t="shared" si="2"/>
        <v>negyvennyolc</v>
      </c>
      <c r="E49" t="str">
        <f t="shared" si="0"/>
        <v>(48,'negyvennyolc'),</v>
      </c>
      <c r="F49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</v>
      </c>
    </row>
    <row r="50" spans="1:6" x14ac:dyDescent="0.25">
      <c r="A50">
        <f t="shared" si="1"/>
        <v>49</v>
      </c>
      <c r="B50" t="s">
        <v>5971</v>
      </c>
      <c r="C50" t="str">
        <f t="shared" si="7"/>
        <v>kilenc</v>
      </c>
      <c r="D50" t="str">
        <f t="shared" si="2"/>
        <v>negyvenkilenc</v>
      </c>
      <c r="E50" t="str">
        <f t="shared" si="0"/>
        <v>(49,'negyvenkilenc'),</v>
      </c>
      <c r="F50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</v>
      </c>
    </row>
    <row r="51" spans="1:6" x14ac:dyDescent="0.25">
      <c r="A51">
        <f t="shared" si="1"/>
        <v>50</v>
      </c>
      <c r="C51" t="s">
        <v>5972</v>
      </c>
      <c r="D51" t="str">
        <f t="shared" si="2"/>
        <v>ötven</v>
      </c>
      <c r="E51" t="str">
        <f t="shared" si="0"/>
        <v>(50,'ötven'),</v>
      </c>
      <c r="F51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</v>
      </c>
    </row>
    <row r="52" spans="1:6" x14ac:dyDescent="0.25">
      <c r="A52">
        <f t="shared" si="1"/>
        <v>51</v>
      </c>
      <c r="B52" t="s">
        <v>5972</v>
      </c>
      <c r="C52" t="str">
        <f t="shared" ref="C52:C60" si="8">C42</f>
        <v>egy</v>
      </c>
      <c r="D52" t="str">
        <f t="shared" si="2"/>
        <v>ötvenegy</v>
      </c>
      <c r="E52" t="str">
        <f t="shared" si="0"/>
        <v>(51,'ötvenegy'),</v>
      </c>
      <c r="F52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</v>
      </c>
    </row>
    <row r="53" spans="1:6" x14ac:dyDescent="0.25">
      <c r="A53">
        <f t="shared" si="1"/>
        <v>52</v>
      </c>
      <c r="B53" t="s">
        <v>5972</v>
      </c>
      <c r="C53" t="str">
        <f t="shared" si="8"/>
        <v>kettő</v>
      </c>
      <c r="D53" t="str">
        <f t="shared" si="2"/>
        <v>ötvenkettő</v>
      </c>
      <c r="E53" t="str">
        <f t="shared" si="0"/>
        <v>(52,'ötvenkettő'),</v>
      </c>
      <c r="F53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</v>
      </c>
    </row>
    <row r="54" spans="1:6" x14ac:dyDescent="0.25">
      <c r="A54">
        <f t="shared" si="1"/>
        <v>53</v>
      </c>
      <c r="B54" t="s">
        <v>5972</v>
      </c>
      <c r="C54" t="str">
        <f t="shared" si="8"/>
        <v>három</v>
      </c>
      <c r="D54" t="str">
        <f t="shared" si="2"/>
        <v>ötvenhárom</v>
      </c>
      <c r="E54" t="str">
        <f t="shared" si="0"/>
        <v>(53,'ötvenhárom'),</v>
      </c>
      <c r="F54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</v>
      </c>
    </row>
    <row r="55" spans="1:6" x14ac:dyDescent="0.25">
      <c r="A55">
        <f t="shared" si="1"/>
        <v>54</v>
      </c>
      <c r="B55" t="s">
        <v>5972</v>
      </c>
      <c r="C55" t="str">
        <f t="shared" si="8"/>
        <v>négy</v>
      </c>
      <c r="D55" t="str">
        <f t="shared" si="2"/>
        <v>ötvennégy</v>
      </c>
      <c r="E55" t="str">
        <f t="shared" si="0"/>
        <v>(54,'ötvennégy'),</v>
      </c>
      <c r="F55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</v>
      </c>
    </row>
    <row r="56" spans="1:6" x14ac:dyDescent="0.25">
      <c r="A56">
        <f t="shared" si="1"/>
        <v>55</v>
      </c>
      <c r="B56" t="s">
        <v>5972</v>
      </c>
      <c r="C56" t="str">
        <f t="shared" si="8"/>
        <v>öt</v>
      </c>
      <c r="D56" t="str">
        <f t="shared" si="2"/>
        <v>ötvenöt</v>
      </c>
      <c r="E56" t="str">
        <f t="shared" si="0"/>
        <v>(55,'ötvenöt'),</v>
      </c>
      <c r="F56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</v>
      </c>
    </row>
    <row r="57" spans="1:6" x14ac:dyDescent="0.25">
      <c r="A57">
        <f t="shared" si="1"/>
        <v>56</v>
      </c>
      <c r="B57" t="s">
        <v>5972</v>
      </c>
      <c r="C57" t="str">
        <f t="shared" si="8"/>
        <v>hat</v>
      </c>
      <c r="D57" t="str">
        <f t="shared" si="2"/>
        <v>ötvenhat</v>
      </c>
      <c r="E57" t="str">
        <f t="shared" si="0"/>
        <v>(56,'ötvenhat'),</v>
      </c>
      <c r="F57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</v>
      </c>
    </row>
    <row r="58" spans="1:6" x14ac:dyDescent="0.25">
      <c r="A58">
        <f t="shared" si="1"/>
        <v>57</v>
      </c>
      <c r="B58" t="s">
        <v>5972</v>
      </c>
      <c r="C58" t="str">
        <f t="shared" si="8"/>
        <v>hét</v>
      </c>
      <c r="D58" t="str">
        <f t="shared" si="2"/>
        <v>ötvenhét</v>
      </c>
      <c r="E58" t="str">
        <f t="shared" si="0"/>
        <v>(57,'ötvenhét'),</v>
      </c>
      <c r="F58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</v>
      </c>
    </row>
    <row r="59" spans="1:6" x14ac:dyDescent="0.25">
      <c r="A59">
        <f t="shared" si="1"/>
        <v>58</v>
      </c>
      <c r="B59" t="s">
        <v>5972</v>
      </c>
      <c r="C59" t="str">
        <f t="shared" si="8"/>
        <v>nyolc</v>
      </c>
      <c r="D59" t="str">
        <f t="shared" si="2"/>
        <v>ötvennyolc</v>
      </c>
      <c r="E59" t="str">
        <f t="shared" si="0"/>
        <v>(58,'ötvennyolc'),</v>
      </c>
      <c r="F59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</v>
      </c>
    </row>
    <row r="60" spans="1:6" x14ac:dyDescent="0.25">
      <c r="A60">
        <f t="shared" si="1"/>
        <v>59</v>
      </c>
      <c r="B60" t="s">
        <v>5972</v>
      </c>
      <c r="C60" t="str">
        <f t="shared" si="8"/>
        <v>kilenc</v>
      </c>
      <c r="D60" t="str">
        <f t="shared" si="2"/>
        <v>ötvenkilenc</v>
      </c>
      <c r="E60" t="str">
        <f t="shared" si="0"/>
        <v>(59,'ötvenkilenc'),</v>
      </c>
      <c r="F60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</v>
      </c>
    </row>
    <row r="61" spans="1:6" x14ac:dyDescent="0.25">
      <c r="A61">
        <f t="shared" si="1"/>
        <v>60</v>
      </c>
      <c r="C61" t="s">
        <v>5973</v>
      </c>
      <c r="D61" t="str">
        <f t="shared" si="2"/>
        <v>hatvan</v>
      </c>
      <c r="E61" t="str">
        <f t="shared" si="0"/>
        <v>(60,'hatvan'),</v>
      </c>
      <c r="F61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</v>
      </c>
    </row>
    <row r="62" spans="1:6" x14ac:dyDescent="0.25">
      <c r="A62">
        <f t="shared" si="1"/>
        <v>61</v>
      </c>
      <c r="B62" t="s">
        <v>5973</v>
      </c>
      <c r="C62" t="str">
        <f t="shared" ref="C62:C70" si="9">C52</f>
        <v>egy</v>
      </c>
      <c r="D62" t="str">
        <f t="shared" si="2"/>
        <v>hatvanegy</v>
      </c>
      <c r="E62" t="str">
        <f t="shared" si="0"/>
        <v>(61,'hatvanegy'),</v>
      </c>
      <c r="F62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</v>
      </c>
    </row>
    <row r="63" spans="1:6" x14ac:dyDescent="0.25">
      <c r="A63">
        <f t="shared" si="1"/>
        <v>62</v>
      </c>
      <c r="B63" t="s">
        <v>5973</v>
      </c>
      <c r="C63" t="str">
        <f t="shared" si="9"/>
        <v>kettő</v>
      </c>
      <c r="D63" t="str">
        <f t="shared" si="2"/>
        <v>hatvankettő</v>
      </c>
      <c r="E63" t="str">
        <f t="shared" si="0"/>
        <v>(62,'hatvankettő'),</v>
      </c>
      <c r="F63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</v>
      </c>
    </row>
    <row r="64" spans="1:6" x14ac:dyDescent="0.25">
      <c r="A64">
        <f t="shared" si="1"/>
        <v>63</v>
      </c>
      <c r="B64" t="s">
        <v>5973</v>
      </c>
      <c r="C64" t="str">
        <f t="shared" si="9"/>
        <v>három</v>
      </c>
      <c r="D64" t="str">
        <f t="shared" si="2"/>
        <v>hatvanhárom</v>
      </c>
      <c r="E64" t="str">
        <f t="shared" si="0"/>
        <v>(63,'hatvanhárom'),</v>
      </c>
      <c r="F64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</v>
      </c>
    </row>
    <row r="65" spans="1:6" x14ac:dyDescent="0.25">
      <c r="A65">
        <f t="shared" si="1"/>
        <v>64</v>
      </c>
      <c r="B65" t="s">
        <v>5973</v>
      </c>
      <c r="C65" t="str">
        <f t="shared" si="9"/>
        <v>négy</v>
      </c>
      <c r="D65" t="str">
        <f t="shared" si="2"/>
        <v>hatvannégy</v>
      </c>
      <c r="E65" t="str">
        <f t="shared" si="0"/>
        <v>(64,'hatvannégy'),</v>
      </c>
      <c r="F65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</v>
      </c>
    </row>
    <row r="66" spans="1:6" x14ac:dyDescent="0.25">
      <c r="A66">
        <f t="shared" si="1"/>
        <v>65</v>
      </c>
      <c r="B66" t="s">
        <v>5973</v>
      </c>
      <c r="C66" t="str">
        <f t="shared" si="9"/>
        <v>öt</v>
      </c>
      <c r="D66" t="str">
        <f t="shared" si="2"/>
        <v>hatvanöt</v>
      </c>
      <c r="E66" t="str">
        <f t="shared" ref="E66:E90" si="10">"("&amp;A66&amp;",'"&amp;TRIM(D66)&amp;"')"&amp;IF(A67=0,";",",")</f>
        <v>(65,'hatvanöt'),</v>
      </c>
      <c r="F66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</v>
      </c>
    </row>
    <row r="67" spans="1:6" x14ac:dyDescent="0.25">
      <c r="A67">
        <f t="shared" ref="A67:A90" si="11">+A66+1</f>
        <v>66</v>
      </c>
      <c r="B67" t="s">
        <v>5973</v>
      </c>
      <c r="C67" t="str">
        <f t="shared" si="9"/>
        <v>hat</v>
      </c>
      <c r="D67" t="str">
        <f t="shared" ref="D67:D91" si="12">TRIM(B67)&amp;TRIM(C67)</f>
        <v>hatvanhat</v>
      </c>
      <c r="E67" t="str">
        <f t="shared" si="10"/>
        <v>(66,'hatvanhat'),</v>
      </c>
      <c r="F67" t="str">
        <f t="shared" si="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</v>
      </c>
    </row>
    <row r="68" spans="1:6" x14ac:dyDescent="0.25">
      <c r="A68">
        <f t="shared" si="11"/>
        <v>67</v>
      </c>
      <c r="B68" t="s">
        <v>5973</v>
      </c>
      <c r="C68" t="str">
        <f t="shared" si="9"/>
        <v>hét</v>
      </c>
      <c r="D68" t="str">
        <f t="shared" si="12"/>
        <v>hatvanhét</v>
      </c>
      <c r="E68" t="str">
        <f t="shared" si="10"/>
        <v>(67,'hatvanhét'),</v>
      </c>
      <c r="F68" t="str">
        <f t="shared" ref="F68:F91" si="13">TRIM(F67)&amp;TRIM(E68)</f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</v>
      </c>
    </row>
    <row r="69" spans="1:6" x14ac:dyDescent="0.25">
      <c r="A69">
        <f t="shared" si="11"/>
        <v>68</v>
      </c>
      <c r="B69" t="s">
        <v>5973</v>
      </c>
      <c r="C69" t="str">
        <f t="shared" si="9"/>
        <v>nyolc</v>
      </c>
      <c r="D69" t="str">
        <f t="shared" si="12"/>
        <v>hatvannyolc</v>
      </c>
      <c r="E69" t="str">
        <f t="shared" si="10"/>
        <v>(68,'hatvannyolc'),</v>
      </c>
      <c r="F69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</v>
      </c>
    </row>
    <row r="70" spans="1:6" x14ac:dyDescent="0.25">
      <c r="A70">
        <f t="shared" si="11"/>
        <v>69</v>
      </c>
      <c r="B70" t="s">
        <v>5973</v>
      </c>
      <c r="C70" t="str">
        <f t="shared" si="9"/>
        <v>kilenc</v>
      </c>
      <c r="D70" t="str">
        <f t="shared" si="12"/>
        <v>hatvankilenc</v>
      </c>
      <c r="E70" t="str">
        <f t="shared" si="10"/>
        <v>(69,'hatvankilenc'),</v>
      </c>
      <c r="F70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</v>
      </c>
    </row>
    <row r="71" spans="1:6" x14ac:dyDescent="0.25">
      <c r="A71">
        <f t="shared" si="11"/>
        <v>70</v>
      </c>
      <c r="C71" t="s">
        <v>5974</v>
      </c>
      <c r="D71" t="str">
        <f t="shared" si="12"/>
        <v>hetven</v>
      </c>
      <c r="E71" t="str">
        <f t="shared" si="10"/>
        <v>(70,'hetven'),</v>
      </c>
      <c r="F71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</v>
      </c>
    </row>
    <row r="72" spans="1:6" x14ac:dyDescent="0.25">
      <c r="A72">
        <f t="shared" si="11"/>
        <v>71</v>
      </c>
      <c r="B72" t="s">
        <v>5974</v>
      </c>
      <c r="C72" t="str">
        <f t="shared" ref="C72:C80" si="14">C62</f>
        <v>egy</v>
      </c>
      <c r="D72" t="str">
        <f t="shared" si="12"/>
        <v>hetvenegy</v>
      </c>
      <c r="E72" t="str">
        <f t="shared" si="10"/>
        <v>(71,'hetvenegy'),</v>
      </c>
      <c r="F72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</v>
      </c>
    </row>
    <row r="73" spans="1:6" x14ac:dyDescent="0.25">
      <c r="A73">
        <f t="shared" si="11"/>
        <v>72</v>
      </c>
      <c r="B73" t="s">
        <v>5974</v>
      </c>
      <c r="C73" t="str">
        <f t="shared" si="14"/>
        <v>kettő</v>
      </c>
      <c r="D73" t="str">
        <f t="shared" si="12"/>
        <v>hetvenkettő</v>
      </c>
      <c r="E73" t="str">
        <f t="shared" si="10"/>
        <v>(72,'hetvenkettő'),</v>
      </c>
      <c r="F73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</v>
      </c>
    </row>
    <row r="74" spans="1:6" x14ac:dyDescent="0.25">
      <c r="A74">
        <f t="shared" si="11"/>
        <v>73</v>
      </c>
      <c r="B74" t="s">
        <v>5974</v>
      </c>
      <c r="C74" t="str">
        <f t="shared" si="14"/>
        <v>három</v>
      </c>
      <c r="D74" t="str">
        <f t="shared" si="12"/>
        <v>hetvenhárom</v>
      </c>
      <c r="E74" t="str">
        <f t="shared" si="10"/>
        <v>(73,'hetvenhárom'),</v>
      </c>
      <c r="F74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</v>
      </c>
    </row>
    <row r="75" spans="1:6" x14ac:dyDescent="0.25">
      <c r="A75">
        <f t="shared" si="11"/>
        <v>74</v>
      </c>
      <c r="B75" t="s">
        <v>5974</v>
      </c>
      <c r="C75" t="str">
        <f t="shared" si="14"/>
        <v>négy</v>
      </c>
      <c r="D75" t="str">
        <f t="shared" si="12"/>
        <v>hetvennégy</v>
      </c>
      <c r="E75" t="str">
        <f t="shared" si="10"/>
        <v>(74,'hetvennégy'),</v>
      </c>
      <c r="F75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</v>
      </c>
    </row>
    <row r="76" spans="1:6" x14ac:dyDescent="0.25">
      <c r="A76">
        <f t="shared" si="11"/>
        <v>75</v>
      </c>
      <c r="B76" t="s">
        <v>5974</v>
      </c>
      <c r="C76" t="str">
        <f t="shared" si="14"/>
        <v>öt</v>
      </c>
      <c r="D76" t="str">
        <f t="shared" si="12"/>
        <v>hetvenöt</v>
      </c>
      <c r="E76" t="str">
        <f t="shared" si="10"/>
        <v>(75,'hetvenöt'),</v>
      </c>
      <c r="F76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</v>
      </c>
    </row>
    <row r="77" spans="1:6" x14ac:dyDescent="0.25">
      <c r="A77">
        <f t="shared" si="11"/>
        <v>76</v>
      </c>
      <c r="B77" t="s">
        <v>5974</v>
      </c>
      <c r="C77" t="str">
        <f t="shared" si="14"/>
        <v>hat</v>
      </c>
      <c r="D77" t="str">
        <f t="shared" si="12"/>
        <v>hetvenhat</v>
      </c>
      <c r="E77" t="str">
        <f t="shared" si="10"/>
        <v>(76,'hetvenhat'),</v>
      </c>
      <c r="F77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</v>
      </c>
    </row>
    <row r="78" spans="1:6" x14ac:dyDescent="0.25">
      <c r="A78">
        <f t="shared" si="11"/>
        <v>77</v>
      </c>
      <c r="B78" t="s">
        <v>5974</v>
      </c>
      <c r="C78" t="str">
        <f t="shared" si="14"/>
        <v>hét</v>
      </c>
      <c r="D78" t="str">
        <f t="shared" si="12"/>
        <v>hetvenhét</v>
      </c>
      <c r="E78" t="str">
        <f t="shared" si="10"/>
        <v>(77,'hetvenhét'),</v>
      </c>
      <c r="F78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</v>
      </c>
    </row>
    <row r="79" spans="1:6" x14ac:dyDescent="0.25">
      <c r="A79">
        <f t="shared" si="11"/>
        <v>78</v>
      </c>
      <c r="B79" t="s">
        <v>5974</v>
      </c>
      <c r="C79" t="str">
        <f t="shared" si="14"/>
        <v>nyolc</v>
      </c>
      <c r="D79" t="str">
        <f t="shared" si="12"/>
        <v>hetvennyolc</v>
      </c>
      <c r="E79" t="str">
        <f t="shared" si="10"/>
        <v>(78,'hetvennyolc'),</v>
      </c>
      <c r="F79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</v>
      </c>
    </row>
    <row r="80" spans="1:6" x14ac:dyDescent="0.25">
      <c r="A80">
        <f t="shared" si="11"/>
        <v>79</v>
      </c>
      <c r="B80" t="s">
        <v>5974</v>
      </c>
      <c r="C80" t="str">
        <f t="shared" si="14"/>
        <v>kilenc</v>
      </c>
      <c r="D80" t="str">
        <f t="shared" si="12"/>
        <v>hetvenkilenc</v>
      </c>
      <c r="E80" t="str">
        <f t="shared" si="10"/>
        <v>(79,'hetvenkilenc'),</v>
      </c>
      <c r="F80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</v>
      </c>
    </row>
    <row r="81" spans="1:6" x14ac:dyDescent="0.25">
      <c r="A81">
        <f t="shared" si="11"/>
        <v>80</v>
      </c>
      <c r="C81" t="s">
        <v>5975</v>
      </c>
      <c r="D81" t="str">
        <f t="shared" si="12"/>
        <v>nyolcvan</v>
      </c>
      <c r="E81" t="str">
        <f t="shared" si="10"/>
        <v>(80,'nyolcvan'),</v>
      </c>
      <c r="F81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</v>
      </c>
    </row>
    <row r="82" spans="1:6" x14ac:dyDescent="0.25">
      <c r="A82">
        <f t="shared" si="11"/>
        <v>81</v>
      </c>
      <c r="B82" t="s">
        <v>5975</v>
      </c>
      <c r="C82" t="str">
        <f t="shared" ref="C82:C90" si="15">C72</f>
        <v>egy</v>
      </c>
      <c r="D82" t="str">
        <f t="shared" si="12"/>
        <v>nyolcvanegy</v>
      </c>
      <c r="E82" t="str">
        <f t="shared" si="10"/>
        <v>(81,'nyolcvanegy'),</v>
      </c>
      <c r="F82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</v>
      </c>
    </row>
    <row r="83" spans="1:6" x14ac:dyDescent="0.25">
      <c r="A83">
        <f t="shared" si="11"/>
        <v>82</v>
      </c>
      <c r="B83" t="s">
        <v>5975</v>
      </c>
      <c r="C83" t="str">
        <f t="shared" si="15"/>
        <v>kettő</v>
      </c>
      <c r="D83" t="str">
        <f t="shared" si="12"/>
        <v>nyolcvankettő</v>
      </c>
      <c r="E83" t="str">
        <f t="shared" si="10"/>
        <v>(82,'nyolcvankettő'),</v>
      </c>
      <c r="F83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</v>
      </c>
    </row>
    <row r="84" spans="1:6" x14ac:dyDescent="0.25">
      <c r="A84">
        <f t="shared" si="11"/>
        <v>83</v>
      </c>
      <c r="B84" t="s">
        <v>5975</v>
      </c>
      <c r="C84" t="str">
        <f t="shared" si="15"/>
        <v>három</v>
      </c>
      <c r="D84" t="str">
        <f t="shared" si="12"/>
        <v>nyolcvanhárom</v>
      </c>
      <c r="E84" t="str">
        <f t="shared" si="10"/>
        <v>(83,'nyolcvanhárom'),</v>
      </c>
      <c r="F84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</v>
      </c>
    </row>
    <row r="85" spans="1:6" x14ac:dyDescent="0.25">
      <c r="A85">
        <f t="shared" si="11"/>
        <v>84</v>
      </c>
      <c r="B85" t="s">
        <v>5975</v>
      </c>
      <c r="C85" t="str">
        <f t="shared" si="15"/>
        <v>négy</v>
      </c>
      <c r="D85" t="str">
        <f t="shared" si="12"/>
        <v>nyolcvannégy</v>
      </c>
      <c r="E85" t="str">
        <f t="shared" si="10"/>
        <v>(84,'nyolcvannégy'),</v>
      </c>
      <c r="F85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</v>
      </c>
    </row>
    <row r="86" spans="1:6" x14ac:dyDescent="0.25">
      <c r="A86">
        <f t="shared" si="11"/>
        <v>85</v>
      </c>
      <c r="B86" t="s">
        <v>5975</v>
      </c>
      <c r="C86" t="str">
        <f t="shared" si="15"/>
        <v>öt</v>
      </c>
      <c r="D86" t="str">
        <f t="shared" si="12"/>
        <v>nyolcvanöt</v>
      </c>
      <c r="E86" t="str">
        <f t="shared" si="10"/>
        <v>(85,'nyolcvanöt'),</v>
      </c>
      <c r="F86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(85,'nyolcvanöt'),</v>
      </c>
    </row>
    <row r="87" spans="1:6" x14ac:dyDescent="0.25">
      <c r="A87">
        <f t="shared" si="11"/>
        <v>86</v>
      </c>
      <c r="B87" t="s">
        <v>5975</v>
      </c>
      <c r="C87" t="str">
        <f t="shared" si="15"/>
        <v>hat</v>
      </c>
      <c r="D87" t="str">
        <f t="shared" si="12"/>
        <v>nyolcvanhat</v>
      </c>
      <c r="E87" t="str">
        <f t="shared" si="10"/>
        <v>(86,'nyolcvanhat'),</v>
      </c>
      <c r="F87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(85,'nyolcvanöt'),(86,'nyolcvanhat'),</v>
      </c>
    </row>
    <row r="88" spans="1:6" x14ac:dyDescent="0.25">
      <c r="A88">
        <f t="shared" si="11"/>
        <v>87</v>
      </c>
      <c r="B88" t="s">
        <v>5975</v>
      </c>
      <c r="C88" t="str">
        <f t="shared" si="15"/>
        <v>hét</v>
      </c>
      <c r="D88" t="str">
        <f t="shared" si="12"/>
        <v>nyolcvanhét</v>
      </c>
      <c r="E88" t="str">
        <f t="shared" si="10"/>
        <v>(87,'nyolcvanhét'),</v>
      </c>
      <c r="F88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(85,'nyolcvanöt'),(86,'nyolcvanhat'),(87,'nyolcvanhét'),</v>
      </c>
    </row>
    <row r="89" spans="1:6" x14ac:dyDescent="0.25">
      <c r="A89">
        <f t="shared" si="11"/>
        <v>88</v>
      </c>
      <c r="B89" t="s">
        <v>5975</v>
      </c>
      <c r="C89" t="str">
        <f t="shared" si="15"/>
        <v>nyolc</v>
      </c>
      <c r="D89" t="str">
        <f t="shared" si="12"/>
        <v>nyolcvannyolc</v>
      </c>
      <c r="E89" t="str">
        <f t="shared" si="10"/>
        <v>(88,'nyolcvannyolc'),</v>
      </c>
      <c r="F89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(85,'nyolcvanöt'),(86,'nyolcvanhat'),(87,'nyolcvanhét'),(88,'nyolcvannyolc'),</v>
      </c>
    </row>
    <row r="90" spans="1:6" x14ac:dyDescent="0.25">
      <c r="A90">
        <f t="shared" si="11"/>
        <v>89</v>
      </c>
      <c r="B90" t="s">
        <v>5975</v>
      </c>
      <c r="C90" t="str">
        <f t="shared" si="15"/>
        <v>kilenc</v>
      </c>
      <c r="D90" t="str">
        <f t="shared" si="12"/>
        <v>nyolcvankilenc</v>
      </c>
      <c r="E90" t="str">
        <f t="shared" si="10"/>
        <v>(89,'nyolcvankilenc'),</v>
      </c>
      <c r="F90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(85,'nyolcvanöt'),(86,'nyolcvanhat'),(87,'nyolcvanhét'),(88,'nyolcvannyolc'),(89,'nyolcvankilenc'),</v>
      </c>
    </row>
    <row r="91" spans="1:6" x14ac:dyDescent="0.25">
      <c r="A91">
        <f>+A90+1</f>
        <v>90</v>
      </c>
      <c r="C91" t="s">
        <v>5976</v>
      </c>
      <c r="D91" t="str">
        <f t="shared" si="12"/>
        <v>kilencven</v>
      </c>
      <c r="E91" t="str">
        <f>"("&amp;A91&amp;",'"&amp;TRIM(D91)&amp;"')"&amp;IF(A92=0,";",",")</f>
        <v>(90,'kilencven');</v>
      </c>
      <c r="F91" t="str">
        <f t="shared" si="13"/>
        <v>(1,'egy'),(2,'kettő'),(3,'három'),(4,'négy'),(5,'öt'),(6,'hat'),(7,'hét'),(8,'nyolc'),(9,'kilenc'),(10,'tíz'),(11,'tizenegy'),(12,'tizenkettő'),(13,'tizenhárom'),(14,'tizennégy'),(15,'tizenöt'),(16,'tizenhat'),(17,'tizenhét'),(18,'tizennyolc'),(19,'tizenkilenc'),(20,'húsz'),(21,'huszonegy'),(22,'huszonkettő'),(23,'huszonhárom'),(24,'huszonnégy'),(25,'huszonöt'),(26,'huszonhat'),(27,'huszonhét'),(28,'huszonnyolc'),(29,'huszonkilenc'),(30,'harminc'),(31,'harmincegy'),(32,'harminckettő'),(33,'harminchárom'),(34,'harmincnégy'),(35,'harmincöt'),(36,'harminchat'),(37,'harminchét'),(38,'harmincnyolc'),(39,'harminckilenc'),(40,'negyven'),(41,'negyvenegy'),(42,'negyvenkettő'),(43,'negyvenhárom'),(44,'negyvennégy'),(45,'negyvenöt'),(46,'negyvenhat'),(47,'negyvenhét'),(48,'negyvennyolc'),(49,'negyvenkilenc'),(50,'ötven'),(51,'ötvenegy'),(52,'ötvenkettő'),(53,'ötvenhárom'),(54,'ötvennégy'),(55,'ötvenöt'),(56,'ötvenhat'),(57,'ötvenhét'),(58,'ötvennyolc'),(59,'ötvenkilenc'),(60,'hatvan'),(61,'hatvanegy'),(62,'hatvankettő'),(63,'hatvanhárom'),(64,'hatvannégy'),(65,'hatvanöt'),(66,'hatvanhat'),(67,'hatvanhét'),(68,'hatvannyolc'),(69,'hatvankilenc'),(70,'hetven'),(71,'hetvenegy'),(72,'hetvenkettő'),(73,'hetvenhárom'),(74,'hetvennégy'),(75,'hetvenöt'),(76,'hetvenhat'),(77,'hetvenhét'),(78,'hetvennyolc'),(79,'hetvenkilenc'),(80,'nyolcvan'),(81,'nyolcvanegy'),(82,'nyolcvankettő'),(83,'nyolcvanhárom'),(84,'nyolcvannégy'),(85,'nyolcvanöt'),(86,'nyolcvanhat'),(87,'nyolcvanhét'),(88,'nyolcvannyolc'),(89,'nyolcvankilenc'),(90,'kilencven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Sorsolások</vt:lpstr>
      <vt:lpstr>Lehetséges variációk</vt:lpstr>
      <vt:lpstr>alapszám insert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</dc:creator>
  <cp:lastModifiedBy>Varga Pál</cp:lastModifiedBy>
  <dcterms:created xsi:type="dcterms:W3CDTF">2022-10-09T22:11:12Z</dcterms:created>
  <dcterms:modified xsi:type="dcterms:W3CDTF">2023-11-15T22:29:23Z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2022-10-09T00:10:08+02:00</dcterms:created>
  <dcterms:modified xsi:type="dcterms:W3CDTF">2022-10-09T00:10:08+02:00</dcterms:modified>
  <cp:revision>0</cp:revision>
</cp:coreProperties>
</file>